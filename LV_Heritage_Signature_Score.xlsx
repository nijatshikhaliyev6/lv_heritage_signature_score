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8280" tabRatio="500" firstSheet="1" activeTab="2"/>
  </bookViews>
  <sheets>
    <sheet name="1_METHOD" sheetId="1" r:id="rId1"/>
    <sheet name="2_SCALES" sheetId="2" r:id="rId2"/>
    <sheet name="3_OBJECTS" sheetId="3" r:id="rId3"/>
    <sheet name="4_BENCHMARK" sheetId="4" r:id="rId4"/>
    <sheet name="5_TIMELINE" sheetId="5" r:id="rId5"/>
    <sheet name="6_SURVEY" sheetId="6" r:id="rId6"/>
    <sheet name="7_RESULTS" sheetId="7" r:id="rId7"/>
    <sheet name="8_COVERAGE"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<sst xmlns="http://schemas.openxmlformats.org/spreadsheetml/2006/main" count="3439" uniqueCount="1530">
  <si>
    <t>LOUIS VUITTON — HERITAGE SIGNATURE SCORE</t>
  </si>
  <si>
    <t>Question</t>
  </si>
  <si>
    <t>Does the form of a Louis Vuitton object carry the identity of the House on its own, independently of the Monogram and the initials?</t>
  </si>
  <si>
    <t>Method</t>
  </si>
  <si>
    <t>Each object is rated on eight visual features, none of which refers to the Monogram or to any logotype. The median profile of objects made between 1854 and 1949 defines the historical reference. Every object is then scored by its distance from that reference: S = 1 means an exact match to the historical profile, S = 0 means maximum deviation.</t>
  </si>
  <si>
    <t>Two indices are computed. S8 uses all eight features. S6 removes the two ornament features, so that no part of the score can be explained by the Monogram. The comparison between them is the central result.</t>
  </si>
  <si>
    <t>Validation</t>
  </si>
  <si>
    <t>Thirty black silhouettes — twenty Louis Vuitton objects and ten control-brand objects — are shown to respondents who are asked only whether each is a Louis Vuitton piece. The score is then correlated against recognition. Control brands are included so that recognition cannot be attributed to familiarity alone.</t>
  </si>
  <si>
    <t>Three rules fixed in advance</t>
  </si>
  <si>
    <t>The formula and the eight features were fixed before the survey was run.</t>
  </si>
  <si>
    <t>Survey objects were selected by their S value across the full range, not by appearance.</t>
  </si>
  <si>
    <t>Control brands are mandatory; without them the correlation demonstrates nothing.</t>
  </si>
  <si>
    <t>Sheets</t>
  </si>
  <si>
    <t>2_SCALES — the eight features and their definitions</t>
  </si>
  <si>
    <t>3_OBJECTS — the catalogued objects and their ratings</t>
  </si>
  <si>
    <t>4_BENCHMARK — the historical reference profile, computed from pre-1950 objects</t>
  </si>
  <si>
    <t>5_TIMELINE — the score by decade and by period</t>
  </si>
  <si>
    <t>6_SURVEY — the thirty survey stimuli and the responses</t>
  </si>
  <si>
    <t>7_RESULTS — the correlations and the answer to the question</t>
  </si>
  <si>
    <t>8_COVERAGE — sample composition by decade and object type</t>
  </si>
  <si>
    <t>Blue headers are entered by hand. Grey headers are computed.</t>
  </si>
  <si>
    <t>THE EIGHT FEATURES</t>
  </si>
  <si>
    <t>Rate only what is visible in the image, not what is remembered about the model. None of the eight features refers to the Monogram, the Damier check or any initials — that is the point of the study.</t>
  </si>
  <si>
    <t>rigidity</t>
  </si>
  <si>
    <t>Does the object hold its shape when empty?</t>
  </si>
  <si>
    <t>1 — fully soft; sags, the contents give it its shape</t>
  </si>
  <si>
    <t>2 — soft, with one rigid element such as a base or a batten</t>
  </si>
  <si>
    <t>3 — holds its shape, but the walls flex noticeably</t>
  </si>
  <si>
    <t>4 — rigid body with soft details such as a flap or pockets</t>
  </si>
  <si>
    <t>5 — fully rigid frame on a wooden or fibre base</t>
  </si>
  <si>
    <t>edge_straightness</t>
  </si>
  <si>
    <t>How straight are the edges of the body?</t>
  </si>
  <si>
    <t>1 — no straight section anywhere in the outline</t>
  </si>
  <si>
    <t>2 — curves dominate; one or two straight sections</t>
  </si>
  <si>
    <t>3 — straight and curved sections in roughly equal measure</t>
  </si>
  <si>
    <t>4 — edges straight, corners noticeably rounded</t>
  </si>
  <si>
    <t>5 — all edges straight, corners close to right angles</t>
  </si>
  <si>
    <t>geometry</t>
  </si>
  <si>
    <t>Does the outline reduce to a simple figure?</t>
  </si>
  <si>
    <t>1 — organic form; does not reduce to a simple figure</t>
  </si>
  <si>
    <t>2 — reduces only very approximately</t>
  </si>
  <si>
    <t>3 — reduces with noticeable departures</t>
  </si>
  <si>
    <t>4 — reduces with slight departures</t>
  </si>
  <si>
    <t>5 — outline fully described by a rectangle, trapezoid or cylinder</t>
  </si>
  <si>
    <t>symmetry</t>
  </si>
  <si>
    <t>Mirror symmetry about the vertical axis</t>
  </si>
  <si>
    <t>1 — clearly asymmetric in the body</t>
  </si>
  <si>
    <t>2 — body nearly symmetric, with one large asymmetric element</t>
  </si>
  <si>
    <t>3 — body symmetric; hardware and small details are not</t>
  </si>
  <si>
    <t>4 — everything symmetric except one detail</t>
  </si>
  <si>
    <t>5 — complete mirror symmetry, hardware included</t>
  </si>
  <si>
    <t>ornament_density</t>
  </si>
  <si>
    <t>Share of the surface under a repeating pattern</t>
  </si>
  <si>
    <t>1 — no pattern, or under 10% of the surface</t>
  </si>
  <si>
    <t>2 — pattern covers 10–30%</t>
  </si>
  <si>
    <t>3 — pattern covers 30–50%</t>
  </si>
  <si>
    <t>4 — pattern covers 50–80%</t>
  </si>
  <si>
    <t>5 — pattern covers more than 80% of the surface</t>
  </si>
  <si>
    <t>ornament_regularity</t>
  </si>
  <si>
    <t>How strictly periodic the pattern is</t>
  </si>
  <si>
    <t>1 — no pattern, or motifs placed without order</t>
  </si>
  <si>
    <t>2 — order discernible but frequently broken</t>
  </si>
  <si>
    <t>3 — a lattice with deliberate interruptions</t>
  </si>
  <si>
    <t>4 — almost strict lattice, isolated exceptions</t>
  </si>
  <si>
    <t>5 — strict periodic lattice with no exceptions</t>
  </si>
  <si>
    <t>hardware</t>
  </si>
  <si>
    <t>Number of visible metal elements</t>
  </si>
  <si>
    <t>1 — no metal elements visible</t>
  </si>
  <si>
    <t>2 — one or two elements visible</t>
  </si>
  <si>
    <t>3 — three to six elements visible</t>
  </si>
  <si>
    <t>4 — seven to twelve elements visible</t>
  </si>
  <si>
    <t>5 — more than twelve elements visible</t>
  </si>
  <si>
    <t>travel_function</t>
  </si>
  <si>
    <t>How far the object is made for carrying goods</t>
  </si>
  <si>
    <t>1 — no connection to travel</t>
  </si>
  <si>
    <t>2 — could be taken travelling, but was not made for it</t>
  </si>
  <si>
    <t>3 — everyday object with travel features such as a strap or reinforced corners</t>
  </si>
  <si>
    <t>4 — made for movement, but not for long journeys</t>
  </si>
  <si>
    <t>5 — exists solely to carry goods in transit</t>
  </si>
  <si>
    <t>CATALOGUED OBJECTS</t>
  </si>
  <si>
    <t>Blue headers are entered by hand; grey headers are computed. Data begins at row 5. Intermediate arithmetic is held in hidden columns.</t>
  </si>
  <si>
    <t>obj_id</t>
  </si>
  <si>
    <t>name</t>
  </si>
  <si>
    <t>year</t>
  </si>
  <si>
    <t>decade</t>
  </si>
  <si>
    <t>source</t>
  </si>
  <si>
    <t>link</t>
  </si>
  <si>
    <t>image_file</t>
  </si>
  <si>
    <t>iconic_model</t>
  </si>
  <si>
    <t>include</t>
  </si>
  <si>
    <t>notes</t>
  </si>
  <si>
    <t>n_rigidity</t>
  </si>
  <si>
    <t>n_edge_straightness</t>
  </si>
  <si>
    <t>n_geometry</t>
  </si>
  <si>
    <t>n_symmetry</t>
  </si>
  <si>
    <t>n_ornament_density</t>
  </si>
  <si>
    <t>n_ornament_regularity</t>
  </si>
  <si>
    <t>n_hardware</t>
  </si>
  <si>
    <t>n_travel_function</t>
  </si>
  <si>
    <t>ref_rigidity</t>
  </si>
  <si>
    <t>ref_edge_straightness</t>
  </si>
  <si>
    <t>ref_geometry</t>
  </si>
  <si>
    <t>ref_symmetry</t>
  </si>
  <si>
    <t>ref_ornament_density</t>
  </si>
  <si>
    <t>ref_ornament_regularity</t>
  </si>
  <si>
    <t>ref_hardware</t>
  </si>
  <si>
    <t>ref_travel_function</t>
  </si>
  <si>
    <t>dev_rigidity</t>
  </si>
  <si>
    <t>dev_edge_straightness</t>
  </si>
  <si>
    <t>dev_geometry</t>
  </si>
  <si>
    <t>dev_symmetry</t>
  </si>
  <si>
    <t>dev_ornament_density</t>
  </si>
  <si>
    <t>dev_ornament_regularity</t>
  </si>
  <si>
    <t>dev_hardware</t>
  </si>
  <si>
    <t>dev_travel_function</t>
  </si>
  <si>
    <t>S8 (all 8)</t>
  </si>
  <si>
    <t>in_survey</t>
  </si>
  <si>
    <t>type</t>
  </si>
  <si>
    <t>S6 (no ornament)</t>
  </si>
  <si>
    <t>pre_rigidity</t>
  </si>
  <si>
    <t>pre_edge_straightness</t>
  </si>
  <si>
    <t>pre_geometry</t>
  </si>
  <si>
    <t>pre_symmetry</t>
  </si>
  <si>
    <t>pre_ornament_density</t>
  </si>
  <si>
    <t>pre_ornament_regularity</t>
  </si>
  <si>
    <t>pre_hardware</t>
  </si>
  <si>
    <t>pre_travel_function</t>
  </si>
  <si>
    <t>mod_rigidity</t>
  </si>
  <si>
    <t>mod_edge_straightness</t>
  </si>
  <si>
    <t>mod_geometry</t>
  </si>
  <si>
    <t>mod_symmetry</t>
  </si>
  <si>
    <t>mod_ornament_density</t>
  </si>
  <si>
    <t>mod_ornament_regularity</t>
  </si>
  <si>
    <t>mod_hardware</t>
  </si>
  <si>
    <t>mod_travel_function</t>
  </si>
  <si>
    <t>A RARE, HERMETIC COPPER EXPLORER WARDROBE TRUNK WITH BRASS HARDWARE</t>
  </si>
  <si>
    <t>Christie's</t>
  </si>
  <si>
    <t>https://onlineonly.christies.com/s/legendary-trunks-european-private-collection/rare-hermetic-copper-explorer-wardrobe-trunk-brass-hardware-50/227376</t>
  </si>
  <si>
    <t>LV0001.png</t>
  </si>
  <si>
    <t>no</t>
  </si>
  <si>
    <t>yes</t>
  </si>
  <si>
    <t>trunk</t>
  </si>
  <si>
    <t>A RARE, LIMITED EDITION YELLOW &amp; BLACK MONOGRAM LEATHER PUMPKIN BAG WITH SILVER HARDWARE BY YAYOI KUSAMA</t>
  </si>
  <si>
    <t>https://onlineonly.christies.com/s/handbags-online-september-edition/rare-limited-edition-yellow-black-monogram-leather-pumpkin-bag-silver-60/231632</t>
  </si>
  <si>
    <t>LV0002.png</t>
  </si>
  <si>
    <t>bag</t>
  </si>
  <si>
    <t>A RARE, HERMETIC COPPER RIFLE TRUNK WITH BRASS HARDWARE</t>
  </si>
  <si>
    <t>https://onlineonly.christies.com/s/legendary-trunks-european-private-collection/rare-hermetic-copper-rifle-trunk-brass-hardware-45/227574</t>
  </si>
  <si>
    <t>LV0003.png</t>
  </si>
  <si>
    <t>suitcase</t>
  </si>
  <si>
    <t>A RARE, CLASSIC MONOGRAM HIGH TEA TRUNK WITH BRASS HARDWARE</t>
  </si>
  <si>
    <t>https://www.christies.com/en/lot/lot-6586998</t>
  </si>
  <si>
    <t>LV0004.png</t>
  </si>
  <si>
    <t>A RARE, ALUMINIUM EXPLORER TRUNK</t>
  </si>
  <si>
    <t>https://www.christies.com/en/lot/lot-6177673</t>
  </si>
  <si>
    <t>LV0005.png</t>
  </si>
  <si>
    <t>A LIMITED EDITION RED &amp; WHITE MONOGRAM MALLE COURRIER 90 TRUNK WITH SILVER HARDWARE BY SUPREME</t>
  </si>
  <si>
    <t>https://www.christies.com/en/lot/lot-6205936</t>
  </si>
  <si>
    <t>LV0006.png</t>
  </si>
  <si>
    <t>A RARE, HERMETIC ZINC EXPLORER TRUNK WITH BRASS HARDWARE</t>
  </si>
  <si>
    <t>https://onlineonly.christies.com/s/legendary-trunks-european-private-collection-part-ii/rare-hermetic-zinc-explorer-trunk-brass-hardware-38/262989</t>
  </si>
  <si>
    <t>LV0007.png</t>
  </si>
  <si>
    <t>A RARE, BRASS EXPLORER TRUNK</t>
  </si>
  <si>
    <t>https://www.christies.com/en/lot/lot-6205939</t>
  </si>
  <si>
    <t>LV0008.png</t>
  </si>
  <si>
    <t>https://onlineonly.christies.com/s/legendary-trunks-european-private-collection-part-ii/rare-hermetic-zinc-explorer-trunk-brass-hardware-41/262988</t>
  </si>
  <si>
    <t>LV0009.png</t>
  </si>
  <si>
    <t>A RED VUITTONITE CANVAS TRUNK WITH BRASS HARDWARE</t>
  </si>
  <si>
    <t>https://onlineonly.christies.com/s/legendary-trunks-european-private-collection/red-vuittonite-canvas-trunk-brass-hardware-34/227357</t>
  </si>
  <si>
    <t>LV0010.png</t>
  </si>
  <si>
    <t>A MONOGRAM CANVAS DESK TRUNK FOR THIRTY PAIRS OF SHOES WITH BRASS HARDWARE</t>
  </si>
  <si>
    <t>https://onlineonly.christies.com/s/legendary-trunks-european-private-collection-part-ii/monogram-canvas-desk-trunk-thirty-pairs-shoes-brass-hardware-31/262977</t>
  </si>
  <si>
    <t>LV0011.png</t>
  </si>
  <si>
    <t>A MONOGRAM CANVAS LIBRARY TRUNK WITH BRASS HARDWARE</t>
  </si>
  <si>
    <t>https://onlineonly.christies.com/s/legendary-trunks-european-private-collection/monogram-canvas-library-trunk-brass-hardware-22/227559</t>
  </si>
  <si>
    <t>LV0012.png</t>
  </si>
  <si>
    <t>A LOUIS VUITTON LIMITED EDITION YELLOW STEAMER TRUNK BY VIRGIL ABLOH</t>
  </si>
  <si>
    <t>https://onlineonly.christies.com/s/greats-streetwear-sneakers-collectibles/louis-vuitton-limited-edition-yellow-steamer-trunk-virgil-abloh-28/173076</t>
  </si>
  <si>
    <t>LV0013.png</t>
  </si>
  <si>
    <t>A MONOGRAM CANVAS COURRIER 110 TRUNK WITH BRASS HARDWARE</t>
  </si>
  <si>
    <t>https://onlineonly.christies.com/s/legendary-trunks-european-private-collection/monogram-canvas-courrier-110-trunk-brass-hardware-51/227377</t>
  </si>
  <si>
    <t>LV0014.png</t>
  </si>
  <si>
    <t>A RARE, HERMETIC ZINC EXPLORER TRUNK WITH BRASS HARDWARE (2)</t>
  </si>
  <si>
    <t>https://onlineonly.christies.com/s/legendary-trunks-european-private-collection/rare-hermetic-zinc-explorer-trunk-brass-hardware-59/227580</t>
  </si>
  <si>
    <t>LV0015.png</t>
  </si>
  <si>
    <t>A RARE, MONOGRAM CANVAS CASINO TRUNK WITH BRASS HARDWARE</t>
  </si>
  <si>
    <t>https://onlineonly.christies.com/s/legendary-trunks-european-private-collection/rare-monogram-canvas-casino-trunk-brass-hardware-36/227569</t>
  </si>
  <si>
    <t>LV0016.png</t>
  </si>
  <si>
    <t>A SHINY BROWN POROSUS CROCODILE &amp; TORTOISE SHELL TOILETRY KIT TRUNK WITH BRASS HARDWARE</t>
  </si>
  <si>
    <t>https://onlineonly.christies.com/s/legendary-trunks-european-private-collection-part-ii/shiny-brown-porosus-crocodile-tortoise-shell-toiletry-kit-trunk-brass-69/263017</t>
  </si>
  <si>
    <t>LV0017.png</t>
  </si>
  <si>
    <t>A LIMITED EDITION CLASSIC MONOGRAM &amp; MULTICOLOR DOTS PYRAMID SET OF FOUR BISTEN WITH BRASS HARDWARE BY YAYOI KUSAMA</t>
  </si>
  <si>
    <t>https://www.christies.com/en/lot/lot-6558305</t>
  </si>
  <si>
    <t>LV0018.png</t>
  </si>
  <si>
    <t>A LIMITED EDITION PAINTED MONOGRAM COURRIER LOZINE TRUNK 110 WITH BLACK HARDWARE BY VIRGIL ABLOH</t>
  </si>
  <si>
    <t>https://www.christies.com/en/lot/lot-6399673</t>
  </si>
  <si>
    <t>LV0019.png</t>
  </si>
  <si>
    <t>A MONOGRAM CANVAS TRUNK FOR 1000 CIGARS WITH BRASS HARDWARE</t>
  </si>
  <si>
    <t>https://onlineonly.christies.com/s/legendary-trunks-european-private-collection-part-ii/monogram-canvas-trunk-1000-cigars-brass-hardware-57/263004</t>
  </si>
  <si>
    <t>LV0020.png</t>
  </si>
  <si>
    <t>A MONOGRAM CANVAS LADY'S HIGH 110 TRUNK WITH BRASS HARDWARE</t>
  </si>
  <si>
    <t>https://onlineonly.christies.com/s/legendary-trunks-european-private-collection/monogram-canvas-ladys-high-110-trunk-brass-hardware-25/227561</t>
  </si>
  <si>
    <t>LV0021.png</t>
  </si>
  <si>
    <t>A SPECIAL ORDER WATCH MONOGRAM TRUNK</t>
  </si>
  <si>
    <t>https://www.christies.com/en/lot/lot-6373833</t>
  </si>
  <si>
    <t>LV0022.png</t>
  </si>
  <si>
    <t>A SPECIAL ORDER JAPANESE TEA CEREMONY DAMIER TRUNK</t>
  </si>
  <si>
    <t>https://www.christies.com/en/lot/lot-6399677</t>
  </si>
  <si>
    <t>LV0023.png</t>
  </si>
  <si>
    <t>A LIMITED EDITION PAINTED PUMPKIN MONOGRAM COURRIER LOZINE TRUNK 110 BY YAYOI KUSAMA</t>
  </si>
  <si>
    <t>https://www.christies.com/en/lot/lot-6558304</t>
  </si>
  <si>
    <t>LV0024.png</t>
  </si>
  <si>
    <t>A MONOGRAM CANVAS TRUNK WITH DOORS AND DRAWERS WITH BRASS HARDWARE</t>
  </si>
  <si>
    <t>https://onlineonly.christies.com/s/legendary-trunks-european-private-collection/monogram-canvas-trunk-doors-drawers-brass-hardware-43/227367</t>
  </si>
  <si>
    <t>LV0025.png</t>
  </si>
  <si>
    <t>RARE, MONOGRAM CANVAS FISHING TRUNK WITH BRASS HARDWARE</t>
  </si>
  <si>
    <t>https://onlineonly.christies.com/s/legendary-trunks-european-private-collection/rare-monogram-canvas-fishing-trunk-brass-hardware-21/227560</t>
  </si>
  <si>
    <t>LV0026.png</t>
  </si>
  <si>
    <t>A GREEN VUITTONITE CANVAS COURRIER 90 TRUNK WITH BLACK LACQUERED IRON HARDWARE</t>
  </si>
  <si>
    <t>https://onlineonly.christies.com/s/legendary-trunks-european-private-collection/green-vuittonite-canvas-courrier-90-trunk-black-lacquered-iron-65/227584</t>
  </si>
  <si>
    <t>LV0027.png</t>
  </si>
  <si>
    <t>AN ORANGE VUITTONITE CANVAS COURRIER 100 TRUNK WITH BRASS HARDWARE</t>
  </si>
  <si>
    <t>https://onlineonly.christies.com/s/legendary-trunks-european-private-collection/orange-vuittonite-canvas-courrier-100-trunk-brass-hardware-6/227545</t>
  </si>
  <si>
    <t>LV0028.png</t>
  </si>
  <si>
    <t>A LIMITED EDITION BLACK RAINBOW MONOGRAM MALLE COURRIER 110 TRUNK WITH BLACK HARDWARE BY VIRGIL ABLOH</t>
  </si>
  <si>
    <t>https://www.christies.com/en/lot/lot-6293493</t>
  </si>
  <si>
    <t>LV0029.png</t>
  </si>
  <si>
    <t>A NATURAL COWHIDE LEATHER PICNIC TRUNK WITH BRASS HARDWARE</t>
  </si>
  <si>
    <t>https://onlineonly.christies.com/s/legendary-trunks-european-private-collection/natural-cowhide-leather-picnic-trunk-brass-hardware-3/227328</t>
  </si>
  <si>
    <t>LV0030.png</t>
  </si>
  <si>
    <t>case</t>
  </si>
  <si>
    <t>A DAMIER CANVAS TRUNK WITH DOORS AND DRAWERS WITH BRASS HARDWARE</t>
  </si>
  <si>
    <t>https://onlineonly.christies.com/s/legendary-trunks-european-private-collection/damier-canvas-trunk-doors-drawers-brass-hardware-82/227407</t>
  </si>
  <si>
    <t>LV0031.png</t>
  </si>
  <si>
    <t>A LIMITED EDITION FIFA WORLD CUP OFFICIAL MATCH BALL MONOGRAM TRUNK</t>
  </si>
  <si>
    <t>https://www.christies.com/en/lot/lot-6373834</t>
  </si>
  <si>
    <t>LV0032.png</t>
  </si>
  <si>
    <t>A SPECIAL ORDER NIGHT PICNIC ASTRONOMY TELESCOPE MONOGRAM TRUNK DESIGNED BY PATRICK LOUIS VUITTON &amp; A PRIVATE COLLECTOR</t>
  </si>
  <si>
    <t>https://www.christies.com/en/lot/lot-6373835</t>
  </si>
  <si>
    <t>LV0033.png</t>
  </si>
  <si>
    <t>A STANDING WARDROBE DAMIER TRUNK</t>
  </si>
  <si>
    <t>https://www.christies.com/en/lot/lot-6399675</t>
  </si>
  <si>
    <t>LV0034.png</t>
  </si>
  <si>
    <t>A RARE, CHRISTMAS ORNAMENTS MONOGRAM TRUNK</t>
  </si>
  <si>
    <t>https://www.christies.com/en/lot/lot-6399676</t>
  </si>
  <si>
    <t>LV0035.png</t>
  </si>
  <si>
    <t>AN ORANGE VUITTONITE CANVAS DOUBLE-DRAWER WARDROBE TRUNK WITH BRASS HARDWARE</t>
  </si>
  <si>
    <t>https://onlineonly.christies.com/s/legendary-trunks-european-private-collection/orange-vuittonite-canvas-double-drawer-wardrobe-trunk-brass-hardware-30/227355</t>
  </si>
  <si>
    <t>LV0036.png</t>
  </si>
  <si>
    <t>A MAHOGANY RUNNING-BOARD TRUNK FOR AUTOMOBILE TOOLS WITH BRASS HARDWARE</t>
  </si>
  <si>
    <t>https://onlineonly.christies.com/s/legendary-trunks-european-private-collection/mahogany-running-board-trunk-automobile-tools-brass-hardware-83/227592</t>
  </si>
  <si>
    <t>LV0037.png</t>
  </si>
  <si>
    <t>circa 1910</t>
  </si>
  <si>
    <t>A VERY RARE, BROWN AND TAN PATTERNED STENCILED CANVAS &amp; WOOD MALLE COURRIER 110</t>
  </si>
  <si>
    <t>https://onlineonly.christies.com/s/handbags-online-new-york-edit/very-rare-brown-tan-patterned-stenciled-canvas-wood-malle-courrier-110-63/205210</t>
  </si>
  <si>
    <t>LV0038.png</t>
  </si>
  <si>
    <t>circa 1890</t>
  </si>
  <si>
    <t>A CUSTOM GRAPHITE DAMIER CANVAS WATCH &amp; JEWELLERY TRUNK</t>
  </si>
  <si>
    <t>https://www.christies.com/en/lot/lot-6144072</t>
  </si>
  <si>
    <t>LV0039.png</t>
  </si>
  <si>
    <t>A NATURAL COWHIDE LEATHER IDEAL TRUNK WITH BRASS HARDWARE</t>
  </si>
  <si>
    <t>https://onlineonly.christies.com/s/legendary-trunks-european-private-collection/natural-cowhide-leather-ideal-trunk-brass-hardware-5/227546</t>
  </si>
  <si>
    <t>LV0040.png</t>
  </si>
  <si>
    <t>A LIMITED EDITION CLASSIC MONOGRAM CANVAS &amp; BLACK CALFSKIN AIRPLANE-SHAPE BAG WITH BLACK HARDWARE BY VIRGIL ABLOH</t>
  </si>
  <si>
    <t>https://www.christies.com/en/lot/lot-6558303</t>
  </si>
  <si>
    <t>LV0041.png</t>
  </si>
  <si>
    <t>airplane shaped</t>
  </si>
  <si>
    <t>A RARE, MONOGRAM CANVAS EXPLORATOR'S CAMP BED TRUNK WITH BRASS HARDWARE</t>
  </si>
  <si>
    <t>https://onlineonly.christies.com/s/legendary-trunks-european-private-collection-part-ii/rare-monogram-canvas-explorators-camp-bed-trunk-brass-hardware-33/262983</t>
  </si>
  <si>
    <t>LV0042.png</t>
  </si>
  <si>
    <t>A DAMIER CANVAS MEN HIGH 90 TRUNK WITH BRASS HARDWARE</t>
  </si>
  <si>
    <t>https://onlineonly.christies.com/s/legendary-trunks-european-private-collection/damier-canvas-men-high-90-trunk-brass-hardware-61/227385</t>
  </si>
  <si>
    <t>LV0043.png</t>
  </si>
  <si>
    <t>A GROUP OF TWO: AN ORANGE VUITTONITE CANVAS DESK TRUNK FOR LINEN &amp; AN ORANGE VUITTONITE CANVAS LOW 110 TRUNK WITH BRASS HARDWARE</t>
  </si>
  <si>
    <t>https://onlineonly.christies.com/s/legendary-trunks-european-private-collection-part-ii/group-two-orange-vuittonite-canvas-desk-trunk-linen-orange-vuittonite-11/262958</t>
  </si>
  <si>
    <t>LV0044.png</t>
  </si>
  <si>
    <t>A MATTE WHITE &amp; SILVER HIMALAYA NILOTICUS CROCODILE MINI CAPUCINES WITH SILVER HARDWARE</t>
  </si>
  <si>
    <t>https://onlineonly.christies.com/s/handbags-online-paris-edit/matte-white-silver-himalaya-niloticus-crocodile-mini-capucines-silver-164/278818</t>
  </si>
  <si>
    <t>LV0045.png</t>
  </si>
  <si>
    <t>A SPECIAL ORDER SHINY BROWN ALLIGATOR CAVIAR SET BOX WITH GOLD HARDWARE</t>
  </si>
  <si>
    <t>https://onlineonly.christies.com/s/legendary-trunks-european-private-collection/special-order-shiny-brown-alligator-caviar-set-box-gold-hardware-71/227394</t>
  </si>
  <si>
    <t>LV0046.png</t>
  </si>
  <si>
    <t>A RARE, MONOGRAM PAPER &amp; WOOD MINI FLOWER TRUNK WITH BRASS HARDWARE</t>
  </si>
  <si>
    <t>https://onlineonly.christies.com/s/legendary-trunks-european-private-collection-part-ii/rare-monogram-paper-wood-mini-flower-trunk-brass-hardware-37/262987</t>
  </si>
  <si>
    <t>LV0047.png</t>
  </si>
  <si>
    <t>A COURRIER DAMIER TRUNK</t>
  </si>
  <si>
    <t>https://www.christies.com/en/lot/lot-6399674</t>
  </si>
  <si>
    <t>LV0048.png</t>
  </si>
  <si>
    <t>A RARE, MONOGRAM CANVAS LIBRARY TRUNK WITH SET OF 1911 BRITANNICA ENCYCLOPAEDIA WITH BRASS HARDWARE</t>
  </si>
  <si>
    <t>https://onlineonly.christies.com/s/legendary-trunks-european-private-collection/rare-monogram-canvas-library-trunk-set-1911-britannica-encyclopaedia-41/227572</t>
  </si>
  <si>
    <t>LV0049.png</t>
  </si>
  <si>
    <t>crica 1911</t>
  </si>
  <si>
    <t>A MONOGRAM CANVAS WARDROBE TRUNK WITH BRASS HARDWARE</t>
  </si>
  <si>
    <t>https://onlineonly.christies.com/s/legendary-trunks-european-private-collection/monogram-canvas-wardrobe-trunk-brass-hardware-80/227404</t>
  </si>
  <si>
    <t>LV0050.png</t>
  </si>
  <si>
    <t>A PERSONALIZED BROWN MONOGRAM CANVAS PÉGASE 50</t>
  </si>
  <si>
    <t>https://onlineonly.christies.com/s/handbags-online-new-york-edit/personalized-brown-monogram-canvas-pegase-50-62/205205</t>
  </si>
  <si>
    <t>LV0051.png</t>
  </si>
  <si>
    <t>crica 2000</t>
  </si>
  <si>
    <t>other</t>
  </si>
  <si>
    <t>A LIMITED EDITION PAINTED PUMPKIN MONOGRAM WATCH BOX WITH BRASS HARDWARE BY YAYOI KUSAMA</t>
  </si>
  <si>
    <t>https://www.christies.com/en/lot/lot-6532730</t>
  </si>
  <si>
    <t>LV0052.png</t>
  </si>
  <si>
    <t>A SHINY EMERALD GREEN ALLIGATOR MINI CAPUCINES WITH GOLD HARDWARE</t>
  </si>
  <si>
    <t>https://onlineonly.christies.com/s/handbags-online-paris-edit/shiny-emerald-green-alligator-mini-capucines-gold-hardware-202/278855</t>
  </si>
  <si>
    <t>LV0053.png</t>
  </si>
  <si>
    <t>A RARE EXTRA TALL MONOGRAM CANVAS WARDROBE TRUNK</t>
  </si>
  <si>
    <t>https://www.christies.com/en/lot/lot-5764569</t>
  </si>
  <si>
    <t>LV0054.png</t>
  </si>
  <si>
    <t>A LIMITED EDITION RED EPI LEATHER SUPREME KEEPALL 45 WITH SILVER HARDWARE</t>
  </si>
  <si>
    <t>https://www.christies.com/en/lot/lot-6205935</t>
  </si>
  <si>
    <t>LV0055.png</t>
  </si>
  <si>
    <t>A RARE LOUIS VUITTON 'MALLE SECRETAIRE' MONOGRAM CANVAS TRUNK</t>
  </si>
  <si>
    <t>https://www.christies.com/en/lot/lot-5921716</t>
  </si>
  <si>
    <t>LV0056.png</t>
  </si>
  <si>
    <t>circa 1920</t>
  </si>
  <si>
    <t>A RARE, MATTE BALLET ROSE SAHARA ALLIGATOR CAPUCINES BB WITH ROSE GOLD HARDWARE</t>
  </si>
  <si>
    <t>https://www.christies.com/en/lot/lot-6586994</t>
  </si>
  <si>
    <t>LV0057.png</t>
  </si>
  <si>
    <t>circa 2024</t>
  </si>
  <si>
    <t>https://onlineonly.christies.com/s/legendary-trunks-european-private-collection-part-ii/monogram-canvas-wardrobe-trunk-brass-hardware-61/263009</t>
  </si>
  <si>
    <t>LV0058.png</t>
  </si>
  <si>
    <t>A MATTE WHITE HIMALAYA CROCODILE CITY STEAMER PM WITH SILVER HARDWARE</t>
  </si>
  <si>
    <t>https://onlineonly.christies.com/s/handbags-online-power-colour/matte-white-himalaya-crocodile-city-steamer-pm-silver-hardware-128/159190</t>
  </si>
  <si>
    <t>LV0059.png</t>
  </si>
  <si>
    <t>circa 2020</t>
  </si>
  <si>
    <t>A LIMITED EDITION ORANGE MAT MONOGRAM &amp; NATURAL LEATHER BANDOULIÈRE VIA SPEEDY P9 40 WITH GOLD HARDWARE BY PHARRELL WILLIAMS</t>
  </si>
  <si>
    <t>https://onlineonly.christies.com/s/handbags-online-paris-edit-unlocking-orange-dream-part-ii/limited-edition-orange-mat-monogram-natural-leather-bandouliere-speedy-66/257067</t>
  </si>
  <si>
    <t>LV0060.png</t>
  </si>
  <si>
    <t>A LIMITED EDITION EMBROIDERED CALFSKIN LEATHER ARTYCAPUCINES WITH GIRAFFE CHARM BY JONAS WOOD</t>
  </si>
  <si>
    <t>https://www.christies.com/en/lot/lot-6319603</t>
  </si>
  <si>
    <t>LV0061.png</t>
  </si>
  <si>
    <t>A NATURAL WOOD COURRIER 80 TRUNK WITH BLACK LACQUERED IRON HARDWARE</t>
  </si>
  <si>
    <t>https://onlineonly.christies.com/s/legendary-trunks-european-private-collection-part-ii/natural-wood-courrier-80-trunk-black-lacquered-iron-hardware-103/263053</t>
  </si>
  <si>
    <t>LV0062.png</t>
  </si>
  <si>
    <t>circa 1870</t>
  </si>
  <si>
    <t>A SHINY BROWN POROSUS CROCODILE TOILETRY KIT TRUNK WITH BRASS HARDWARE</t>
  </si>
  <si>
    <t>https://onlineonly.christies.com/s/legendary-trunks-european-private-collection/shiny-brown-porosus-crocodile-toiletry-kit-trunk-brass-hardware-92/227416</t>
  </si>
  <si>
    <t>LV0063.png</t>
  </si>
  <si>
    <t>https://onlineonly.christies.com/s/legendary-trunks-european-private-collection/natural-cowhide-leather-ideal-trunk-brass-hardware-8/227548</t>
  </si>
  <si>
    <t>LV0064.png</t>
  </si>
  <si>
    <t>A MONOGRAM FABRIC CANVAS MEN'S LOW 90 TRUNK WITH BLACK LACQUERED IRON &amp; BRASS HARDWARE</t>
  </si>
  <si>
    <t>https://onlineonly.christies.com/s/legendary-trunks-european-private-collection-part-ii/monogram-fabric-canvas-mens-low-90-trunk-black-lacquered-iron-brass-4/262953</t>
  </si>
  <si>
    <t>LV0065.png</t>
  </si>
  <si>
    <t>A GRIS TRIANON COATED CANVAS LOW TRUNK WITH BLACK LACQUERED IRON HARDWARE</t>
  </si>
  <si>
    <t>https://onlineonly.christies.com/s/legendary-trunks-european-private-collection-part-ii/gris-trianon-coated-canvas-low-trunk-black-lacquered-iron-hardware-85/263033</t>
  </si>
  <si>
    <t>LV0066.png</t>
  </si>
  <si>
    <t>A LIMITED EDITION CLASSIC MONOGRAM CANVAS POOCH BAG WITH GOLD HARDWARE BY PHARRELL WILLIAMS</t>
  </si>
  <si>
    <t>https://onlineonly.christies.com/s/handbags-online-new-york-edit/limited-edition-classic-monogram-canvas-pooch-bag-gold-hardware-251/284551</t>
  </si>
  <si>
    <t>LV0067.png</t>
  </si>
  <si>
    <t>A NATURAL COWHIDE LEATHER WARDROBE TRUNK WITH BRASS HARDWARE</t>
  </si>
  <si>
    <t>https://onlineonly.christies.com/s/legendary-trunks-european-private-collection/natural-cowhide-leather-wardrobe-trunk-brass-hardware-24/227562</t>
  </si>
  <si>
    <t>LV0068.png</t>
  </si>
  <si>
    <t>A LIMITED EDITION BROWN CALFSKIN SATCHEL WITH GOLD HARDWARE</t>
  </si>
  <si>
    <t>https://onlineonly.christies.com/s/handbags-online-paris-edit/limited-edition-brown-calfskin-satchel-gold-hardware-219/314188</t>
  </si>
  <si>
    <t>LV0069.png</t>
  </si>
  <si>
    <t>A DAMIER CANVAS LADY'S HIGH 100 TRUNK WITH BRASS HARDWARE</t>
  </si>
  <si>
    <t>https://onlineonly.christies.com/s/legendary-trunks-european-private-collection/damier-canvas-ladys-high-100-trunk-brass-hardware-27/227352</t>
  </si>
  <si>
    <t>LV0070.png</t>
  </si>
  <si>
    <t>AN ORANGE VUITTONITE CANVAS CABIN 110 TRUNK WITH BRASS HARDWARE</t>
  </si>
  <si>
    <t>https://onlineonly.christies.com/s/legendary-trunks-european-private-collection-part-ii/orange-vuittonite-canvas-cabin-110-trunk-brass-hardware-7/262955</t>
  </si>
  <si>
    <t>LV0071.png</t>
  </si>
  <si>
    <t>A MONOGRAM CANVAS CABIN 80 TRUNK WITH BRASS HARDWARE</t>
  </si>
  <si>
    <t>https://onlineonly.christies.com/s/legendary-trunks-european-private-collection-part-ii/monogram-canvas-cabin-80-trunk-brass-hardware-18/262966</t>
  </si>
  <si>
    <t>LV0072.png</t>
  </si>
  <si>
    <t>A BROWN &amp; BEIGE STRIPED CANVAS LOW 110 TRUNK WITH BLACK LACQUERED IRON &amp; BRASS HARDWARE</t>
  </si>
  <si>
    <t>https://onlineonly.christies.com/s/legendary-trunks-european-private-collection-part-ii/brown-beige-striped-canvas-low-110-trunk-black-lacquered-iron-brass-29/262979</t>
  </si>
  <si>
    <t>LV0073.png</t>
  </si>
  <si>
    <t>A LIMITED EDITION MIRROR MONOGRAM SPEAKER TRUNK</t>
  </si>
  <si>
    <t>https://www.christies.com/en/lot/lot-6586975</t>
  </si>
  <si>
    <t>LV0074.png</t>
  </si>
  <si>
    <t>A LARGE ALZER SUITCASE</t>
  </si>
  <si>
    <t>https://www.christies.com/en/lot/lot-6100124</t>
  </si>
  <si>
    <t>LV0075.png</t>
  </si>
  <si>
    <t>1960s</t>
  </si>
  <si>
    <t>A TRUNK IN NATURAL COW HIDE</t>
  </si>
  <si>
    <t>https://www.christies.com/en/lot/lot-5403059</t>
  </si>
  <si>
    <t>LV0076.png</t>
  </si>
  <si>
    <t>circa 1904</t>
  </si>
  <si>
    <t>A GRIS TRIANON CANVAS TRUNK WITH BLACK LACQUERED IRON HARDWARE</t>
  </si>
  <si>
    <t>https://onlineonly.christies.com/s/legendary-trunks-european-private-collection/gris-trianon-canvas-trunk-black-lacquered-iron-hardware-60/227578</t>
  </si>
  <si>
    <t>LV0077.png</t>
  </si>
  <si>
    <t>A WHITE, BLUSH &amp; METALLIC ALLIGATOR PETITE MALLE WITH BRUSHED ROSE GOLD HARDWARE</t>
  </si>
  <si>
    <t>https://onlineonly.christies.com/s/handbags-online-new-york-edit/white-blush-metallic-alligator-petite-malle-brushed-rose-gold-hardware-150/260333</t>
  </si>
  <si>
    <t>LV0078.png</t>
  </si>
  <si>
    <t>A FUCHSIA MONOGRAM VERNIS PATENT LEATHER PÉGASE 55</t>
  </si>
  <si>
    <t>https://onlineonly.christies.com/s/collection-sir-elton-john-out-closet/fuchsia-monogram-vernis-patent-leather-pegase-55-1329/209124</t>
  </si>
  <si>
    <t>LV0079.png</t>
  </si>
  <si>
    <t>https://onlineonly.christies.com/s/legendary-trunks-european-private-collection-part-ii/monogram-canvas-wardrobe-trunk-brass-hardware-78/263028</t>
  </si>
  <si>
    <t>LV0080.png</t>
  </si>
  <si>
    <t>‘Malle Haute’ trunk</t>
  </si>
  <si>
    <t>Victoria and Albert Museum</t>
  </si>
  <si>
    <t>https://www.vam.ac.uk/articles/trunks-and-travelling</t>
  </si>
  <si>
    <t>LV0081.png</t>
  </si>
  <si>
    <t>‘Monogram Miroir’ Speedy handbag</t>
  </si>
  <si>
    <t>https://collections.vam.ac.uk/item/O1496951/louis-vuitton-monogram-miroir-speedy-handbag-marc-jacobs/</t>
  </si>
  <si>
    <t>LV0082.png</t>
  </si>
  <si>
    <t>Christopher' backpack</t>
  </si>
  <si>
    <t>https://collections.vam.ac.uk/item/O1532382/christopher-backpack-bag-louis-vuitton/</t>
  </si>
  <si>
    <t>LV0083.png</t>
  </si>
  <si>
    <t>Graffiti Keepall 50' bag</t>
  </si>
  <si>
    <t>https://collections.vam.ac.uk/item/O1518732/graffiti-keepall-50-bag-bag-sprouse-stephen/</t>
  </si>
  <si>
    <t>LV0084.png</t>
  </si>
  <si>
    <t>‘Eye Need You’ bag</t>
  </si>
  <si>
    <t>https://collections.vam.ac.uk/item/O1500006/eye-need-you-bag-handbag-murakami-takashi/</t>
  </si>
  <si>
    <t>LV0085.png</t>
  </si>
  <si>
    <t>A GROUP OF TWO: A NAVY BLUE CALFSKIN LEATHER &amp; BEADS FLEURS D'ASNIÈRES CAPUCINES BB WITH GOLD HARDWARE AND A MAGNOLIA TAURILLON LEATHER STUDDED CAPUCINES BB WITH GOLD &amp; SILVER HARDWARE</t>
  </si>
  <si>
    <t>https://onlineonly.christies.com/s/handbags-online-paris-edit-unlocking-orange-dream-part-ii/group-two-navy-blue-calfskin-leather-beads-fleurs-dasnieres-capucines-140/257142</t>
  </si>
  <si>
    <t>LV0086.png</t>
  </si>
  <si>
    <t>A SHINY BLUE CROCODILE LOCKIT MM WITH SILVER HARDWARE</t>
  </si>
  <si>
    <t>https://www.christies.com/en/lot/lot-5998315</t>
  </si>
  <si>
    <t>LV0087.png</t>
  </si>
  <si>
    <t>A SILK, CASHMERE &amp; EMBROIDERY GARDEN IN HELL SAC WEEKEND BY JAKE &amp; DINOS CHAPMAN, No. 7/10</t>
  </si>
  <si>
    <t>https://www.christies.com/en/lot/lot-5998391</t>
  </si>
  <si>
    <t>LV0088.png</t>
  </si>
  <si>
    <t>A CANVAS ALUMINIUM BOUND TRUNK</t>
  </si>
  <si>
    <t>https://www.christies.com/en/lot/lot-6234573</t>
  </si>
  <si>
    <t>LV0089.png</t>
  </si>
  <si>
    <t>A LIMITED EDITION CLASSIC CANVAS SUPERFLAT JEWELLERY BOX BY TAKASHI MURAKAMI</t>
  </si>
  <si>
    <t>https://onlineonly.christies.com/s/handbags-online-london-edition/limited-edition-classic-canvas-superflat-jewellery-box-takashi-109/88138</t>
  </si>
  <si>
    <t>LV0090.png</t>
  </si>
  <si>
    <t>interesting pattern</t>
  </si>
  <si>
    <t>A MATTE CARAMEL ALLIGATOR VOLTA WITH GOLD HARDWARE</t>
  </si>
  <si>
    <t>https://onlineonly.christies.com/s/handbags-accessories-online-timeless-luxury/matte-caramel-alligator-volta-gold-hardware-61/61696</t>
  </si>
  <si>
    <t>LV0091.png</t>
  </si>
  <si>
    <t>A RED &amp; WHITE EPI LEATHER CHRISTOPHER BACKPACK WITH SILVER HARDWARE BY SUPREME</t>
  </si>
  <si>
    <t>https://onlineonly.christies.com/s/handbags-accessories/red-white-epi-leather-christopher-backpack-silver-hardware-supreme-34/50461</t>
  </si>
  <si>
    <t>LV0092.png</t>
  </si>
  <si>
    <t>A LIMITED EDITION SHINY BLACK &amp; GOLD AURORA ALLIGATOR MINI CAPUCINES WITH GOLD HARDWARE</t>
  </si>
  <si>
    <t>https://onlineonly.christies.com/s/handbags-online-paris-edit/group-two-limited-edition-shiny-black-gold-aurora-alligator-mini-290/278719</t>
  </si>
  <si>
    <t>LV0093.png</t>
  </si>
  <si>
    <t>A LIMITED EDITION CANNES VASE ARCHITETTURA BAG WITH GOLD HARDWARE BY FORNASETTI</t>
  </si>
  <si>
    <t>https://onlineonly.christies.com/s/handbags-online-hong-kong-edit/limited-edition-cannes-vase-architettura-bag-gold-hardware-fornasetti-212/214613</t>
  </si>
  <si>
    <t>LV0094.png</t>
  </si>
  <si>
    <t>A LIMITED EDITION GREEN &amp; BLACK MONOGRAMOUFLAGE COATED CANVAS KEEPALL BANDOULIÈRE 55 BY TAKASHI MURAKAMI</t>
  </si>
  <si>
    <t>https://onlineonly.christies.com/s/handbags-online-new-york-edit/limited-edition-green-black-monogramouflage-coated-canvas-keepall-64/311847</t>
  </si>
  <si>
    <t>LV0095.png</t>
  </si>
  <si>
    <t>A GREY MONOGRAM ECLIPSE ALZER 60 TRUNK</t>
  </si>
  <si>
    <t>https://onlineonly.christies.com/s/handbags-online-new-york-edit/grey-monogram-eclipse-alzer-60-trunk-travel-set-210/311992</t>
  </si>
  <si>
    <t>LV0096.png</t>
  </si>
  <si>
    <t>SAC CAPUCINES MM EN CROCODILE POROSUS MAT NOIR, GARNITURE EN MÉTAL DORÉ</t>
  </si>
  <si>
    <t>https://www.christies.com/en/lot/lot-6031063</t>
  </si>
  <si>
    <t>LV0097.png</t>
  </si>
  <si>
    <t>A MALLE COURRIER IN MONOGRAM CANVAS</t>
  </si>
  <si>
    <t>https://www.christies.com/en/lot/lot-5538121</t>
  </si>
  <si>
    <t>LV0098.png</t>
  </si>
  <si>
    <t>circa 1965</t>
  </si>
  <si>
    <t>A LIMITED EDITION CLASSIC MONOGRAM CANVAS LV HAND MOCA SUPERFLAT JEWELLERY BOX BY TAKASHI MURAKAMI</t>
  </si>
  <si>
    <t>https://onlineonly.christies.com/s/handbags-online-new-york-edit/limited-edition-classic-monogram-canvas-lv-hand-moca-superflat-71/242572</t>
  </si>
  <si>
    <t>LV0099.png</t>
  </si>
  <si>
    <t>takashi</t>
  </si>
  <si>
    <t>A BLEU TURQUOISE OSTRICH MINI CAPUCINES WITH SILVER HARDWARE</t>
  </si>
  <si>
    <t>https://onlineonly.christies.com/s/handbags-online-paris-edit/bleu-turquoise-ostrich-mini-capucines-silver-hardware-175/278830</t>
  </si>
  <si>
    <t>LV0100.png</t>
  </si>
  <si>
    <t>A LIMITED EDITION PALE BLUE TAURILLON LEATHER FLOWERS MINI CAPUCINES WITH SILVER HARDWARE BY YAYOI KUSAMA</t>
  </si>
  <si>
    <t>https://www.christies.com/en/lot/lot-6532731</t>
  </si>
  <si>
    <t>LV0101.png</t>
  </si>
  <si>
    <t>yayoi</t>
  </si>
  <si>
    <t>AN ORANGE VUITTONITE CANVAS WARDROBE TRUNK WITH BRASS HARDWARE</t>
  </si>
  <si>
    <t>https://onlineonly.christies.com/s/legendary-trunks-european-private-collection-part-ii/orange-vuittonite-canvas-wardrobe-trunk-brass-hardware-14/262962</t>
  </si>
  <si>
    <t>LV0102.png</t>
  </si>
  <si>
    <t>A MONOGRAM CANVAS CABIN 90 TRUNK WITH BRASS HARDWARE</t>
  </si>
  <si>
    <t>https://onlineonly.christies.com/s/legendary-trunks-european-private-collection-part-ii/monogram-canvas-cabin-90-trunk-brass-hardware-24/262972</t>
  </si>
  <si>
    <t>LV0103.png</t>
  </si>
  <si>
    <t>A RED &amp; BROWN STRIPED CANVAS MEN'S HIGH 120 TRUNK WITH BLACK LACQUERED IRON &amp; BRASS HARDWARE</t>
  </si>
  <si>
    <t>https://onlineonly.christies.com/s/legendary-trunks-european-private-collection-part-ii/red-brown-striped-canvas-mens-high-120-trunk-black-lacquered-iron-65/263012</t>
  </si>
  <si>
    <t>LV0104.png</t>
  </si>
  <si>
    <t>AN ALZER HARD SUITCASE</t>
  </si>
  <si>
    <t>https://www.christies.com/en/lot/lot-6099908</t>
  </si>
  <si>
    <t>LV0105.png</t>
  </si>
  <si>
    <t>circa 1970</t>
  </si>
  <si>
    <t>A CLASSIC MONOGRAM CANVAS WOMEN'S STEAMER TRUNK WITH BRASS HARDWARE</t>
  </si>
  <si>
    <t>https://onlineonly.christies.com/s/handbags-accessories/classic-monogram-canvas-womens-steamer-trunk-brass-hardware-257/57740</t>
  </si>
  <si>
    <t>LV0106.png</t>
  </si>
  <si>
    <t>circa 1915</t>
  </si>
  <si>
    <t>A GRIS TRIANON CANVAS TRUNK WITH BRASS HARDWARE</t>
  </si>
  <si>
    <t>https://onlineonly.christies.com/s/legendary-trunks-european-private-collection-part-ii/gris-trianon-canvas-trunk-brass-hardware-39/262986</t>
  </si>
  <si>
    <t>LV0107.png</t>
  </si>
  <si>
    <t>A MONOGRAM CANVAS IDEAL TRUNK WITH BRASS HARDWARE</t>
  </si>
  <si>
    <t>https://onlineonly.christies.com/s/legendary-trunks-european-private-collection-part-ii/monogram-canvas-ideal-trunk-brass-hardware-73/263019</t>
  </si>
  <si>
    <t>LV0108.png</t>
  </si>
  <si>
    <t>A FALL/WINTER RUNWAY METALLIC SILVER MIRROR MONOGRAM &amp; CALFSKIN COTTEVILLE TRUNK 45 WITH SILVER HARDWARE BY VIRGIL ABLOH</t>
  </si>
  <si>
    <t>https://onlineonly.christies.com/s/handbags-online/fall-winter-runway-metallic-silver-mirror-monogram-calfskin-cotteville-90/221369</t>
  </si>
  <si>
    <t>LV0109.png</t>
  </si>
  <si>
    <t>A LIMITED EDITION ICONOCLAST MONOGRAM CANVAS &amp; NATURAL LEATHER TWISTED BOX WITH GOLD HARDWARE BY FRANK GEHRY</t>
  </si>
  <si>
    <t>https://onlineonly.christies.com/s/handbags-online/limited-edition-iconoclast-monogram-canvas-natural-leather-twisted-box-231/221508</t>
  </si>
  <si>
    <t>LV0110.png</t>
  </si>
  <si>
    <t>A MATTE PURPLE POROSUS CROCODILE CAPUCINES MM WITH GOLD HARDWARE</t>
  </si>
  <si>
    <t>https://www.christies.com/en/lot/lot-6206015</t>
  </si>
  <si>
    <t>LV0111.png</t>
  </si>
  <si>
    <t>A RARE, WHITE MONOGRAM GRAFFITI BOÎTE CHAPEAU HAT BOX PM BY STEPHEN SPROUSE</t>
  </si>
  <si>
    <t>https://www.christies.com/en/lot/lot-6205543</t>
  </si>
  <si>
    <t>LV0112.png</t>
  </si>
  <si>
    <t>A LIMITED EDITION MULTICOLOR MONOGRAM CANVAS KORO KORO CLUTCH BY TAKASHI MURAKAMI</t>
  </si>
  <si>
    <t>https://www.christies.com/en/lot/lot-6558301</t>
  </si>
  <si>
    <t>LV0113.png</t>
  </si>
  <si>
    <t>A LIMITED EDITION CLASSIC MONOGRAM CANVAS PANDA SUPERFLAT JEWELLERY BOX BY TAKASHI MURAKAMI</t>
  </si>
  <si>
    <t>https://onlineonly.christies.com/s/handbags-online-new-york-edit/limited-edition-classic-monogram-canvas-panda-superflat-jewellery-box-70/242571</t>
  </si>
  <si>
    <t>LV0114.png</t>
  </si>
  <si>
    <t>A SHINY OLIVE GREEN NILOTICUS CROCODILE PETITE BOÎTE CHAPEAU WITH GOLD HARDWARE</t>
  </si>
  <si>
    <t>https://onlineonly.christies.com/s/handbags-online-london-edition/shiny-olive-green-niloticus-crocodile-petite-boite-chapeau-gold-94/88119</t>
  </si>
  <si>
    <t>LV0115.png</t>
  </si>
  <si>
    <t>https://onlineonly.christies.com/s/handbags-online-paris-edit/monogram-canvas-wardrobe-trunk-brass-hardware-181/168044</t>
  </si>
  <si>
    <t>LV0116.png</t>
  </si>
  <si>
    <t>A MONOGRAM CANVAS CABIN 110 TRUNK WITH BRASS HARDWARE</t>
  </si>
  <si>
    <t>https://onlineonly.christies.com/s/legendary-trunks-european-private-collection-part-ii/monogram-canvas-cabin-110-trunk-brass-hardware-56/263006</t>
  </si>
  <si>
    <t>LV0117.png</t>
  </si>
  <si>
    <t>A MONOGRAM CANVAS HAT TRUNK WITH BRASS HARDWARE</t>
  </si>
  <si>
    <t>https://onlineonly.christies.com/s/legendary-trunks-european-private-collection-part-ii/monogram-canvas-hat-trunk-brass-hardware-70/263021</t>
  </si>
  <si>
    <t>LV0118.png</t>
  </si>
  <si>
    <t>A LIMITED EDITION GREEN TUFFETAGE MONOGRAM WALLET TRUNK WITH GREEN HARDWARE BY VIRGIL ABLOH</t>
  </si>
  <si>
    <t>https://www.christies.com/en/lot/lot-6293490</t>
  </si>
  <si>
    <t>LV0119.png</t>
  </si>
  <si>
    <t>A LIMITED EDITION MULTICOLOR LEATHER ARTYCAPUCINES</t>
  </si>
  <si>
    <t>https://onlineonly.christies.com/s/handbags-online-new-york-edit/limited-edition-multicolor-leather-artycapucines-78/223334</t>
  </si>
  <si>
    <t>LV0120.png</t>
  </si>
  <si>
    <t>A MONOGRAM CANVAS MAN'S TRUNK</t>
  </si>
  <si>
    <t>https://www.christies.com/en/lot/lot-6022779</t>
  </si>
  <si>
    <t>LV0121.png</t>
  </si>
  <si>
    <t>A LIMITED EDITION ARTYCAPUCINES MM BY ZENG FANZHI</t>
  </si>
  <si>
    <t>https://onlineonly.christies.com/s/handbags-online-hong-kong-edit/limited-edition-artycapucines-mm-zeng-fanzhi-255/250029</t>
  </si>
  <si>
    <t>LV0122.png</t>
  </si>
  <si>
    <t>A LIMITED EDITION CLASSIC MONOGRAM CANVAS NO.7 ALZER SOFT 55 WITH BRASS HARDWARE BY VIRGIL ABLOH</t>
  </si>
  <si>
    <t>https://onlineonly.christies.com/s/handbags-online-paris-edit/limited-edition-classic-monogram-canvas-no-7-alzer-soft-55-brass-299/278725</t>
  </si>
  <si>
    <t>LV0123.png</t>
  </si>
  <si>
    <t>A MONOGRAM CANVAS BACKGAMMON SUITCASE WITH BRASS HARDWARE</t>
  </si>
  <si>
    <t>https://onlineonly.christies.com/s/legendary-trunks-european-private-collection/monogram-canvas-backgammon-suitcase-brass-hardware-64/227585</t>
  </si>
  <si>
    <t>LV0124.png</t>
  </si>
  <si>
    <t>A BEIGE &amp; BROWN STRIPED CANVAS CABIN 90 TRUNK WITH BRASS HARDWARE</t>
  </si>
  <si>
    <t>https://onlineonly.christies.com/s/legendary-trunks-european-private-collection/beige-brown-striped-canvas-cabin-90-trunk-brass-hardware-4/227544</t>
  </si>
  <si>
    <t>LV0125.png</t>
  </si>
  <si>
    <t>https://onlineonly.christies.com/s/audrey-hepburn-personal-collection-part-iii/alzer-hard-suitcase-165/56157</t>
  </si>
  <si>
    <t>LV0126.png</t>
  </si>
  <si>
    <t>A MATTE BLACK CROCODILE &amp; MONOGRAM CANVAS CHRISTOPHER BACKPACK WITH SILVER HARDWARE</t>
  </si>
  <si>
    <t>https://onlineonly.christies.com/s/handbags-online-new-york-edit/matte-black-crocodile-monogram-canvas-christopher-backpack-silver-252/284553</t>
  </si>
  <si>
    <t>LV0127.png</t>
  </si>
  <si>
    <t>A SET OF TWO REVERSE MONOGRAM TRUNK: A COFFRET TRESOR 24 JEWELRY BOX &amp; A COFFRET 8 MONTRES WATCH BOX</t>
  </si>
  <si>
    <t>https://www.christies.com/en/lot/lot-6497509</t>
  </si>
  <si>
    <t>LV0128.png</t>
  </si>
  <si>
    <t>A LIMITED EDITION PRISM KEEPALL 50 BY VIRGIL ABLOH</t>
  </si>
  <si>
    <t>https://www.christies.com/en/lot/lot-6234569</t>
  </si>
  <si>
    <t>LV0129.png</t>
  </si>
  <si>
    <t>A CLASSIC MONOGRAM CANVAS SHOE WARDROBE TRUNK</t>
  </si>
  <si>
    <t>https://www.christies.com/en/lot/lot-6234572</t>
  </si>
  <si>
    <t>LV0130.png</t>
  </si>
  <si>
    <t>1940s</t>
  </si>
  <si>
    <t>A GRIS TRIANON COATED CANVAS TRUNK WITH BLACK LACQUERED IRON &amp; BRASS HARDWARE</t>
  </si>
  <si>
    <t>https://onlineonly.christies.com/s/legendary-trunks-european-private-collection-part-ii/gris-trianon-coated-canvas-trunk-black-lacquered-iron-brass-hardware-40/262985</t>
  </si>
  <si>
    <t>LV0131.png</t>
  </si>
  <si>
    <t>circa 1860</t>
  </si>
  <si>
    <t>A GROUP OF THREE: A MONOGRAM CANVAS LEATHER BLISTEN 75 &amp; TWO ALZER 75 SUITCASES WITH BRASS HARDWARE</t>
  </si>
  <si>
    <t>https://onlineonly.christies.com/s/handbags-online-paris-edit/group-three-monogram-canvas-leather-blisten-75-two-alzer-75-suitcases-442/236984</t>
  </si>
  <si>
    <t>LV0132.png</t>
  </si>
  <si>
    <t>RARE, RUSTIC CANVAS DOLL WARDROBE TRUNK WITH METAL HARDWARE</t>
  </si>
  <si>
    <t>https://onlineonly.christies.com/s/handbags-online-paris-edit-unlocking-orange-dream-part-ii/rare-rustic-canvas-doll-wardrobe-trunk-metal-hardware-271/257272</t>
  </si>
  <si>
    <t>LV0133.png</t>
  </si>
  <si>
    <t>circa 1960</t>
  </si>
  <si>
    <t>A LIMITED EDITION YELLOW EPI LEATHER INFINITY DOTS TWIST BAG BY YAYOI KUSAMA</t>
  </si>
  <si>
    <t>https://www.christies.com/en/lot/lot-6497505</t>
  </si>
  <si>
    <t>LV0134.png</t>
  </si>
  <si>
    <t>LIMITED EDITION GIANT DAMIER ÉBÈNE CANVAS KEEPALL BANDOULIÈRE 50</t>
  </si>
  <si>
    <t>https://www.christies.com/en/lot/lot-6293487</t>
  </si>
  <si>
    <t>LV0135.png</t>
  </si>
  <si>
    <t>A LIMITED EDITION METALLIC LIZARD MINI CAPUCINES WITH SILVER HARDWARE</t>
  </si>
  <si>
    <t>https://onlineonly.christies.com/s/handbags-online-paris-edit/limited-edition-metallic-lizard-mini-capucines-silver-hardware-251/278680</t>
  </si>
  <si>
    <t>LV0136.png</t>
  </si>
  <si>
    <t>A LIMITED EDITION ARTYCAPUCINES BY LIU WEI</t>
  </si>
  <si>
    <t>https://www.christies.com/en/lot/lot-6481838</t>
  </si>
  <si>
    <t>LV0137.png</t>
  </si>
  <si>
    <t>A LIMITED EDITION CLASSIC MONOGRAM CANVAS FLOWER HEAD SUPERFLAT JEWELLERY BOX BY TAKASHI MURAKAMI</t>
  </si>
  <si>
    <t>https://onlineonly.christies.com/s/handbags-online-new-york-edit/limited-edition-classic-monogram-canvas-flower-head-superflat-83/242583</t>
  </si>
  <si>
    <t>LV0138.png</t>
  </si>
  <si>
    <t>A BOITE BOUTEILLE CLASSIC MONOGRAM CANVAS TRAVEL JEWELRY CASE WITH BRASS HARDWARE</t>
  </si>
  <si>
    <t>https://onlineonly.christies.com/s/handbags-online-new-york-edit/boite-bouteille-classic-monogram-canvas-travel-jewelry-case-brass-196/242698</t>
  </si>
  <si>
    <t>LV0139.png</t>
  </si>
  <si>
    <t>AN ORANGE VUITTONITE CANVAS STEAMER TRUNK WITH BRASS HARDWARE</t>
  </si>
  <si>
    <t>https://onlineonly.christies.com/s/legendary-trunks-european-private-collection/orange-vuittonite-canvas-steamer-trunk-brass-hardware-14/227552</t>
  </si>
  <si>
    <t>LV0140.png</t>
  </si>
  <si>
    <t>A LIMITED EDITION POUSSIN MASTERS COLLECTION CANVAS &amp; LEATHER KEEPALL 50 WITH GOLD HARDWARE BY JEFF KOONS</t>
  </si>
  <si>
    <t>https://onlineonly.christies.com/s/handbags-online-paris-edit/limited-edition-poussin-masters-collection-canvas-leather-keepall-50-30/200841</t>
  </si>
  <si>
    <t>LV0141.png</t>
  </si>
  <si>
    <t>A NATURAL COWHIDE LEATHER TRUNK WITH BRASS HARDWARE</t>
  </si>
  <si>
    <t>https://onlineonly.christies.com/s/legendary-trunks-european-private-collection-part-ii/natural-cowhide-leather-trunk-brass-hardware-97/263044</t>
  </si>
  <si>
    <t>LV0142.png</t>
  </si>
  <si>
    <t>A MATTE BLACK ALLIGATOR &amp; SHINY BLUE LIZARD EGG BAG WITH GOLD HARDWARE</t>
  </si>
  <si>
    <t>https://onlineonly.christies.com/s/handbags-online-london-edition/matte-black-alligator-shiny-blue-lizard-egg-bag-gold-hardware-59/88082</t>
  </si>
  <si>
    <t>LV0143.png</t>
  </si>
  <si>
    <t>A RUNWAY TURQUOISE &amp; GOLD MONOGRAM SUEDE THEDA PM WITH GOLD HARDWARE BY MARC JACOBS</t>
  </si>
  <si>
    <t>https://onlineonly.christies.com/s/handbags-online-new-york-edit/runway-turquoise-gold-monogram-suede-theda-pm-gold-hardware-marc-145/284184</t>
  </si>
  <si>
    <t>LV0144.png</t>
  </si>
  <si>
    <t>A SHARON STONE FOR AMFAR BROWN LEATHER VANITY CASE</t>
  </si>
  <si>
    <t>https://onlineonly.christies.com/s/collection-donna-summer/sharon-stone-amfar-brown-leather-vanity-case-42/186930</t>
  </si>
  <si>
    <t>LV0145.png</t>
  </si>
  <si>
    <t>circa 2000</t>
  </si>
  <si>
    <t>A SHARON STONE FOR AMFAR VANITY CASE</t>
  </si>
  <si>
    <t>https://onlineonly.christies.com/s/handbags-online-paris-edit/sharon-stone-amfar-vanity-case-179/168065</t>
  </si>
  <si>
    <t>LV0146.png</t>
  </si>
  <si>
    <t>A LIMITED EDITION CHAITAIGNE &amp; MULTICOLOR LEATHER CATOGRAM CITY STEAMER MM WITH GOLD HARDWARE BY GRACE CODDINGTON</t>
  </si>
  <si>
    <t>https://onlineonly.christies.com/s/handbags-online-new-york-edit/limited-edition-chaitaigne-multicolor-leather-catogram-city-steamer-mm-134/268807</t>
  </si>
  <si>
    <t>LV0147.png</t>
  </si>
  <si>
    <t>A FIGUE OSTRICH CAPUCINES BB WITH SILVER HARDWARE</t>
  </si>
  <si>
    <t>https://www.christies.com/en/lot/lot-6104982</t>
  </si>
  <si>
    <t>LV0148.png</t>
  </si>
  <si>
    <t>A LIMITED EDITION ARTYCAPUCINES CALFSKIN LEATHER CAPUCINES BB WITH ENAMEL HARDWARE BY HUANG YUXING</t>
  </si>
  <si>
    <t>https://onlineonly.christies.com/s/handbags-online-hong-kong-edit/limited-edition-artycapucines-calfskin-leather-capucines-bb-enamel-247/228970</t>
  </si>
  <si>
    <t>LV0149.png</t>
  </si>
  <si>
    <t xml:space="preserve"> A CLASSIC MONOGRAM CANVAS COFFRET TRESOR 24 WITH BRASS HARDWARE</t>
  </si>
  <si>
    <t>https://www.christies.com/en/lot/lot-6319606</t>
  </si>
  <si>
    <t>LV0150.png</t>
  </si>
  <si>
    <t>A CLASSIC MONOGRAM CANVAS COFFRET TRESOR 20 WITH BRASS HARDWARE</t>
  </si>
  <si>
    <t>LV0151.png</t>
  </si>
  <si>
    <t>A LIMITED EDITION PAINTED PUMPKIN MONOGRAM KEEPALL BANDOULIÈRE 45 WITH GOLD HARDWARE BY YAYOI KUSAMA</t>
  </si>
  <si>
    <t>https://onlineonly.christies.com/s/handbags-online-hong-kong-edit/limited-edition-painted-pumpkin-monogram-keepall-bandouliere-45-gold-254/250025</t>
  </si>
  <si>
    <t>LV0152.png</t>
  </si>
  <si>
    <t>A LIMITED EDITION BLACK EMPREINTE LEATHER TOTE BAG WITH BLACK HARDWARE BY COMME DES GARÇONS</t>
  </si>
  <si>
    <t>https://onlineonly.christies.com/s/handbags-online-hong-kong-edit/limited-edition-black-empreinte-leather-tote-bag-black-hardware-comme-258/250030</t>
  </si>
  <si>
    <t>LV0153.png</t>
  </si>
  <si>
    <t>A SHINY BURGUNDY ALLIGATOR GO-14 PM WITH SILVER HARDWARE</t>
  </si>
  <si>
    <t>https://www.christies.com/en/lot/lot-6081023</t>
  </si>
  <si>
    <t>LV0154.png</t>
  </si>
  <si>
    <t>A LIMITED EDITION MULTICOLOR CALFSKIN LEATHER ARTYCAPUCINES WITH BLUE ACRYLIC MIRROR &amp; COMB</t>
  </si>
  <si>
    <t>https://onlineonly.christies.com/s/handbags-online-new-york-edit/limited-edition-multicolor-calfskin-leather-artycapucines-blue-acrylic-166/223440</t>
  </si>
  <si>
    <t>LV0155.png</t>
  </si>
  <si>
    <t>A SHINY ORANGE ALLIGATOR &amp; BLACK PETITE MALLE CLUTCH WITH SILVER HARDWARE</t>
  </si>
  <si>
    <t>https://onlineonly.christies.com/s/handbags-online-new-york-edit/shiny-orange-alligator-black-petite-malle-clutch-silver-hardware-92/187269</t>
  </si>
  <si>
    <t>LV0156.png</t>
  </si>
  <si>
    <t xml:space="preserve"> A LIMITED EDITION IRIDESCENT PRISM MONOGRAM CHRISTOPHER GM BACKPACK</t>
  </si>
  <si>
    <t>https://www.christies.com/en/lot/lot-6238897</t>
  </si>
  <si>
    <t>LV0157.png</t>
  </si>
  <si>
    <t>A MONOGRAM PVC PRISM BANDOULIERE KEEPALL 50 WITH LUCITE HARDWARE BY VIRGIL ABLOH</t>
  </si>
  <si>
    <t>https://onlineonly.christies.com/s/handbags-accessories/monogram-pvc-prism-bandouliere-keepall-50-lucite-hardware-virgil-abloh-38/70490</t>
  </si>
  <si>
    <t>LV0158.png</t>
  </si>
  <si>
    <t>A LIMITED EDITION CLASSIC MONOGRAM ICONOCLASTS SAC PLAT WITH GOLD HARDWARE BY REI KAWAKUBO</t>
  </si>
  <si>
    <t>https://onlineonly.christies.com/s/handbags-online-new-york-edit/limited-edition-classic-monogram-iconoclasts-sac-plat-gold-hardware-135/268810</t>
  </si>
  <si>
    <t>LV0159.png</t>
  </si>
  <si>
    <t>A GRIS ALLIGATOR &amp; PYTHON MONOGRAMISSIME EXOTIC SHOPPER GM</t>
  </si>
  <si>
    <t>https://www.christies.com/en/lot/lot-5935423</t>
  </si>
  <si>
    <t>LV0160.png</t>
  </si>
  <si>
    <t>A SHINY BLACK CROCODILE, BLUE &amp; CREAM CALFSKIN LEATHER CITY STEAMER MM WITH GOLD HARDWARE</t>
  </si>
  <si>
    <t>https://onlineonly.christies.com/s/handbags-online-new-york-edit/shiny-black-crocodile-blue-cream-calfskin-leather-city-steamer-mm-gold-99/260283</t>
  </si>
  <si>
    <t>LV0161.png</t>
  </si>
  <si>
    <t>A MATTE BLACK CROCODILE SOFT LOCKIT MM WITH SILVER HARDWARE</t>
  </si>
  <si>
    <t>https://onlineonly.christies.com/s/handbags-online-new-york-edit/matte-black-crocodile-soft-lockit-mm-silver-hardware-200/260501</t>
  </si>
  <si>
    <t>LV0162.png</t>
  </si>
  <si>
    <t>A WARDROBE TRUNK IN MONOGRAM CANVAS</t>
  </si>
  <si>
    <t>https://www.christies.com/en/lot/lot-5663170</t>
  </si>
  <si>
    <t>LV0163.png</t>
  </si>
  <si>
    <t>A BLACK VUITTONITE HUNTING RIFLE TRUNK WITH BRASS HARDWARE</t>
  </si>
  <si>
    <t>https://onlineonly.christies.com/s/legendary-trunks-european-private-collection-part-ii/black-vuittonite-hunting-rifle-trunk-brass-hardware-12/262959</t>
  </si>
  <si>
    <t>LV0164.png</t>
  </si>
  <si>
    <t>A NATURAL COWHIDE LEATHER CABIN 110 TRUNK WITH BRASS HARDWARE</t>
  </si>
  <si>
    <t>https://onlineonly.christies.com/s/legendary-trunks-european-private-collection-part-ii/natural-cowhide-leather-cabin-110-trunk-brass-hardware-23/262971</t>
  </si>
  <si>
    <t>LV0165.png</t>
  </si>
  <si>
    <t>A DAMIER CANVAS MILITARY TRUNK</t>
  </si>
  <si>
    <t>https://www.christies.com/en/lot/lot-5975635</t>
  </si>
  <si>
    <t>LV0166.png</t>
  </si>
  <si>
    <t>A MONOGRAM CANVAS STEAMER TRUNK</t>
  </si>
  <si>
    <t>https://www.christies.com/en/lot/lot-5975636</t>
  </si>
  <si>
    <t>LV0167.png</t>
  </si>
  <si>
    <t>A LIMITED EDITION MULTICOLORE MONOGRAM DALMATIAN SAC RABAT BY TAKASHI MURAKAMI</t>
  </si>
  <si>
    <t>https://onlineonly.christies.com/s/handbags-online-new-york-edit/limited-edition-multicolore-monogram-dalmatian-sac-rabat-takashi-182/284509</t>
  </si>
  <si>
    <t>LV0168.png</t>
  </si>
  <si>
    <t>A LES EXTRAORDINAIRES MONOGRAM MINK &amp; ALLIGATOR MINI PAPILLON</t>
  </si>
  <si>
    <t>https://www.christies.com/en/lot/lot-6234556</t>
  </si>
  <si>
    <t>LV0169.png</t>
  </si>
  <si>
    <t>AN ABSOLUTE BLACK MONOGRAM TAURILLON LEATHER KEEPALL BANDOULIÈRE 50 WITH BLACK &amp; ORANGE HARDWARE BY VIRGIL ABLOH</t>
  </si>
  <si>
    <t>https://onlineonly.christies.com/s/handbags-online-hong-kong-edit/absolute-black-monogram-taurillon-leather-keepall-bandouliere-50-black-257/250028</t>
  </si>
  <si>
    <t>LV0170.png</t>
  </si>
  <si>
    <t>A LIMITED EDITION VAN GOGH MASTERS COLLECTION PRINTED CANVAS &amp; LEATHER KEEPALL BANDOULIERE 50 WITH GOLD HARDWARE</t>
  </si>
  <si>
    <t>https://onlineonly.christies.com/s/handbags-online-new-york-edit/limited-edition-van-gogh-masters-collection-printed-canvas-leather-172/223515</t>
  </si>
  <si>
    <t>LV0171.png</t>
  </si>
  <si>
    <t>A MALLE CABINE IN MONOGRAM CANVAS</t>
  </si>
  <si>
    <t>https://www.christies.com/en/lot/lot-5538118</t>
  </si>
  <si>
    <t>LV0172.png</t>
  </si>
  <si>
    <t>https://www.christies.com/en/lot/lot-5379166</t>
  </si>
  <si>
    <t>LV0173.png</t>
  </si>
  <si>
    <t>A MONOGRAM CANVAS LP RECORDS TRUNK WITH BRASS HARDWARE</t>
  </si>
  <si>
    <t>https://onlineonly.christies.com/s/legendary-trunks-european-private-collection/monogram-canvas-lp-records-trunk-brass-hardware-75/227589</t>
  </si>
  <si>
    <t>LV0174.png</t>
  </si>
  <si>
    <t>A MONOGRAM CANVAS FLOWER TRUNK WITH BRASS HARDWARE</t>
  </si>
  <si>
    <t>https://onlineonly.christies.com/s/legendary-trunks-european-private-collection/monogram-canvas-flower-trunk-brass-hardware-96/227596</t>
  </si>
  <si>
    <t>LV0175.png</t>
  </si>
  <si>
    <t>A LIMITED EDITION BLACK EMPREINTE LEATHER INFINITY DOTS POCHETTE METIS WITH SILVER HARDWARE BY YAYOI KUSAMA</t>
  </si>
  <si>
    <t>https://www.christies.com/en/lot/lot-6497504</t>
  </si>
  <si>
    <t>LV0176.png</t>
  </si>
  <si>
    <t>A GREEN COATED CANVAS HIGH TRUNK WITH BLACK LACQUERED IRON</t>
  </si>
  <si>
    <t>https://onlineonly.christies.com/s/legendary-trunks-european-private-collection-part-ii/green-coated-canvas-high-trunk-black-lacquered-iron-84/263030</t>
  </si>
  <si>
    <t>LV0177.png</t>
  </si>
  <si>
    <t>A RUNWAY, SHINY OMBRE CREAM CROCODILE CITY STEAMER ONE HANDLE BAG WITH GOLD HARDWARE</t>
  </si>
  <si>
    <t>https://onlineonly.christies.com/s/handbags-online-new-york-edit/runway-shiny-ombre-cream-crocodile-city-steamer-one-handle-bag-gold-153/260338</t>
  </si>
  <si>
    <t>LV0178.png</t>
  </si>
  <si>
    <t>A GUNMETAL ALLIGATOR PETITE MALLE WITH SILVER HARDWARE</t>
  </si>
  <si>
    <t>https://onlineonly.christies.com/s/handbags-online-new-york-edit/gunmetal-alligator-petite-malle-silver-hardware-173/260485</t>
  </si>
  <si>
    <t>LV0179.png</t>
  </si>
  <si>
    <t>A SET OF TWO: CLASSIC MONOGRAM CANVAS BISTEN 80 AND ALZER 70 TRUNKS WITH BRASS HARDWARE</t>
  </si>
  <si>
    <t>https://onlineonly.christies.com/s/handbags-accessories/set-two-classic-monogram-canvas-bisten-80-alzer-70-trunks-brass-213/65433</t>
  </si>
  <si>
    <t>LV0180.png</t>
  </si>
  <si>
    <t>A CANVAS TRUNK WITH SPECIAL LOCK</t>
  </si>
  <si>
    <t>https://www.christies.com/en/lot/lot-6205652</t>
  </si>
  <si>
    <t>LV0181.png</t>
  </si>
  <si>
    <t>A CLASSIC MONOGRAM COURRIER STEAMER TRUNK WITH BRASS HARDWARE</t>
  </si>
  <si>
    <t>https://www.christies.com/en/lot/lot-6081074</t>
  </si>
  <si>
    <t>LV0182.png</t>
  </si>
  <si>
    <t>A LIMITED EDITION BLACK MONOGRAM MULTICOLORE CANVAS SPEEDY SOFT 30 WITH SILVER HARDWARE BY TAKASHI MURAKAMI</t>
  </si>
  <si>
    <t>https://onlineonly.christies.com/s/handbags-online-paris-edit-unlocking-orange-dream-part-ii/limited-edition-black-monogram-multicolore-canvas-speedy-soft-30-210/257211</t>
  </si>
  <si>
    <t>LV0183.png</t>
  </si>
  <si>
    <t>A RARE KHAKI GREEN MONOGRAM GRAFFITI BOÎTE CHAPEAU HAT BOX</t>
  </si>
  <si>
    <t>https://www.christies.com/en/lot/lot-6158537</t>
  </si>
  <si>
    <t>LV0184.png</t>
  </si>
  <si>
    <t>really rare</t>
  </si>
  <si>
    <t>https://www.christies.com/en/lot/lot-5532268</t>
  </si>
  <si>
    <t>LV0185.png</t>
  </si>
  <si>
    <t>SAC LOCKIT MM EN ALLIGATOR MAT TABAC, GARNITURE EN MÉTAL DORÉ</t>
  </si>
  <si>
    <t>https://www.christies.com/en/lot/lot-6031039</t>
  </si>
  <si>
    <t>LV0186.png</t>
  </si>
  <si>
    <t>A GROUP OF TWO: A LIMITED EDITION MONOGRAMOUFLAGE SPEEDY 35 WITH GOLD HARDWARE &amp; A MONOGRAMOUFLAGE BELT BY TAKASHI MURAKAMI</t>
  </si>
  <si>
    <t>https://onlineonly.christies.com/s/handbags-online-paris-edit/group-two-limited-edition-monogramouflage-speedy-35-gold-hardware-77/200888</t>
  </si>
  <si>
    <t>LV0187.png</t>
  </si>
  <si>
    <t>A CLASSIC MONOGRAM CANVAS TRUNK WITH BRASS HARDWARE</t>
  </si>
  <si>
    <t>https://onlineonly.christies.com/s/handbags-accessories/classic-monogram-canvas-trunk-brass-hardware-218/65438</t>
  </si>
  <si>
    <t>LV0188.png</t>
  </si>
  <si>
    <t>A LIMITED EDITION BLANC NEIGE TAURILLON LEATHER ARTYCAPUCINES WITH GOLD HARDWARE 38/200 BY HENRY TAYLOR</t>
  </si>
  <si>
    <t>https://onlineonly.christies.com/s/handbags-online-paris-edit/limited-edition-blanc-neige-taurillon-leather-artycapucines-gold-76/167943</t>
  </si>
  <si>
    <t>LV0189.png</t>
  </si>
  <si>
    <t>A ONE-OF-A-KIND BROWN LEATHER &amp; CALFHAIR STUDDED PUDSEY BACKPAG BAG</t>
  </si>
  <si>
    <t>https://www.christies.com/en/lot/lot-5961569</t>
  </si>
  <si>
    <t>LV0190.png</t>
  </si>
  <si>
    <t>A GRIS TRIANON COATED CANVAS ROUNDED LID TRUNK WITH BLACK LACQUERED IRON HARDWARE</t>
  </si>
  <si>
    <t>https://onlineonly.christies.com/s/legendary-trunks-european-private-collection/gris-trianon-coated-canvas-rounded-lid-trunk-black-lacquered-iron-58/227579</t>
  </si>
  <si>
    <t>LV0191.png</t>
  </si>
  <si>
    <t>A SPECIAL ORDER MONOGRAM CANVAS PERFUME TRUNK WITH BRASS HARDWARE</t>
  </si>
  <si>
    <t>https://onlineonly.christies.com/s/legendary-trunks-european-private-collection/special-order-monogram-canvas-perfume-trunk-brass-hardware-72/227396</t>
  </si>
  <si>
    <t>LV0192.png</t>
  </si>
  <si>
    <t>A CLASSIC MONOGRAM CANVAS COFFRET TRESOR 24 WITH BRASS HARDWARE</t>
  </si>
  <si>
    <t>https://www.christies.com/en/lot/lot-6399678</t>
  </si>
  <si>
    <t>LV0193.png</t>
  </si>
  <si>
    <t>A CUSTOM BLUE EPI ALZER 65 TRUNK WITH BRASS HARDWARE</t>
  </si>
  <si>
    <t>https://onlineonly.christies.com/s/handbags-online-new-york-edit/custom-blue-epi-alzer-65-trunk-brass-hardware-116/260300</t>
  </si>
  <si>
    <t>LV0194.png</t>
  </si>
  <si>
    <t>circa 1990s</t>
  </si>
  <si>
    <t>A SHINY BLACK CROCODILE BREA MM WITH GOLD HARDWARE</t>
  </si>
  <si>
    <t>https://onlineonly.christies.com/s/handbags-online-new-york-edit/shiny-black-crocodile-brea-mm-gold-hardware-199/260502</t>
  </si>
  <si>
    <t>LV0195.png</t>
  </si>
  <si>
    <t>A LIMITED EDITION BLUE &amp; PINK GRADATION TAURILLON LEATHER MINI SOFT TRUNK WITH SILVER HARDWARE BY VIRGIL ABLOH</t>
  </si>
  <si>
    <t>https://onlineonly.christies.com/s/handbags-online-paris-edit/limited-edition-blue-pink-gradation-taurillon-leather-mini-soft-trunk-116/278771</t>
  </si>
  <si>
    <t>LV0196.png</t>
  </si>
  <si>
    <t>A PAINTED MONOGRAM CANVAS COFFRET TRÉSOR BOX 20 WITH BRASS HARDWARE</t>
  </si>
  <si>
    <t>https://www.christies.com/en/lot/lot-6293488</t>
  </si>
  <si>
    <t>LV0197.png</t>
  </si>
  <si>
    <t>A LIMITED EDITION CERISES MONOGRAM CANVAS &amp; LEATHER SPEEDY 25 WITH GOLD HARDWARE BY TAKASHI MURAKAMI</t>
  </si>
  <si>
    <t>https://onlineonly.christies.com/s/handbags-online-new-york-edit/limited-edition-cerises-monogram-canvas-leather-speedy-25-gold-220/260419</t>
  </si>
  <si>
    <t>LV0198.png</t>
  </si>
  <si>
    <t>A LIMITED EDITION BLACK TAURILLON LEATHER INFINITY DOTS CHRISTOPHER BACKPACK MM WITH BLACK HARDWARE BY YAYOI KUSAMA</t>
  </si>
  <si>
    <t>https://onlineonly.christies.com/s/handbags-online-hong-kong-edit/limited-edition-black-taurillon-leather-infinity-dots-christopher-256/250026</t>
  </si>
  <si>
    <t>LV0199.png</t>
  </si>
  <si>
    <t>A NATURAL WOODEN TRUNK WITH BLACK LACQUERED IRON HARDWARE</t>
  </si>
  <si>
    <t>https://onlineonly.christies.com/s/legendary-trunks-european-private-collection-part-ii/natural-wooden-trunk-black-lacquered-iron-hardware-49/262999</t>
  </si>
  <si>
    <t>LV0200.png</t>
  </si>
  <si>
    <t>Vintage Monogram Gemine 8 Pairs Shoe Trunk Brass Hardware</t>
  </si>
  <si>
    <t>Sotheby's</t>
  </si>
  <si>
    <t>https://www.sothebys.com/en/buy/_louis-vuitton-vintage-monogram-gemine-8-pairs-shoe-trunk-brass-hardware-1990s</t>
  </si>
  <si>
    <t>LV0201.png</t>
  </si>
  <si>
    <t>1990s</t>
  </si>
  <si>
    <t>Rond Point Shoulder Bag 232</t>
  </si>
  <si>
    <t>Vintage Louis Vuitton Catalog</t>
  </si>
  <si>
    <t>https://vuittonvintage.com/products/louis-vuitton-rond-point-232/</t>
  </si>
  <si>
    <t>LV0202.png</t>
  </si>
  <si>
    <t>1880s</t>
  </si>
  <si>
    <t>Authentic Vintage Houston Vernis M91004 Beige Handbag</t>
  </si>
  <si>
    <t>https://vuittonvintage.com/shop/louis-vuitton-monogram-vernis/</t>
  </si>
  <si>
    <t>LV0203.png</t>
  </si>
  <si>
    <t>Authentic Vintage Monogram Vernis Sutton M91080 Red Handbag</t>
  </si>
  <si>
    <t>LV0204.png</t>
  </si>
  <si>
    <t>Authentic Vintage Vernis Reade PM Pink</t>
  </si>
  <si>
    <t>LV0205.png</t>
  </si>
  <si>
    <t>Vintage Manolo Blahnik Monogram Centenaire Shoe Trunk Brass Hardware</t>
  </si>
  <si>
    <t>https://www.sothebys.com/en/buy/_louis-vuitton-vintage-manolo-blahnik-monogram-centenaire-shoe-trunk-brass-hardware-1996?locale=en</t>
  </si>
  <si>
    <t>LV0206.png</t>
  </si>
  <si>
    <t>Vintage Monogram Gemine 12 Pairs Shoe Trunk Brass Hardware</t>
  </si>
  <si>
    <t>https://www.sothebys.com/en/buy/pdp/fashion/handbag/luggage/_louis-vuitton-vintage-monogram-gemine-12-pairs-shoe-trunk-brass-hardware-1990s?locale=en</t>
  </si>
  <si>
    <t>LV0207.png</t>
  </si>
  <si>
    <t>Black Epi Alma PM</t>
  </si>
  <si>
    <t>What Goes Around Comes Around</t>
  </si>
  <si>
    <t>https://www.whatgoesaroundnyc.com/en-us/buy-black-epi-alma-pm/QJB06Y10KF01S.html?cgid=louis-vuitton</t>
  </si>
  <si>
    <t>LV0208.png</t>
  </si>
  <si>
    <t>Mimosa Epi Lussac</t>
  </si>
  <si>
    <t>https://www.whatgoesaroundnyc.com/en-us/buy-mimosa-epi-lussac/QJB0AN10YB00N.html?cgid=louis-vuitton</t>
  </si>
  <si>
    <t>LV0209.png</t>
  </si>
  <si>
    <t>Mimosa Epi Noé</t>
  </si>
  <si>
    <t>https://www.whatgoesaroundnyc.com/en-us/buy-mimosa-epi-noe/QJB0BP10YB00E.html?cgid=louis-vuitton</t>
  </si>
  <si>
    <t>LV0210.png</t>
  </si>
  <si>
    <t>Black Epi Jasmin</t>
  </si>
  <si>
    <t>https://www.whatgoesaroundnyc.com/en-us/buy-black-epi-jasmin/QJB0A210KB00Z.html?cgid=louis-vuitton</t>
  </si>
  <si>
    <t>LV0211.png</t>
  </si>
  <si>
    <t>Monogram Canvas Keepall Bandouliere 55</t>
  </si>
  <si>
    <t>https://www.whatgoesaroundnyc.com/en-us/buy-monogram-canvas-keepall-bandouliere-55/QJB0GI4J0B02H.html?cgid=louis-vuitton</t>
  </si>
  <si>
    <t>LV0212.png</t>
  </si>
  <si>
    <t>Brown Epi Speedy 30</t>
  </si>
  <si>
    <t>https://www.whatgoesaroundnyc.com/en-us/buy-brown-epi-speedy-30/QJB0FZ100B00E.html</t>
  </si>
  <si>
    <t>LV0213.png</t>
  </si>
  <si>
    <t>Speedy 30 Handbag Monogram Canvas</t>
  </si>
  <si>
    <t>1st Dibs</t>
  </si>
  <si>
    <t>https://www.1stdibs.com/fashion/handbags-purses-bags/top-handle-bags/vintage-1960s-louis-vuitton-speedy-30-handbag-monogram-canvas/id-v_18761072/</t>
  </si>
  <si>
    <t>LV0214.png</t>
  </si>
  <si>
    <t>Monogram Sac Plat Tote Bag</t>
  </si>
  <si>
    <t>https://www.1stdibs.com/fashion/handbags-purses-bags/tote-bags/1970s-vintage-louis-vuitton-monogram-sac-plat-tote-bag/id-v_20752312/</t>
  </si>
  <si>
    <t>LV0215.png</t>
  </si>
  <si>
    <t>1970s</t>
  </si>
  <si>
    <t>Monogram Lady's Steamer Trunk</t>
  </si>
  <si>
    <t>https://www.1stdibs.com/furniture/more-furniture-collectibles/home-accents/trunks-luggage/1950s-louis-vuitton-monogram-ladys-steamer-trunk/id-f_11208411/</t>
  </si>
  <si>
    <t>LV0216.png</t>
  </si>
  <si>
    <t>1950s</t>
  </si>
  <si>
    <t>Trunk in Monogram, Louis Vuitton Steamer Trunk</t>
  </si>
  <si>
    <t>https://www.1stdibs.com/furniture/more-furniture-collectibles/home-accents/trunks-luggage/1950s-louis-vuitton-trunk-monogram-louis-vuitton-steamer-trunk/id-f_28645812/</t>
  </si>
  <si>
    <t>LV0217.png</t>
  </si>
  <si>
    <t>50 cm Duffel Bag</t>
  </si>
  <si>
    <t>https://www.1stdibs.com/furniture/more-furniture-collectibles/home-accents/trunks-luggage/1950s-louis-vuitton-50-cm-duffel-bag/id-f_26628742/</t>
  </si>
  <si>
    <t>LV0218.png</t>
  </si>
  <si>
    <t>Carrying Case / Trunk "LV"</t>
  </si>
  <si>
    <t>https://www.1stdibs.com/furniture/more-furniture-collectibles/home-accents/trunks-luggage/1950s-louis-vuitton-carrying-case-trunk-lv/id-f_4249373/</t>
  </si>
  <si>
    <t>LV0219.png</t>
  </si>
  <si>
    <t>Exceptionally Large Louis Vuitton Wardrobe Trunk</t>
  </si>
  <si>
    <t>https://www.1stdibs.com/furniture/more-furniture-collectibles/home-accents/trunks-luggage/exceptionally-large-louis-vuitton-wardrobe-trunk-circa-1955/id-f_34029252/</t>
  </si>
  <si>
    <t>LV0220.png</t>
  </si>
  <si>
    <t>circa 1955</t>
  </si>
  <si>
    <t>Wardrobe Trunk In Monogram Canvas, France</t>
  </si>
  <si>
    <t>https://www.1stdibs.com/furniture/more-furniture-collectibles/home-accents/trunks-luggage/20th-century-louis-vuitton-wardrobe-trunk-monogram-canvas-france-c1950/id-f_43368362/</t>
  </si>
  <si>
    <t>LV0221.png</t>
  </si>
  <si>
    <t>Suitcase Classic Monogram Canvas</t>
  </si>
  <si>
    <t>https://www.1stdibs.com/furniture/more-furniture-collectibles/home-accents/trunks-luggage/20th-century-louis-vuitton-suitcase-classic-monogram-canvas-60s/id-f_36761442/</t>
  </si>
  <si>
    <t>LV0222.png</t>
  </si>
  <si>
    <t>Cube' trunk</t>
  </si>
  <si>
    <t>https://www.1stdibs.com/furniture/more-furniture-collectibles/home-accents/trunks-luggage/cube-trunk-louis-vuitton-circa-1930s/id-f_458842/</t>
  </si>
  <si>
    <t>LV0223.png</t>
  </si>
  <si>
    <t>1930s</t>
  </si>
  <si>
    <t>Library Trunk</t>
  </si>
  <si>
    <t>https://www.1stdibs.com/furniture/more-furniture-collectibles/home-accents/trunks-luggage/louis-vuitton-library-trunk-circa-1930s/id-f_11053533/</t>
  </si>
  <si>
    <t>LV0224.png</t>
  </si>
  <si>
    <t>Stencil Monogram Cabin Trunk</t>
  </si>
  <si>
    <t>https://www.1stdibs.com/furniture/more-furniture-collectibles/home-accents/trunks-luggage/1930s-louis-vuitton-stencil-monogram-cabin-trunk/id-f_36573412/</t>
  </si>
  <si>
    <t>LV0225.png</t>
  </si>
  <si>
    <t>Flat Steamer Trunk</t>
  </si>
  <si>
    <t>https://www.1stdibs.com/furniture/more-furniture-collectibles/home-accents/trunks-luggage/vintage-louis-vuitton-flat-steamer-trunk/id-f_5827223/</t>
  </si>
  <si>
    <t>LV0226.png</t>
  </si>
  <si>
    <t>Courrier Steamer Trunk</t>
  </si>
  <si>
    <t>https://www.1stdibs.com/furniture/more-furniture-collectibles/home-accents/trunks-luggage/1930s-high-louis-vuitton-trunk-louis-vuitton-courrier-steamer-trunk/id-f_16451151/</t>
  </si>
  <si>
    <t>LV0227.png</t>
  </si>
  <si>
    <t>The Domed Trunk</t>
  </si>
  <si>
    <t>Louis Vuitton</t>
  </si>
  <si>
    <t>https://us.louisvuitton.com/eng-us/magazine/articles/heritage</t>
  </si>
  <si>
    <t>LV0228.png</t>
  </si>
  <si>
    <t>The Flat Trunk</t>
  </si>
  <si>
    <t>LV0229.png</t>
  </si>
  <si>
    <t>The Bed Trunk</t>
  </si>
  <si>
    <t>LV0230.png</t>
  </si>
  <si>
    <t>The Flower Trunk</t>
  </si>
  <si>
    <t>LV0231.png</t>
  </si>
  <si>
    <t>The Shoe Trunk</t>
  </si>
  <si>
    <t>LV0232.png</t>
  </si>
  <si>
    <t>The Toiletry Case</t>
  </si>
  <si>
    <t>LV0233.png</t>
  </si>
  <si>
    <t>The Stokowski Secretary Desk</t>
  </si>
  <si>
    <t>LV0234.png</t>
  </si>
  <si>
    <t>The Trophy Trunk</t>
  </si>
  <si>
    <t>LV0235.png</t>
  </si>
  <si>
    <t>The 1000 Cigars Trunk</t>
  </si>
  <si>
    <t>LV0236.png</t>
  </si>
  <si>
    <t>The 8 Watch Case</t>
  </si>
  <si>
    <t>LV0237.png</t>
  </si>
  <si>
    <t>The Malle Coiffeuse</t>
  </si>
  <si>
    <t>LV0238.png</t>
  </si>
  <si>
    <t>Olympic Trunks</t>
  </si>
  <si>
    <t>LV0239.png</t>
  </si>
  <si>
    <t>A LOW TRUNK IN STRIPED CANVAS</t>
  </si>
  <si>
    <t>https://www.christies.com/lot/lot-5566753?utm_source=chatgpt.com</t>
  </si>
  <si>
    <t>LV0240.png</t>
  </si>
  <si>
    <t>circa 1880</t>
  </si>
  <si>
    <t>Striped Canvas Trunk. Steamer Trunk</t>
  </si>
  <si>
    <t>https://www.1stdibs.com/furniture/more-furniture-collectibles/home-accents/trunks-luggage/1880s-louis-vuitton-striped-canvas-trunk-antique-louis-vuitton-steamer-trunk/id-f_31144322/</t>
  </si>
  <si>
    <t>LV0241.png</t>
  </si>
  <si>
    <t>Cabin Trunk Finished in Damier Canvas</t>
  </si>
  <si>
    <t>https://www.1stdibs.com/fashion/handbags-purses-bags/luggage-travel-bags/1880s-louis-vuitton-cabin-trunk-finished-damier-canvas/id-v_22242552/</t>
  </si>
  <si>
    <t>LV0242.png</t>
  </si>
  <si>
    <t>Courier Trunk in Damier Canvas</t>
  </si>
  <si>
    <t>https://www.1stdibs.com/fashion/handbags-purses-bags/luggage-travel-bags/1880s-louis-vuitton-courier-trunk-damier-canvas/id-v_22242482/</t>
  </si>
  <si>
    <t>LV0243.png</t>
  </si>
  <si>
    <t>Trunk Damier Courier Steamer</t>
  </si>
  <si>
    <t>https://www.1stdibs.com/fashion/handbags-purses-bags/luggage-travel-bags/1880s-antique-louis-vuitton-trunk-damier-courier-steamer/id-v_21704802/</t>
  </si>
  <si>
    <t>LV0244.png</t>
  </si>
  <si>
    <t>Striped Canvas Trunk. Malle Louis Vuitton</t>
  </si>
  <si>
    <t>https://www.1stdibs.com/furniture/more-furniture-collectibles/home-accents/trunks-luggage/1870s-louis-vuitton-striped-canvas-trunkmalle-louis-vuitton/id-f_6873263/</t>
  </si>
  <si>
    <t>LV0245.png</t>
  </si>
  <si>
    <t>1870s</t>
  </si>
  <si>
    <t>Rayee Malle Haute Trunk</t>
  </si>
  <si>
    <t>https://www.1stdibs.com/fashion/handbags-purses-bags/luggage-travel-bags/1870s-louis-vuitton-rayee-malle-haute-trunk/id-v_20399192/</t>
  </si>
  <si>
    <t>LV0246.png</t>
  </si>
  <si>
    <t>Rayee Hatbox Trunk</t>
  </si>
  <si>
    <t>https://www.1stdibs.com/fashion/handbags-purses-bags/luggage-travel-bags/1870s-louis-vuitton-rayee-hatbox-trunk/id-v_20398952/</t>
  </si>
  <si>
    <t>LV0247.png</t>
  </si>
  <si>
    <t>Striped Canvas Steamer Trunk, Malle</t>
  </si>
  <si>
    <t>https://www.1stdibs.com/furniture/more-furniture-collectibles/home-accents/trunks-luggage/1870s-louis-vuitton-striped-canvas-steamer-trunk-malle-louis-vuitton/id-f_6873143/</t>
  </si>
  <si>
    <t>LV0248.png</t>
  </si>
  <si>
    <t>Grey Trianon Canvas Trunk</t>
  </si>
  <si>
    <t>https://www.1stdibs.com/furniture/more-furniture-collectibles/home-accents/trunks-luggage/1870s-louis-vuitton-grey-trianon-canvas-trunk/id-f_6268423/</t>
  </si>
  <si>
    <t>LV0249.png</t>
  </si>
  <si>
    <t>A STEAMER TRUNK IN BROWN CANVAS</t>
  </si>
  <si>
    <t>https://www.christies.com/en/lot/lot-a-steamer-trunk-in-brown-canvas-louis-5503707?lid=4</t>
  </si>
  <si>
    <t>LV0250.png</t>
  </si>
  <si>
    <t>circa 1870s</t>
  </si>
  <si>
    <t>50cm Louis Vuitton Trunk</t>
  </si>
  <si>
    <t>https://www.1stdibs.com/furniture/more-furniture-collectibles/home-accents/trunks-luggage/50cm-louis-vuitton-trunk-1940s-france/id-f_30126642/</t>
  </si>
  <si>
    <t>LV0251.png</t>
  </si>
  <si>
    <t>Louis Vuitton Trunk</t>
  </si>
  <si>
    <t>https://www.1stdibs.com/furniture/more-furniture-collectibles/home-accents/trunks-luggage/louis-vuitton-trunk-1940s-france/id-f_30126402/</t>
  </si>
  <si>
    <t>LV0252.png</t>
  </si>
  <si>
    <t>https://www.1stdibs.com/furniture/more-furniture-collectibles/home-accents/trunks-luggage/1940s-louis-vuitton-trunk/id-f_26628102/</t>
  </si>
  <si>
    <t>LV0253.png</t>
  </si>
  <si>
    <t>Monogram Trunk</t>
  </si>
  <si>
    <t>https://www.1stdibs.com/furniture/asian-art-furniture/furniture/1940s-louis-vuitton-monogram-trunk/id-f_36574052/</t>
  </si>
  <si>
    <t>LV0254.png</t>
  </si>
  <si>
    <t>Malle de Voyage Personnalisées</t>
  </si>
  <si>
    <t>https://www.1stdibs.com/furniture/more-furniture-collectibles/home-accents/trunks-luggage/louis-vuitton-malle-de-voyage-personnalisees-paris-late-1940s/id-f_40321032/?utm_source=chatgpt.com</t>
  </si>
  <si>
    <t>LV0255.png</t>
  </si>
  <si>
    <t>late 1940s</t>
  </si>
  <si>
    <t>Equipped Rigid Suitcase</t>
  </si>
  <si>
    <t>https://www.1stdibs.com/furniture/more-furniture-collectibles/home-accents/trunks-luggage/louis-vuitton-equipped-rigid-suitcase-1940s/id-f_28527002/?utm_source=chatgpt.com</t>
  </si>
  <si>
    <t>LV0256.png</t>
  </si>
  <si>
    <t>Custom Louis Vuitton Trunk</t>
  </si>
  <si>
    <t>LV0257.png</t>
  </si>
  <si>
    <t>Louis Vuitton Cabin Trunk</t>
  </si>
  <si>
    <t>Baggage Collection</t>
  </si>
  <si>
    <t>https://www.baggagecollectionusa.com/louis-vuitton-cabin-trunk-1910.html</t>
  </si>
  <si>
    <t>LV0258.png</t>
  </si>
  <si>
    <t>Louis Vuitton Trunk Vuittonite canvas</t>
  </si>
  <si>
    <t>https://www.baggagecollectionusa.com/malle-louis-vuitton-jaune-c-1920.html</t>
  </si>
  <si>
    <t>LV0259.png</t>
  </si>
  <si>
    <t>Louis Vuitton cabin trunk stenciled canvas</t>
  </si>
  <si>
    <t>https://www.baggagecollectionusa.com/malle-cabine-louis-vuitton-c-1920.html</t>
  </si>
  <si>
    <t>LV0260.png</t>
  </si>
  <si>
    <t>Louis Vuitton Trunk stenciled canvas</t>
  </si>
  <si>
    <t>https://www.baggagecollectionusa.com/malle-louis-vuitton-c-1927.html</t>
  </si>
  <si>
    <t>LV0261.png</t>
  </si>
  <si>
    <t>circa 1927</t>
  </si>
  <si>
    <t>Louis Vuitton Hats trunk stenciled canvas</t>
  </si>
  <si>
    <t>https://www.baggagecollectionusa.com/malle-louis-vuitton-a-chapeaux-c-1938.html</t>
  </si>
  <si>
    <t>LV0262.png</t>
  </si>
  <si>
    <t>circa 1938</t>
  </si>
  <si>
    <t>Louis Vuitton Trunk model of the Mansion</t>
  </si>
  <si>
    <t>https://www.baggagecollectionusa.com/malle-louis-vuitton-c-1950.html</t>
  </si>
  <si>
    <t>LV0263.png</t>
  </si>
  <si>
    <t>circa 1950</t>
  </si>
  <si>
    <t>Louis Vuitton cabin trunk moresque-patterned steel borders</t>
  </si>
  <si>
    <t>https://www.baggagecollectionusa.com/malle-cabine-louis-vuitton-c-1890.html</t>
  </si>
  <si>
    <t>LV0264.png</t>
  </si>
  <si>
    <t>Louis Vuitton courier trunk orange Vuittonite canvas</t>
  </si>
  <si>
    <t>https://www.baggagecollectionusa.com/malle-louis-vuitton-c-1909.html</t>
  </si>
  <si>
    <t>LV0265.png</t>
  </si>
  <si>
    <t>Louis Vuitton Courrier trunk woven jacquard canva</t>
  </si>
  <si>
    <t>https://www.baggagecollectionusa.com/malle-courrier-louis-vuitton-c-1906.html</t>
  </si>
  <si>
    <t>LV0266.png</t>
  </si>
  <si>
    <t>circa 1906</t>
  </si>
  <si>
    <t>A LOUIS VUITTON 'TRIANON' GREY CANVAS TRUNK</t>
  </si>
  <si>
    <t>https://www.christies.com/en/lot/lot-a-louis-vuitton-trianon-grey-canvas-trunk-5716727/</t>
  </si>
  <si>
    <t>LV0267.png</t>
  </si>
  <si>
    <t>1867-1868</t>
  </si>
  <si>
    <t>Louis Vuitton Trianon Trunk - Museum Piece</t>
  </si>
  <si>
    <t>https://www.1stdibs.com/fashion/handbags-purses-bags/luggage-travel-bags/1860s-louis-vuitton-trianon-trunk-museum-piece/id-v_20399362/</t>
  </si>
  <si>
    <t>LV0268.png</t>
  </si>
  <si>
    <t>1860s</t>
  </si>
  <si>
    <t>Louis Vuitton, 'Trianon Canvas Trunk'</t>
  </si>
  <si>
    <t>Invaluable</t>
  </si>
  <si>
    <t>https://www.invaluable.com/auction-lot/louis-vuitton-trianon-canvas-trunk-1858-1876-114-c-7bf4eaf843</t>
  </si>
  <si>
    <t>LV0269.png</t>
  </si>
  <si>
    <t>1858-1876</t>
  </si>
  <si>
    <t>https://www.christies.com/lot/lot-a-louis-vuitton-trianon-grey-canvas-1858-1876-5716724/</t>
  </si>
  <si>
    <t>LV0270.png</t>
  </si>
  <si>
    <t>Louis Vuitton Duffel Bag</t>
  </si>
  <si>
    <t>https://www.1stdibs.com/furniture/more-furniture-collectibles/home-accents/trunks-luggage/1950s-louis-vuitton-duffel-bag/id-f_26628822/</t>
  </si>
  <si>
    <t>LV0271.png</t>
  </si>
  <si>
    <t>Rare Louis Vuitton Travel Bag</t>
  </si>
  <si>
    <t>https://www.1stdibs.com/furniture/more-furniture-collectibles/home-accents/trunks-luggage/rare-louis-vuitton-travel-bag-1950s-usa/id-f_30255262/</t>
  </si>
  <si>
    <t>LV0272.png</t>
  </si>
  <si>
    <t>Vintage Louis Vuitton Purse</t>
  </si>
  <si>
    <t>Barnebys</t>
  </si>
  <si>
    <t>https://www.barnebys.com/auctions/lot/louis-vuitton-purse-2afbN9i-622158923</t>
  </si>
  <si>
    <t>LV0273.png</t>
  </si>
  <si>
    <t>Louis Vuitton Coin Purse</t>
  </si>
  <si>
    <t>https://www.1stdibs.com/furniture/more-furniture-collectibles/collectibles-curiosities/sports-equipment-memorabilia/louis-vuitton-coin-purse-1950s-france/id-f_30222082/</t>
  </si>
  <si>
    <t>LV0274.png</t>
  </si>
  <si>
    <t>Vintage Louis Vuitton Steamer Bag Carry All Monogram Canvas Doctors Bag</t>
  </si>
  <si>
    <t>https://www.1stdibs.com/fashion/handbags-purses-bags/luggage-travel-bags/vintage-louis-vuitton-steamer-bag-carry-all-monogram-canvas-1950s-doctors-bag/id-v_9189832/</t>
  </si>
  <si>
    <t>LV0275.png</t>
  </si>
  <si>
    <t>Rare Louis Vuitton Doctors Bag Steamer Tote Keepall Vintage Monogram Canvas</t>
  </si>
  <si>
    <t>https://www.1stdibs.com/fashion/handbags-purses-bags/luggage-travel-bags/rare-louis-vuitton-doctors-bag-steamer-tote-keepall-vintage-50s-monogram-canvas/id-v_5254931/</t>
  </si>
  <si>
    <t>LV0276.png</t>
  </si>
  <si>
    <t>Alzer suitcase in Monogram canvas with multiple travel tags</t>
  </si>
  <si>
    <t>Auction France</t>
  </si>
  <si>
    <t>https://www.auction.fr/en-US/lot/59-louis-vuitton-valise-alzer-en-toile-monogram-a-multiples-etiquettes-de-voyage-made-in-81766069</t>
  </si>
  <si>
    <t>LV0277.png</t>
  </si>
  <si>
    <t>late 1950s</t>
  </si>
  <si>
    <t>An Orson Welles Louis Vuitton Alzer Hardback Suitcase</t>
  </si>
  <si>
    <t>Heritages Auctions</t>
  </si>
  <si>
    <t>https://entertainment.ha.com/itm/movie-tv-memorabilia/costumes/an-orson-welles-louis-vuitton-alzer-hardback-suitcase-circa-1950s/a/7089-46057.s</t>
  </si>
  <si>
    <t>LV0278.png</t>
  </si>
  <si>
    <t>Grand sac «paquebot»</t>
  </si>
  <si>
    <t>Classic Driver</t>
  </si>
  <si>
    <t>https://www.classicdriver.com/en/collectible/grand-sac-paquebot-louis-vuitton-circa-1960</t>
  </si>
  <si>
    <t>LV0279.png</t>
  </si>
  <si>
    <t>Monogram Canvas Vintage Bag</t>
  </si>
  <si>
    <t>https://www.1stdibs.com/furniture/more-furniture-collectibles/home-accents/trunks-luggage/louis-vuitton-monogram-canvas-vintage-bag-circa-1960/id-f_8456243/</t>
  </si>
  <si>
    <t>LV0280.png</t>
  </si>
  <si>
    <t>Vintage Louis Vuitton Monogram Train Case</t>
  </si>
  <si>
    <t>https://www.1stdibs.com/fashion/handbags-purses-bags/vintage-louis-vuitton-monogram-train-case/id-v_153940/</t>
  </si>
  <si>
    <t>LV0281.png</t>
  </si>
  <si>
    <t>A Louis Vuitton vanity case</t>
  </si>
  <si>
    <t>https://www.classicdriver.com/en/collectible/a-louis-vuitton-vanity-case-circa-1960</t>
  </si>
  <si>
    <t>LV0282.png</t>
  </si>
  <si>
    <t>Vanity Case Louis Vuitton Monogram Canvas</t>
  </si>
  <si>
    <t>https://www.1stdibs.com/furniture/more-furniture-collectibles/home-accents/trunks-luggage/vanity-case-louis-vuitton-monogram-canvas-circa-1960/id-f_3306112/</t>
  </si>
  <si>
    <t>LV0283.png</t>
  </si>
  <si>
    <t>Monogram Travel Bag Special Made for Saks Fifth Avenue</t>
  </si>
  <si>
    <t>https://www.1stdibs.com/furniture/more-furniture-collectibles/1960s-louis-vuitton-monogram-travel-bag-special-made-saks-fifth-avenue/id-f_4650163/</t>
  </si>
  <si>
    <t>LV0284.png</t>
  </si>
  <si>
    <t>Brown Monogram Keepall Bandouliere</t>
  </si>
  <si>
    <t>https://www.1stdibs.com/furniture/more-furniture-collectibles/home-accents/trunks-luggage/1960s-louis-vuitton-brown-monogram-keepall-bandouliere/id-f_11739291/</t>
  </si>
  <si>
    <t>LV0285.png</t>
  </si>
  <si>
    <t>A COTTEVILLE SUITCASE AND ANOTHER SUITCASE IN MONOGRAM CANVAS</t>
  </si>
  <si>
    <t>https://www.christies.com/en/lot/lot-5532267</t>
  </si>
  <si>
    <t>LV0286.png</t>
  </si>
  <si>
    <t>A GOLF BAG</t>
  </si>
  <si>
    <t>https://onlineonly.christies.com/s/gentlemens-luxury-accessories-barware-sports-travel-leisure/golf-bag-25/1401</t>
  </si>
  <si>
    <t>LV0287.png</t>
  </si>
  <si>
    <t>LV0288.png</t>
  </si>
  <si>
    <t>Vintage Louis Vuitton Monogram Papillon 26 Bag</t>
  </si>
  <si>
    <t>Portmanteau New York</t>
  </si>
  <si>
    <t>https://www.portmanteaunewyork.com/accessories/vintage-louis-vuitton-monogram-papillon-26-bag-circa-1960s/70s</t>
  </si>
  <si>
    <t>LV0289.png</t>
  </si>
  <si>
    <t>circa 1960s</t>
  </si>
  <si>
    <t>Monogram Sac Vendome Shoulder Bag 7lz419s</t>
  </si>
  <si>
    <t>https://www.1stdibs.com/fashion/handbags-purses-bags/shoulder-bags/louis-vuitton-1970s-monogram-sac-vendome-shoulder-bag-7lz419s/id-v_15570222/</t>
  </si>
  <si>
    <t>LV0290.png</t>
  </si>
  <si>
    <t>Monogram Sac Bavore 3 Poches Mini Tote Bavolet 48l</t>
  </si>
  <si>
    <t>https://www.1stdibs.com/fashion/handbags-purses-bags/crossbody-bags-messenger-bags/louis-vuitton-vintage-1970s-monogram-sac-bavore-3-poches-mini-tote-bavolet-48l/id-v_15529992/</t>
  </si>
  <si>
    <t>LV0291.png</t>
  </si>
  <si>
    <t>Jeune Fille Brown Canvas Leather Monogram Crossbody Bag</t>
  </si>
  <si>
    <t>https://www.1stdibs.com/fashion/handbags-purses-bags/crossbody-bags-messenger-bags/louis-vuitton-jeune-fille-brown-canvas-leather-monogram-crossbody-bag-1970s/id-v_9623092/</t>
  </si>
  <si>
    <t>LV0292.png</t>
  </si>
  <si>
    <t>Louis Vuitton Monogram Doctors Bag</t>
  </si>
  <si>
    <t>https://www.1stdibs.com/fashion/handbags-purses-bags/shoulder-bags/1970s-louis-vuitton-monogram-doctors-bag/id-v_9541712/</t>
  </si>
  <si>
    <t>LV0293.png</t>
  </si>
  <si>
    <t>Monogram Bucket Bag - Under Special License to the French Co</t>
  </si>
  <si>
    <t>https://www.1stdibs.com/fashion/handbags-purses-bags/shoulder-bags/1970s-louis-vuitton-monogram-bucket-bag-under-special-license-to-french-co/id-v_12495052/</t>
  </si>
  <si>
    <t>LV0294.png</t>
  </si>
  <si>
    <t>The French Co Monogram Bucket Bag Tote and Coin Purse</t>
  </si>
  <si>
    <t>https://www.1stdibs.com/fashion/handbags-purses-bags/shoulder-bags/louis-vuitton-french-co-monogram-bucket-bag-tote-coin-purse-1970s/id-v_4148893/</t>
  </si>
  <si>
    <t>LV0295.png</t>
  </si>
  <si>
    <t>A MINI PAPILLION MAKE-UP BAG</t>
  </si>
  <si>
    <t>https://onlineonly.christies.com/s/audrey-hepburn-personal-collection-part-iii/mini-papillion-make-up-bag-163/56155</t>
  </si>
  <si>
    <t>LV0296.png</t>
  </si>
  <si>
    <t>LV0297.png</t>
  </si>
  <si>
    <t>Monogram Travel Bag Steamer Keepall Doctors Bag Rare</t>
  </si>
  <si>
    <t>https://www.1stdibs.com/fashion/handbags-purses-bags/luggage-travel-bags/vintage-louis-vuitton-monogram-travel-bag-steamer-keepall-doctors-bag-rare-70s/id-v_3843641/</t>
  </si>
  <si>
    <t>LV0298.png</t>
  </si>
  <si>
    <t>Original Louis Vuitton Bag, Petite Marceau</t>
  </si>
  <si>
    <t>https://www.1stdibs.com/fashion/handbags-purses-bags/shoulder-bags/original-louis-vuitton-bag-petite-marceau/id-v_57053/</t>
  </si>
  <si>
    <t>LV0299.png</t>
  </si>
  <si>
    <t>Large Duffel Bag Overnight Travel Keepall Rare French Co w/Strap</t>
  </si>
  <si>
    <t>https://www.1stdibs.com/fashion/handbags-purses-bags/luggage-travel-bags/louis-vuitton-large-duffel-bag-overnight-travel-keepall-rare-french-co-w-strap/id-v_6922341/</t>
  </si>
  <si>
    <t>LV0300.png</t>
  </si>
  <si>
    <t>Louis Vuitton Wardrobe Trunk</t>
  </si>
  <si>
    <t>https://www.1stdibs.com/furniture/more-furniture-collectibles/home-accents/trunks-luggage/louis-vuitton-wardrobe-trunk-circa-1940/id-f_24629382/</t>
  </si>
  <si>
    <t>LV0301.png</t>
  </si>
  <si>
    <t>circa 1940</t>
  </si>
  <si>
    <t>Unique 20th Century Louis Vuitton Monogram Canvas Cabin Trunk</t>
  </si>
  <si>
    <t>Incollect</t>
  </si>
  <si>
    <t>https://www.incollect.com/listings/decorative-arts/objects/louis-vuitton-unique-20th-century-louis-vuitton-monogram-canvas-cabin-trunk-circa-1940-282772</t>
  </si>
  <si>
    <t>LV0302.png</t>
  </si>
  <si>
    <t>A LOUIS VUITTON `MINI WARDROBE' TRUNK</t>
  </si>
  <si>
    <t>https://www.christies.com/en/lot/lot-5950313</t>
  </si>
  <si>
    <t>LV0303.png</t>
  </si>
  <si>
    <t>LV0304.png</t>
  </si>
  <si>
    <t>A BLACK CANVAS MINI STAGE COACH TRUNK WITH BRASS HARDWARE</t>
  </si>
  <si>
    <t>https://onlineonly.christies.com/s/handbags-accessories/black-canvas-mini-stage-coach-trunk-brass-hardware-244/57728</t>
  </si>
  <si>
    <t>LV0305.png</t>
  </si>
  <si>
    <t>LOUIS VUITTON. A VERY FINE WARDROBE TRUNK WITH HUMIDOR AND DISPLAY SHELVES, CUSTOMIZED BY BERNARDINI LUXURY VINTAGE</t>
  </si>
  <si>
    <t>https://www.christies.com/en/lot/lot-5976894</t>
  </si>
  <si>
    <t>LV0306.png</t>
  </si>
  <si>
    <t>A MONOGRAM CANVAS SHOE TRUNK WITH BRASS HARDWARE</t>
  </si>
  <si>
    <t>https://onlineonly.christies.com/s/handbags-accessories/monogram-canvas-shoe-trunk-brass-hardware-169/41697</t>
  </si>
  <si>
    <t>LV0307.png</t>
  </si>
  <si>
    <t>A MONOGRAM CANVAS CABIN TRUNK AND A MONOGRAM CANVAS ALZER SUITCASE</t>
  </si>
  <si>
    <t>https://www.christies.com/lot/lot-5828910</t>
  </si>
  <si>
    <t>LV0308.png</t>
  </si>
  <si>
    <t>A MONOGRAM CANVAS CABIN TRUNK</t>
  </si>
  <si>
    <t>https://www.christies.com/lot/lot-a-monogram-canvas-cabin-trunk-louis-vuitton-5828911/?from=siteindex&amp;intobjectid=5828911&amp;lid=1</t>
  </si>
  <si>
    <t>LV0309.png</t>
  </si>
  <si>
    <t>A Louis Vuitton wardrobe trunk, covered in monogram LV canvas and bound in leather and brass with wooden banding, monogrammed C.B.O in yellow paint, key number 102847, the interior fitted with six drawers on one side and hanging space and shoe box on the other, labelled Louis Vuitton Paris Nice 870864--25 1/2 x 21 1/2 x 44 1/2in. (65 x 55 x 113cm.), circa 1960, possibly later modifications by Louis Vuitton in London, one minor lock damaged</t>
  </si>
  <si>
    <t>https://www.christies.com/en/lot/lot-2005592</t>
  </si>
  <si>
    <t>LV0310.png</t>
  </si>
  <si>
    <t>https://www.christies.com/en/lot/lot-2005593</t>
  </si>
  <si>
    <t>LV0311.png</t>
  </si>
  <si>
    <t>https://www.christies.com/en/lot/lot-2005594</t>
  </si>
  <si>
    <t>LV0312.png</t>
  </si>
  <si>
    <t>https://www.christies.com/en/lot/lot-2005595</t>
  </si>
  <si>
    <t>LV0313.png</t>
  </si>
  <si>
    <t>AN ALZER SUITCASE AND A BISTEN SUITCASE IN MONOGRAM CANVAS</t>
  </si>
  <si>
    <t>https://www.christies.com/en/lot/lot-5503702</t>
  </si>
  <si>
    <t>LV0314.png</t>
  </si>
  <si>
    <t>https://www.christies.com/en/lot/lot-5503703</t>
  </si>
  <si>
    <t>LV0315.png</t>
  </si>
  <si>
    <t>A BISTON 60 SUITCASE</t>
  </si>
  <si>
    <t>https://www.christies.com/lot/lot-5996062</t>
  </si>
  <si>
    <t>LV0316.png</t>
  </si>
  <si>
    <t>AN ALZER ANGLAIS 80 SUITCASE IN MONOGRAM CANVAS</t>
  </si>
  <si>
    <t>https://www.christies.com/lot/lot-5996063</t>
  </si>
  <si>
    <t>LV0317.png</t>
  </si>
  <si>
    <t>Paris Alzer-70 Luggage Trunk LV Pattern With Cover &amp; Service</t>
  </si>
  <si>
    <t>https://www.1stdibs.com/furniture/more-furniture-collectibles/home-accents/trunks-luggage/louis-vuitton-paris-1970-alzer-70-luggage-trunk-lv-pattern-cover-service/id-f_49322822/</t>
  </si>
  <si>
    <t>LV0318.png</t>
  </si>
  <si>
    <t>Vintage Louis Vuitton Suitcase Bisten 60 Monogram Canvas</t>
  </si>
  <si>
    <t>Di Mano in Mano</t>
  </si>
  <si>
    <t>https://www.dimanoinmano.it/en/cp316092/clothing-house-linens/vintage/louis-vuitton-bisten-60-suitcase</t>
  </si>
  <si>
    <t>LV0319.png</t>
  </si>
  <si>
    <t>Louis Vuitton Suitcase Bisten 80</t>
  </si>
  <si>
    <t>https://www.1stdibs.com/furniture/more-furniture-collectibles/home-accents/trunks-luggage/louis-vuitton-suitcase-bisten-80-1970/id-f_25507732/</t>
  </si>
  <si>
    <t>LV0320.png</t>
  </si>
  <si>
    <t>Original vintage Louis Vuitton suitcase</t>
  </si>
  <si>
    <t>https://www.1stdibs.com/furniture/more-furniture-collectibles/home-accents/trunks-luggage/original-vintage-louis-vuitton-suitcase-from-1970s/id-f_39745312/</t>
  </si>
  <si>
    <t>LV0321.png</t>
  </si>
  <si>
    <t>https://www.1stdibs.com/furniture/more-furniture-collectibles/home-accents/trunks-luggage/original-vintage-louis-vuitton-suitcase-from-1970s/id-f_39744752/</t>
  </si>
  <si>
    <t>LV0322.png</t>
  </si>
  <si>
    <t>Cotteville 40 Case Louis Vuitton Leather Brass Canvas</t>
  </si>
  <si>
    <t>https://www.1stdibs.com/furniture/decorative-objects/boxes/jewelry-boxes/cotteville-40-case-louis-vuitton-leather-brass-canvas-1970s/id-f_21575332/</t>
  </si>
  <si>
    <t>LV0323.png</t>
  </si>
  <si>
    <t>A Louis Vuitton wardrobe trunk, covered in LV monogram canvas with yellow owner stripes, bound in leather and brass with wooden bandings, monogrammed H.P.C on sides, lock no. 114285, the interior fitted with six drawers, hanging space and divider</t>
  </si>
  <si>
    <t>https://www.christies.com/en/lot/lot-2534731</t>
  </si>
  <si>
    <t>LV0324.png</t>
  </si>
  <si>
    <t>shoe box, labelled LOUIS VUITTON PARIS LONDON NICE CANNES VICHY--26 x 22 x 44in. (66 x 56 x 112cm.)</t>
  </si>
  <si>
    <t>LV0325.png</t>
  </si>
  <si>
    <t>A Louis Vuitton cabin trunk, covered in LV monogram canvas and bound in leather and brass with wooden bandings, the sides monogrammed S P, lock no. 063627</t>
  </si>
  <si>
    <t>https://www.christies.com/lot/lot-2534729</t>
  </si>
  <si>
    <t>LV0326.png</t>
  </si>
  <si>
    <t>Asnières-sur-Seine
Large suitcase 'Alzer Monogram Canvas'</t>
  </si>
  <si>
    <t>Quittenbaum</t>
  </si>
  <si>
    <t>https://www.quittenbaum.de/media/Kataloge/172E_EN.pdf</t>
  </si>
  <si>
    <t>LV0327.png</t>
  </si>
  <si>
    <t>1980s</t>
  </si>
  <si>
    <t>Asnières-sur-Seine
Medium suitcase 'Cotteville Monogram
Canvas</t>
  </si>
  <si>
    <t>LV0328.png</t>
  </si>
  <si>
    <t>Asnières-sur-Seine
Small 'Super President Monogram Canvas' suitcase</t>
  </si>
  <si>
    <t>LV0329.png</t>
  </si>
  <si>
    <t>Monogram Wig Case Round Hat Trunk Travel Bag</t>
  </si>
  <si>
    <t>https://www.1stdibs.com/fashion/handbags-purses-bags/luggage-travel-bags/louis-vuitton-1970s-monogram-wig-case-round-hat-trunk-travel-bag/id-v_28935632/</t>
  </si>
  <si>
    <t>LV0330.png</t>
  </si>
  <si>
    <t>Round Louis Vuitton Hat Trunk 50, Louis Vuitton Hat Box, Louis Vuitton Bag</t>
  </si>
  <si>
    <t>https://www.1stdibs.com/fashion/handbags-purses-bags/luggage-travel-bags/round-louis-vuitton-hat-trunk-50-louis-vuitton-hat-box-louis-vuitton-bag/id-v_28314512/</t>
  </si>
  <si>
    <t>LV0331.png</t>
  </si>
  <si>
    <t>1980-1989</t>
  </si>
  <si>
    <t>Vintage Louis Vuitton Hat Box</t>
  </si>
  <si>
    <t>https://www.1stdibs.com/furniture/more-furniture-collectibles/home-accents/trunks-luggage/vintage-louis-vuitton-hat-box/id-f_25461032/</t>
  </si>
  <si>
    <t>LV0332.png</t>
  </si>
  <si>
    <t>Extra Large Louis Vuitton Marin Bag Louis Vuitton Bag, Louis Vuitton Duffle Bag</t>
  </si>
  <si>
    <t>https://www.1stdibs.com/fashion/handbags-purses-bags/luggage-travel-bags/extra-large-louis-vuitton-marin-bag-louis-vuitton-bag-louis-vuitton-duffle-bag/id-v_9509252/</t>
  </si>
  <si>
    <t>LV0333.png</t>
  </si>
  <si>
    <t>A CLASSIC MONOGRAM CANVAS COTTEVILLE 45 TRUNK WITH BRASS HARDWARE</t>
  </si>
  <si>
    <t>https://onlineonly.christies.com/s/gentleman-watches-whiskies-accessories/set-two-classic-monogram-canvas-cotteville-45-trunk-brass-hardware-25/88797</t>
  </si>
  <si>
    <t>LV0334.png</t>
  </si>
  <si>
    <t>A CLASSIC MONOGRAM CANVAS ALZER 65 TRUNK WITH BRASS HARDWARE</t>
  </si>
  <si>
    <t>LV0335.png</t>
  </si>
  <si>
    <t>Vintage Louis Vuitton Wardrobe 85 Casier Trunk</t>
  </si>
  <si>
    <t>New Orleans Auction</t>
  </si>
  <si>
    <t>https://www.neworleansauction.com/auction-lot/vintage-louis-vuitton-wardrobe-85-casier-trunk_f7c430789c</t>
  </si>
  <si>
    <t>LV0336.png</t>
  </si>
  <si>
    <t>Louis Vuitton, Unique custom-made wardrobe trunk</t>
  </si>
  <si>
    <t>Kunstconsult</t>
  </si>
  <si>
    <t>https://www.kunstconsult.com/Collectables/Louis-Vuitton.-Unique-custom-made-wardrobe-trunk.-1980s</t>
  </si>
  <si>
    <t>LV0337.png</t>
  </si>
  <si>
    <t>Louis Vuitton Monogramm Shoe Trunk, Louis Vuitton Shoe Case, Louis Vuitton Trunk</t>
  </si>
  <si>
    <t>https://www.1stdibs.com/furniture/more-furniture-collectibles/home-accents/trunks-luggage/louis-vuitton-monogramm-shoe-trunk-louis-vuitton-shoe-case-louis-vuitton-trunk/id-f_20385982/</t>
  </si>
  <si>
    <t>LV0338.png</t>
  </si>
  <si>
    <t>Vintage Louis Vuitton Monogram Overnight Case Trunk Luggage</t>
  </si>
  <si>
    <t>https://www.1stdibs.com/furniture/more-furniture-collectibles/home-accents/trunks-luggage/vintage-louis-vuitton-monogram-overnight-case-trunk-luggage-circa-1980/id-f_41780532/</t>
  </si>
  <si>
    <t>LV0339.png</t>
  </si>
  <si>
    <t>circa 1980</t>
  </si>
  <si>
    <t>Louis Vuitton Monogramme Huge Wardrobe Trunk / Malle Armoire</t>
  </si>
  <si>
    <t>https://www.1stdibs.com/fashion/ephemera/trunks-luggage/louis-vuitton-monogramme-huge-wardrobe-trunk-malle-armoire-1980s/id-v_222706/</t>
  </si>
  <si>
    <t>LV0340.png</t>
  </si>
  <si>
    <t>Wardrobe Louis Vuitton Trunk</t>
  </si>
  <si>
    <t>https://www.1stdibs.com/furniture/storage-case-pieces/wardrobes-armoires/wardrobe-louis-vuitton-trunk/id-f_26843132/</t>
  </si>
  <si>
    <t>LV0341.png</t>
  </si>
  <si>
    <t>Louis Vuitton Portable 'Whisky Bar'</t>
  </si>
  <si>
    <t>https://www.1stdibs.com/furniture/more-furniture-collectibles/home-accents/trunks-luggage/louis-vuitton-portable-whisky-bar/id-f_3486182/</t>
  </si>
  <si>
    <t>LV0342.png</t>
  </si>
  <si>
    <t>LOUIS VUITTON Vintage Large Steamer Wardrobe Trunk</t>
  </si>
  <si>
    <t>https://www.1stdibs.com/fashion/ephemera/trunks-luggage/louis-vuitton-vintage-large-steamer-wardrobe-trunk/id-v_3100223/</t>
  </si>
  <si>
    <t>LV0343.png</t>
  </si>
  <si>
    <t>Steamer Trunk in Monogram Canvas from Louis Vuitton</t>
  </si>
  <si>
    <t>Pamono</t>
  </si>
  <si>
    <t>https://www.pamono.co.uk/steamer-trunk-in-monogram-canvas-from-louis-vuitton-france-1980s</t>
  </si>
  <si>
    <t>LV0344.png</t>
  </si>
  <si>
    <t>Vintage Monogram Trunk from Louis Vuitton</t>
  </si>
  <si>
    <t>https://www.pamono.com/vintage-monogram-trunk-from-louis-vuitton-1980s</t>
  </si>
  <si>
    <t>LV0345.png</t>
  </si>
  <si>
    <t>Vintage Louis Vuitton Speedy 25 Handbag</t>
  </si>
  <si>
    <t>Everything but the house</t>
  </si>
  <si>
    <t>https://www.ebth.com/items/7373056-early-1980s-vintage-louis-vuitton-speedy-25-handbag</t>
  </si>
  <si>
    <t>LV0346.png</t>
  </si>
  <si>
    <t>early 1980s</t>
  </si>
  <si>
    <t>Vintage Louis Vuitton Monogram Speedy 35 Bag</t>
  </si>
  <si>
    <t>https://www.ebth.com/items/7313776-1980s-vintage-louis-vuitton-monogram-speedy-35-bag</t>
  </si>
  <si>
    <t>LV0347.png</t>
  </si>
  <si>
    <t>Louis Vuitton Vintage Monogram Grand Noe GM Bucket Bag</t>
  </si>
  <si>
    <t>I miss you vintage</t>
  </si>
  <si>
    <t>https://imissyouvintage.com/products/louis-vuitton-vintage-monogram-grand-noe-gm-bucket-bag</t>
  </si>
  <si>
    <t>LV0348.png</t>
  </si>
  <si>
    <t>monogram canvas handbag by Louis Vuitton, "Noé"</t>
  </si>
  <si>
    <t>Bukowskis</t>
  </si>
  <si>
    <t>https://www.bukowskis.com/en/auctions/S198/584-a-1980s-monogram-canvas-handbag-by-louis-vuitton-noe</t>
  </si>
  <si>
    <t>LV0349.png</t>
  </si>
  <si>
    <t>Saint Cloud GM Monogram Bag</t>
  </si>
  <si>
    <t>https://imissyouvintage.com/products/louis-vuitton-vintage-pre-1983-saint-cloud-gm-monogram-bag</t>
  </si>
  <si>
    <t>LV0350.png</t>
  </si>
  <si>
    <t>pre-1983</t>
  </si>
  <si>
    <t>Sac à bandoulière vintage « Saint Cloud »</t>
  </si>
  <si>
    <t>Interencheres</t>
  </si>
  <si>
    <t>https://www.interencheres.com/art-decoration/international-fine-art-auction-sale-no-197-part-iii-687415/lot-88427362.html</t>
  </si>
  <si>
    <t>LV0351.png</t>
  </si>
  <si>
    <t>Vintage-Tasche "Speedy"</t>
  </si>
  <si>
    <t>Very important lot</t>
  </si>
  <si>
    <t>https://veryimportantlot.com/ru/lot/view/vintage-tasche-speedy-von-louis-vuitton-1341767</t>
  </si>
  <si>
    <t>LV0352.png</t>
  </si>
  <si>
    <t>A CLASSIC MONOGRAM STANDING WARDROBE TRUNK</t>
  </si>
  <si>
    <t>https://onlineonly.christies.com/s/handbags-accessories-online-london-edition/classic-monogram-standing-wardrobe-trunk-206/103895</t>
  </si>
  <si>
    <t>LV0353.png</t>
  </si>
  <si>
    <t>A CLASSIC MONOGRAM CANVAS STANDING SHOE TRUNK</t>
  </si>
  <si>
    <t>https://onlineonly.christies.com/s/handbags-accessories-online-london-edition/classic-monogram-standing-shoe-trunk-209/103897</t>
  </si>
  <si>
    <t>LV0354.png</t>
  </si>
  <si>
    <t>A CLASSIC MONOGRAM CANVAS TRUNK</t>
  </si>
  <si>
    <t>https://onlineonly.christies.com/s/handbags-accessories-online-london-edition/classic-monogram-canvas-trunk-202/103891</t>
  </si>
  <si>
    <t>LV0355.png</t>
  </si>
  <si>
    <t>Monogram Hard Shell Boite Pharmacie Vanity Trunk Case</t>
  </si>
  <si>
    <t>https://www.1stdibs.com/fashion/handbags-purses-bags/luggage-travel-bags/1990s-louis-vuitton-monogram-hard-shell-boite-pharmacie-vanity-trunk-case/id-v_22822762/</t>
  </si>
  <si>
    <t>LV0356.png</t>
  </si>
  <si>
    <t>A CLASSIC MONOGRAM CANVAS BOITE BOUTEILLES TRUNK WITH BRASS HARDWARE</t>
  </si>
  <si>
    <t>https://onlineonly.christies.com/s/handbags-accessories/classic-monogram-canvas-boite-bouteilles-trunk-brass-hardware-216/65436</t>
  </si>
  <si>
    <t>LV0357.png</t>
  </si>
  <si>
    <t>A PERSONALIZED BROWN MONOGRAM LACQUERED CANVAS HARDSIDED TRUNK</t>
  </si>
  <si>
    <t>https://onlineonly.christies.com/s/collection-andre-leon-talley-online/personalized-brown-monogram-lacquered-canvas-hardsided-trunk-269/174376</t>
  </si>
  <si>
    <t>LV0358.png</t>
  </si>
  <si>
    <t>circa 1990</t>
  </si>
  <si>
    <t>LV0359.png</t>
  </si>
  <si>
    <t>Alzer 80 Monogram Trunk</t>
  </si>
  <si>
    <t>https://www.1stdibs.com/furniture/more-furniture-collectibles/home-accents/trunks-luggage/louis-vuitton-alzer-80-monogram-trunk/id-f_28549262/</t>
  </si>
  <si>
    <t>LV0360.png</t>
  </si>
  <si>
    <t>A PERSONALIZED BROWN MONOGRAM CANVAS HARDSIDED VERTICAL WARDROBE TRUNK</t>
  </si>
  <si>
    <t>https://www.christies.com/lot/lot-6412165</t>
  </si>
  <si>
    <t>LV0361.png</t>
  </si>
  <si>
    <t>A RARE, ZINC EXPLORER TRUNK</t>
  </si>
  <si>
    <t>https://press.christies.com/wp-content/uploads/2023/09/331d41283e85baaabce32634b448661a.pdf</t>
  </si>
  <si>
    <t>LV0362.png</t>
  </si>
  <si>
    <t>A LIMITED EDITION BLACK RAINBOW MONOGRAM MALLE COURRIER 110 TRUNK WITH
RUTHÉNIUM HARDWARE BY VIRGIL ABLOH</t>
  </si>
  <si>
    <t>LV0363.png</t>
  </si>
  <si>
    <t>A BLACK EPI LEATHER TRUNK WITH BRASS HARDWAREMODIFIED AS AN IPHONE SPEAKER TRUNK BY BERNADINI MILANO</t>
  </si>
  <si>
    <t>LV0364.png</t>
  </si>
  <si>
    <t>2000s</t>
  </si>
  <si>
    <t>A CUSTOM MONOGRAM MALLE COURRIER
LOZINE 100 TRUNK WITH
ORANGE LINING &amp; BRASS HARDWARE</t>
  </si>
  <si>
    <t>LV0365.png</t>
  </si>
  <si>
    <t>2010s</t>
  </si>
  <si>
    <t>A LIMITED EDITION GREEN TUFFETAGE
MONOGRAM WALLET TRUNK
WITH GREEN HARDWARE BY VIRGIL ABLOH</t>
  </si>
  <si>
    <t>LV0366.png</t>
  </si>
  <si>
    <t>SUITCASE 65</t>
  </si>
  <si>
    <t>https://onlineonly.christies.com/s/handbags-online-paris-edit/group-four-classic-monogram-toile-natural-leather-rectangular-travel-183/168054</t>
  </si>
  <si>
    <t>LV0367.png</t>
  </si>
  <si>
    <t>HATBOX</t>
  </si>
  <si>
    <t>https://onlineonly.christies.com/s/handbags-online-paris-edit/group-four-classic-monogram-toile-natural-leather-rectangular-travel-183/168055</t>
  </si>
  <si>
    <t>LV0368.png</t>
  </si>
  <si>
    <t>CLASSIC MONOGRAM TOILE &amp; NATURAL LEATHER RECTANGULAR TRAVEL TRUNK</t>
  </si>
  <si>
    <t>https://onlineonly.christies.com/s/handbags-online-paris-edit/group-four-classic-monogram-toile-natural-leather-rectangular-travel-183/168056</t>
  </si>
  <si>
    <t>LV0369.png</t>
  </si>
  <si>
    <t>DOME MINI STAGE COACH TRUNK WITH BRASS HARDWARE</t>
  </si>
  <si>
    <t>https://onlineonly.christies.com/s/handbags-online-paris-edit/group-four-classic-monogram-toile-natural-leather-rectangular-travel-183/168057</t>
  </si>
  <si>
    <t>LV0370.png</t>
  </si>
  <si>
    <t>A YELLOW TUFFETAGE MONOGRAM SPEEDY TRUNK WITH BLACK HARDWARE</t>
  </si>
  <si>
    <t>https://onlineonly.christies.com/s/handbags-online-hong-kong-edit/yellow-tuffetage-monogram-speedy-trunk-black-hardware-210/214611</t>
  </si>
  <si>
    <t>LV0371.png</t>
  </si>
  <si>
    <t>LV0372.png</t>
  </si>
  <si>
    <t>A PAINTED NIGHT OF HONG KONG ECLIPSE MONOGRAM CANVAS ALZER 80 SUITCASE TRUNK WITH SLIVER HARDWARE</t>
  </si>
  <si>
    <t>https://www.christies.com/lot/a-painted-night-of-hong-kong-eclipse-6497510/?intObjectID=6497510&amp;lid=1</t>
  </si>
  <si>
    <t>LV0373.png</t>
  </si>
  <si>
    <t>circa 2022</t>
  </si>
  <si>
    <t>Rolling Trunk</t>
  </si>
  <si>
    <t>https://uk.louisvuitton.com/eng-gb/products/rolling-trunk-monogram-nvprod4380163v/M20212</t>
  </si>
  <si>
    <t>LV0374.png</t>
  </si>
  <si>
    <t>around 2020s</t>
  </si>
  <si>
    <t>Malle Music Trunk</t>
  </si>
  <si>
    <t>https://fr.louisvuitton.com/fra-fr/produits/malle-music-trunk-monogram-nvprod4690053v/M10298</t>
  </si>
  <si>
    <t>LV0375.png</t>
  </si>
  <si>
    <t>Dart Trunk LV Dart</t>
  </si>
  <si>
    <t>https://in.louisvuitton.com/eng-in/products/dart-trunk-lv-dart-h27-nvprod5210054v/M11339</t>
  </si>
  <si>
    <t>LV0376.png</t>
  </si>
  <si>
    <t>Vintage Monogram Boite Flacons Train Case Travel Bag Brown Cloth</t>
  </si>
  <si>
    <t>Joli Closet</t>
  </si>
  <si>
    <t>https://www.jolicloset.com/en/designers-women/louis-vuitton/womens-bags/travel-bags/vintage-monogram-boite-flacons-train-case-travel-bag--1567301</t>
  </si>
  <si>
    <t>LV0377.png</t>
  </si>
  <si>
    <t>Monogram Canvas Trunk</t>
  </si>
  <si>
    <t>https://www.whatgoesaroundnyc.com/s/WGACA/en-eg/buy-monogram-canvas-trunk/QJHAFJ1Y0B010.html</t>
  </si>
  <si>
    <t>LV0378.png</t>
  </si>
  <si>
    <t>Wig Trunk In Monogram Canvas, Made In France</t>
  </si>
  <si>
    <t>https://www.1stdibs.com/furniture/more-furniture-collectibles/home-accents/trunks-luggage/20th-century-louis-vuitton-wig-trunk-monogram-canvas-made-france-c1970/id-f_40789872/</t>
  </si>
  <si>
    <t>LV0379.png</t>
  </si>
  <si>
    <t>Vintage Stratos Luggage Trunk Stack, Set of Three</t>
  </si>
  <si>
    <t>https://www.1stdibs.com/furniture/more-furniture-collectibles/home-accents/trunks-luggage/louis-vuitto</t>
  </si>
  <si>
    <t>LV0380.png</t>
  </si>
  <si>
    <t>A Louis Vuitton trunk in woven canvas, France</t>
  </si>
  <si>
    <t>Alessio Lorenzo</t>
  </si>
  <si>
    <t>https://www.alessiolorenzi.com/trunks-luggage-archive-2/a-louis-vuitton-trunk-in-woven-canvas-france-late-19th-century-c223</t>
  </si>
  <si>
    <t>LV0381.png</t>
  </si>
  <si>
    <t>A Louis Vuitton courier trunk in natural cow hide, France</t>
  </si>
  <si>
    <t>https://www.alessiolorenzi.com/trunks-luggage-archive-2/a-louis-vuitton-courier-trunk-in-natural-cow-hide-france-circa-1930-z</t>
  </si>
  <si>
    <t>LV0382.png</t>
  </si>
  <si>
    <t>circa 1930</t>
  </si>
  <si>
    <t>An extremely rare "Assouline" trunk by Goyard, made in France</t>
  </si>
  <si>
    <t>https://www.alessiolorenzi.com/trunks-luggage-archive-2/an-extremely-rare-assouline-trunk-by-goyard-made-in-france-circa-2000</t>
  </si>
  <si>
    <t>LV0383.png</t>
  </si>
  <si>
    <t>circa 2005</t>
  </si>
  <si>
    <t>Vintage Louis Vuitton x French Luggage Co. Travel Bag/Diaper Bag Monogram Canvas</t>
  </si>
  <si>
    <t>https://www.1stdibs.com/fashion/handbags-purses-bags/luggage-travel-bags/vintage-louis-vuitton-x-french-luggage-co-travel-bag-diaper-bag-monogram-canvas/id-v_29158152/</t>
  </si>
  <si>
    <t>LV0384.png</t>
  </si>
  <si>
    <t>Louis Vuitton Green Epi Leather Danube Cross-Body Bag</t>
  </si>
  <si>
    <t>https://www.1stdibs.com/fashion/handbags-purses-bags/crossbody-bags-messenger-bags/1990s-louis-vuitton-green-epi-leather-danube-cross-body-bag/id-v_14808202/</t>
  </si>
  <si>
    <t>LV0385.png</t>
  </si>
  <si>
    <t>Vintage Monogram Vernis Bedford Handbag Mint Green</t>
  </si>
  <si>
    <t>https://www.1stdibs.com/fashion/handbags-purses-bags/shoulder-bags/louis-vuitton-1999-vintage-monogram-vernis-bedford-handbag-mint-green/id-v_24276432/</t>
  </si>
  <si>
    <t>LV0386.png</t>
  </si>
  <si>
    <t>Louis Vuitton Retiro NM Monogram Coated Canvas 2 Way Shoulder Bag</t>
  </si>
  <si>
    <t>https://www.1stdibs.com/fashion/handbags-purses-bags/shoulder-bags/louis-vuitton-retiro-nm-monogram-coated-canvas-2-way-shoulder-bag-2000s/id-v_22437402/</t>
  </si>
  <si>
    <t>LV0387.png</t>
  </si>
  <si>
    <t>Louis Vuitton Brown Classic Monogram Canvas Alma PM</t>
  </si>
  <si>
    <t>https://www.1stdibs.com/fashion/handbags-purses-bags/tote-bags/1990s-louis-vuitton-brown-classic-monogram-canvas-alma-pm/id-v_2279973/</t>
  </si>
  <si>
    <t>LV0388.png</t>
  </si>
  <si>
    <t>LV Cup Red Calvi Messenger 91lz817s</t>
  </si>
  <si>
    <t>https://www.1stdibs.com/fashion/handbags-purses-bags/crossbody-bags-messenger-bags/louis-vuitton-1995-lv-cup-red-calvi-messenger-91lz817s/id-v_17327912/</t>
  </si>
  <si>
    <t>LV0389.png</t>
  </si>
  <si>
    <t>Vintage Louis Vuitton Castillan Red Epi Leather Cluny Shoulder Bag</t>
  </si>
  <si>
    <t>https://www.1stdibs.com/fashion/handbags-purses-bags/shoulder-bags/1995-vintage-louis-vuitton-castillan-red-epi-leather-cluny-shoulder-bag/id-v_29652592/</t>
  </si>
  <si>
    <t>LV0390.png</t>
  </si>
  <si>
    <t>LV Americas Cup Grey Polochon Travel Bag 39lk324s</t>
  </si>
  <si>
    <t>https://www.1stdibs.com/fashion/handbags-purses-bags/luggage-travel-bags/louis-vuitton-2000-lv-americas-cup-grey-polochon-travel-bag-39lk324s/id-v_15270492/</t>
  </si>
  <si>
    <t>LV0391.png</t>
  </si>
  <si>
    <t>Louis Vuitton Tahitienne Cabas Bag Limited Edition</t>
  </si>
  <si>
    <t>https://www.1stdibs.com/fashion/handbags-purses-bags/tote-bags/louis-vuitton-tahitienne-cabas-bag-limited-edition/id-v_22641612/</t>
  </si>
  <si>
    <t>LV0392.png</t>
  </si>
  <si>
    <t>Louis Vuitton Terre Damier Geant Messenger Bag</t>
  </si>
  <si>
    <t>https://www.1stdibs.com/fashion/handbags-purses-bags/crossbody-bags-messenger-bags/louis-vuitton-terre-damier-geant-messenger-bag/id-v_28426512/</t>
  </si>
  <si>
    <t>LV0393.png</t>
  </si>
  <si>
    <t>A RARE BEIGE &amp; BLACK PRINTED LEATHER SOFT TRUCK BAG WITH SILVER HARDWARE BY PHARRELL WILLIAMS</t>
  </si>
  <si>
    <t>https://onlineonly.christies.com/s/handbags-online/rare-beige-black-printed-leather-soft-truck-bag-silver-hardware-50/320396</t>
  </si>
  <si>
    <t>LV0394.png</t>
  </si>
  <si>
    <t>GREY MONOGRAM CLIMBING LEATHER HORIZON 55 TROLLEY SUITCASES</t>
  </si>
  <si>
    <t>https://onlineonly.christies.com/s/handbags-online/set-two-classic-monogram-canvas-rolling-trunk-grey-monogram-climbing-76/320423</t>
  </si>
  <si>
    <t>LV0395.png</t>
  </si>
  <si>
    <t>A RARE MONOGRAM CARDBOARD MALLE A BIJOUX INVITATION BOX JEWELRY SET, 300/850</t>
  </si>
  <si>
    <t>https://onlineonly.christies.com/s/handbags-online/rare-monogram-cardboard-malle-bijoux-invitation-box-jewelry-set-300-136/320482</t>
  </si>
  <si>
    <t>LV0396.png</t>
  </si>
  <si>
    <t>A LIMITED EDITION MONOGRAM CANVAS DUCK BAG WITH GOLD HARDWARE BY NIGO</t>
  </si>
  <si>
    <t>https://onlineonly.christies.com/s/handbags-online/limited-edition-monogram-canvas-duck-bag-gold-hardware-nigo-154/320498</t>
  </si>
  <si>
    <t>LV0397.png</t>
  </si>
  <si>
    <t>A SPRING/SUMMER RUNWAY BLACK RAINBOW MONOGRAM LP CASE WITH BLACK HARDWARE BY VIRGIL ABLOH</t>
  </si>
  <si>
    <t>https://onlineonly.christies.com/s/handbags-online-paris-edit/spring-summer-runway-black-rainbow-monogram-lp-case-black-hardware-406/236953</t>
  </si>
  <si>
    <t>LV0398.png</t>
  </si>
  <si>
    <t>A RARE, BLACK EPI LEATHER SAC PLAT FUSION BY FABRIZIO PLESSI</t>
  </si>
  <si>
    <t>https://onlineonly.christies.com/s/handbags-online-new-york-edit/rare-black-epi-leather-sac-plat-fusion-fabrizio-plessi-207/284276</t>
  </si>
  <si>
    <t>LV0399.png</t>
  </si>
  <si>
    <t>A METALLIC SILVER MONOGRAM KEEPALL BANDOULIÈRE 50 WITH SILVER HARDWARE</t>
  </si>
  <si>
    <t>https://www.christies.com/en/lot/lot-6399666</t>
  </si>
  <si>
    <t>LV0400.png</t>
  </si>
  <si>
    <t>HISTORICAL REFERENCE PROFILE</t>
  </si>
  <si>
    <t>The profile of the House before 1950. Both medians in the upper table are on the normalised 0–1 scale, so the change column compares like with like. The lower table keeps the original 1–5 rating scale.</t>
  </si>
  <si>
    <t>feature</t>
  </si>
  <si>
    <t>what it measures</t>
  </si>
  <si>
    <t>median (0–1)</t>
  </si>
  <si>
    <t>objects in calculation</t>
  </si>
  <si>
    <t>status</t>
  </si>
  <si>
    <t>2000–2025 median (0–1)</t>
  </si>
  <si>
    <t>change</t>
  </si>
  <si>
    <t>reading</t>
  </si>
  <si>
    <t>WHERE THE HOUSE MOVED</t>
  </si>
  <si>
    <t>The same eight features on the original 1–5 rating scale. The spread column shows the range between the first and third quartile of the pre-1950 sample; the change column isolates which features carry the difference between the two eras.</t>
  </si>
  <si>
    <t>1854–1949 median</t>
  </si>
  <si>
    <t>spread Q1–Q3</t>
  </si>
  <si>
    <t>n</t>
  </si>
  <si>
    <t>2000–2025 median</t>
  </si>
  <si>
    <t>How to read this sheet</t>
  </si>
  <si>
    <t>The spread column is the more informative of the two medians. Where the first and third quartile are identical, the pre-1950 sample showed no variation at all: every object of the period received the same rating on that feature. That is not a limitation of the measurement — it is a finding about the House.</t>
  </si>
  <si>
    <t>Where the spread is wide, the median describes the sample poorly. A feature rated 1 by half the objects and 5 by the other half has a median of 1 and almost no object near it. Those rows are bimodal, and the reference value should not be read as typical.</t>
  </si>
  <si>
    <t>The change column isolates which of the eight features carries the difference between the two eras. Features at zero held across a century and a half; features with a large value are where the House actually moved. This is the finding the composite index compresses into a single number.</t>
  </si>
  <si>
    <t>If almost every feature shows no spread, the reference profile is one-sided: deviation can run in a single direction only, and the score compresses towards the top of its range. This belongs in the methodology rather than being left for a reader to discover.</t>
  </si>
  <si>
    <t>DISTANCE FROM THE HISTORICAL PROFILE OVER TIME</t>
  </si>
  <si>
    <t>Columns B–F cover all objects. Columns G–K follow a single object type against itself across a century and a half, so that a change of category cannot be mistaken for a change of form. Columns L–N cover all other types. Both indices are shown throughout.</t>
  </si>
  <si>
    <t>Object type for columns G–N:</t>
  </si>
  <si>
    <t>← choose from the list; the right-hand columns recalculate</t>
  </si>
  <si>
    <t>BY DECADE</t>
  </si>
  <si>
    <t>period</t>
  </si>
  <si>
    <t>objects</t>
  </si>
  <si>
    <t>S8 all</t>
  </si>
  <si>
    <t>Δ</t>
  </si>
  <si>
    <t>S6 all</t>
  </si>
  <si>
    <t>objects of type</t>
  </si>
  <si>
    <t>S8 type</t>
  </si>
  <si>
    <t>S6 type</t>
  </si>
  <si>
    <t>others</t>
  </si>
  <si>
    <t>S8 others</t>
  </si>
  <si>
    <t>S6 others</t>
  </si>
  <si>
    <t>BY PERIOD</t>
  </si>
  <si>
    <t>1854–1899</t>
  </si>
  <si>
    <t>1900–1949</t>
  </si>
  <si>
    <t>1950–1999</t>
  </si>
  <si>
    <t>2000–2025</t>
  </si>
  <si>
    <t>Reading the table</t>
  </si>
  <si>
    <t>Column H is the principal series: one object type compared against itself. A change of category cannot explain movement here.</t>
  </si>
  <si>
    <t>Column J is the same series with the two ornament features removed. If J behaves like H, the Monogram is not what carries the signal.</t>
  </si>
  <si>
    <t>Columns I and K mark the points of change. Read them only where column G holds at least eight objects.</t>
  </si>
  <si>
    <t>An empty cell means no object of that type falls in that interval.</t>
  </si>
  <si>
    <t>RECOGNITION SURVEY — 30 STIMULI</t>
  </si>
  <si>
    <t>Rows 5–24 hold the twenty Louis Vuitton stimuli, with their ratings carried over from sheet 3. Rows 25–34 are control brands: enter the eight ratings yourself once you have chosen the images, then fill shown_to, answered_LV and mean_confidence for all thirty.</t>
  </si>
  <si>
    <t>№</t>
  </si>
  <si>
    <t>object</t>
  </si>
  <si>
    <t>brand</t>
  </si>
  <si>
    <t>iconic</t>
  </si>
  <si>
    <t>S</t>
  </si>
  <si>
    <t>shown_to</t>
  </si>
  <si>
    <t>answered_LV</t>
  </si>
  <si>
    <t>share_yes</t>
  </si>
  <si>
    <t>mean_confidence</t>
  </si>
  <si>
    <t>S_LV_only</t>
  </si>
  <si>
    <t>share_LV_only</t>
  </si>
  <si>
    <t>S_non_iconic</t>
  </si>
  <si>
    <t>share_non_iconic</t>
  </si>
  <si>
    <t>S6</t>
  </si>
  <si>
    <t>S6_LV_only</t>
  </si>
  <si>
    <t>S6_non_iconic</t>
  </si>
  <si>
    <t>#131 · 1860 · A GRIS TRIANON COATED CANVAS TRUNK WITH BLACK LACQUERED IRON &amp; BRASS H</t>
  </si>
  <si>
    <t>LV</t>
  </si>
  <si>
    <t>#242 · 1880 · Cabin Trunk Finished in Damier Canvas</t>
  </si>
  <si>
    <t>#54 · 1910 · A RARE EXTRA TALL MONOGRAM CANVAS WARDROBE TRUNK</t>
  </si>
  <si>
    <t>#130 · 1940 · A CLASSIC MONOGRAM CANVAS SHOE WARDROBE TRUNK</t>
  </si>
  <si>
    <t>#343 · 1980 · LOUIS VUITTON Vintage Large Steamer Wardrobe Trunk</t>
  </si>
  <si>
    <t>#37 · 1910 · A MAHOGANY RUNNING-BOARD TRUNK FOR AUTOMOBILE TOOLS WITH BRASS HARDWAR</t>
  </si>
  <si>
    <t>#368 · 2000 · HATBOX</t>
  </si>
  <si>
    <t>#331 · 1980 · Round Louis Vuitton Hat Trunk 50, Louis Vuitton Hat Box, Louis Vuitton</t>
  </si>
  <si>
    <t>#377 · 1970 · Vintage Monogram Boite Flacons Train Case Travel Bag Brown Cloth</t>
  </si>
  <si>
    <t>#371 · 2020 · A YELLOW TUFFETAGE MONOGRAM SPEEDY TRUNK WITH BLACK HARDWARE</t>
  </si>
  <si>
    <t>#350 · 1983 · Saint Cloud GM Monogram Bag</t>
  </si>
  <si>
    <t>#47 · 1910 · A RARE, MONOGRAM PAPER &amp; WOOD MINI FLOWER TRUNK WITH BRASS HARDWARE</t>
  </si>
  <si>
    <t>#394 · 2023 · A RARE BEIGE &amp; BLACK PRINTED LEATHER SOFT TRUCK BAG WITH SILVER HARDWA</t>
  </si>
  <si>
    <t>#147 · 2018 · A LIMITED EDITION CHAITAIGNE &amp; MULTICOLOR LEATHER CATOGRAM CITY STEAME</t>
  </si>
  <si>
    <t>#190 · 2012 · A ONE-OF-A-KIND BROWN LEATHER &amp; CALFHAIR STUDDED PUDSEY BACKPAG BAG</t>
  </si>
  <si>
    <t>#61 · 2019 · A LIMITED EDITION EMBROIDERED CALFSKIN LEATHER ARTYCAPUCINES WITH GIRA</t>
  </si>
  <si>
    <t>#144 · 2004 · A RUNWAY TURQUOISE &amp; GOLD MONOGRAM SUEDE THEDA PM WITH GOLD HARDWARE B</t>
  </si>
  <si>
    <t>#321 · 1970 · Original vintage Louis Vuitton suitcase</t>
  </si>
  <si>
    <t>#112 · 2001 · A RARE, WHITE MONOGRAM GRAFFITI BOÎTE CHAPEAU HAT BOX PM BY STEPHEN SP</t>
  </si>
  <si>
    <t>#151 · 2006 · A CLASSIC MONOGRAM CANVAS COFFRET TRESOR 20 WITH BRASS HARDWARE</t>
  </si>
  <si>
    <t>Goyard trunk in Goyard canvas and natural leather</t>
  </si>
  <si>
    <t>control</t>
  </si>
  <si>
    <t>Moynat — limousine or cabin trunk (Moynat)</t>
  </si>
  <si>
    <t>Au Départ — steamer trunk</t>
  </si>
  <si>
    <t>Globe-Trotter — rigid suitcase</t>
  </si>
  <si>
    <t>Innovation — wardrobe trunk</t>
  </si>
  <si>
    <t>Goyard — Saint Louis tote</t>
  </si>
  <si>
    <t>Moynat — Réjane or Pauline bag</t>
  </si>
  <si>
    <t>Hermès — Kelly</t>
  </si>
  <si>
    <t>Hermès — Haut à Courroies</t>
  </si>
  <si>
    <t xml:space="preserve">Bottega Veneta
Calfskin Small The Point </t>
  </si>
  <si>
    <t>RESULTS</t>
  </si>
  <si>
    <t>Principal result</t>
  </si>
  <si>
    <t>Correlation of S with the share answering "Louis Vuitton", all 30 stimuli</t>
  </si>
  <si>
    <t>This is the answer to the research question</t>
  </si>
  <si>
    <t>The same, Louis Vuitton objects only</t>
  </si>
  <si>
    <t>Check: does the formula hold within the House itself</t>
  </si>
  <si>
    <t>The same, non-iconic models only</t>
  </si>
  <si>
    <t>The most honest figure: recognition here is not explained by fame</t>
  </si>
  <si>
    <t>The same result on six features, with ornament excluded</t>
  </si>
  <si>
    <t>Correlation of S6 with the share answering "Louis Vuitton", all 30 stimuli</t>
  </si>
  <si>
    <t>PRINCIPAL FIGURE: ornament excluded, so recognition cannot be explained by the Monogram</t>
  </si>
  <si>
    <t>Check within the House</t>
  </si>
  <si>
    <t>The strictest figure in the study</t>
  </si>
  <si>
    <t>Compare this figure with the eight-feature correlation above. If the two are close, form carries identity on its own. If it falls sharply, the Monogram was doing the work. Both outcomes are publishable.</t>
  </si>
  <si>
    <t>Survey validity check</t>
  </si>
  <si>
    <t>Mean share of "yes" for Louis Vuitton objects</t>
  </si>
  <si>
    <t>Should be clearly higher than the line below</t>
  </si>
  <si>
    <t>Mean share of "yes" for control brands</t>
  </si>
  <si>
    <t>If these two are equal, respondents answered at random and the correlation means nothing</t>
  </si>
  <si>
    <t>Sample status</t>
  </si>
  <si>
    <t>Objects rated and included in the analysis</t>
  </si>
  <si>
    <t>Final size of the catalogue</t>
  </si>
  <si>
    <t>Of those, made before 1950 (basis of the reference profile)</t>
  </si>
  <si>
    <t>At least 30 required, or the reference profile is unstable</t>
  </si>
  <si>
    <t>Marked for the survey</t>
  </si>
  <si>
    <t>20 Louis Vuitton objects required</t>
  </si>
  <si>
    <t>Reading the principal figure</t>
  </si>
  <si>
    <t>0.7 and above</t>
  </si>
  <si>
    <t>strong relationship: form carries the identity of the House</t>
  </si>
  <si>
    <t>0.4 – 0.7</t>
  </si>
  <si>
    <t>clear relationship, to be stated with qualification</t>
  </si>
  <si>
    <t>0.2 – 0.4</t>
  </si>
  <si>
    <t>weak relationship, conclusion cautious</t>
  </si>
  <si>
    <t>near 0 or below</t>
  </si>
  <si>
    <t>no relationship: recognition rests on the Monogram, not on form</t>
  </si>
  <si>
    <t>A negative result is a result. What cannot be done is to change the formula after seeing this figure.</t>
  </si>
  <si>
    <t>Sample diversity</t>
  </si>
  <si>
    <t>Objects from Christie's</t>
  </si>
  <si>
    <t>Should be under two thirds of the total</t>
  </si>
  <si>
    <t>Objects from other sources</t>
  </si>
  <si>
    <t>Sources other than Christie's</t>
  </si>
  <si>
    <t>Objects of the selected type made before 1950</t>
  </si>
  <si>
    <t>Type is set on sheet 5, cell B3</t>
  </si>
  <si>
    <t>Objects of other types made before 1950</t>
  </si>
  <si>
    <t>If the reference profile rests on a single type, state so in the methodology</t>
  </si>
  <si>
    <t>Difference between S8 and S6</t>
  </si>
  <si>
    <t>Mean S8 across all objects</t>
  </si>
  <si>
    <t>Mean S6 across all objects</t>
  </si>
  <si>
    <t>Difference</t>
  </si>
  <si>
    <t>How far ornament pulls the index down. The larger the gap, the more the S6 survey matters.</t>
  </si>
  <si>
    <t>SAMPLE COVERAGE</t>
  </si>
  <si>
    <t>Objects of each type in each decade. The table describes the sample as it stands; where a decade is thin, no reliable dated material was available for it.</t>
  </si>
  <si>
    <t>total</t>
  </si>
  <si>
    <t>TOTAL</t>
  </si>
  <si>
    <t>Coverage is uneven by period. Where a decade holds few objects, the archive offered no securely dated material, and the gap is reported rather than filled.</t>
  </si>
  <si>
    <t>A single auction lot may yield several objects; a repeated link is not an error.</t>
  </si>
  <si>
    <t>No Louis Vuitton bags exist before 1959 — the House made rigid luggage until then.</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</si>
</sst>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0_-;\-* #,##0_-;_-* &quot;-&quot;_-;_-@_-"/>
    <numFmt numFmtId="42" formatCode="_-&quot;£&quot;* #,##0_-;\-&quot;£&quot;* #,##0_-;_-&quot;£&quot;* &quot;-&quot;_-;_-@_-"/>
    <numFmt numFmtId="43" formatCode="_-* #,##0.00_-;\-* #,##0.00_-;_-* &quot;-&quot;??_-;_-@_-"/>
    <numFmt numFmtId="44" formatCode="_-&quot;£&quot;* #,##0.00_-;\-&quot;£&quot;* #,##0.00_-;_-&quot;£&quot;* &quot;-&quot;??_-;_-@_-"/>
    <numFmt numFmtId="176" formatCode="0.000"/>
    <numFmt numFmtId="177" formatCode="\+0.000;\-0.000;0.000"/>
  </numFmts>
  <fonts count="37">
    <font>
      <sz val="11"/>
      <color theme="1"/>
      <name val="Calibri"/>
      <charset val="1"/>
    </font>
    <font>
      <b/>
      <sz val="13"/>
      <name val="Arial"/>
      <charset val="1"/>
    </font>
    <font>
      <i/>
      <sz val="9"/>
      <color rgb="FF595959"/>
      <name val="Arial"/>
      <charset val="1"/>
    </font>
    <font>
      <b/>
      <sz val="10"/>
      <color rgb="FFFFFFFF"/>
      <name val="Arial"/>
      <charset val="1"/>
    </font>
    <font>
      <sz val="10"/>
      <name val="Arial"/>
      <charset val="1"/>
    </font>
    <font>
      <b/>
      <sz val="11"/>
      <name val="Arial"/>
      <charset val="1"/>
    </font>
    <font>
      <b/>
      <sz val="14"/>
      <name val="Arial"/>
      <charset val="1"/>
    </font>
    <font>
      <b/>
      <sz val="10"/>
      <name val="Arial"/>
      <charset val="1"/>
    </font>
    <font>
      <i/>
      <sz val="10"/>
      <color rgb="FF808080"/>
      <name val="Arial"/>
      <charset val="1"/>
    </font>
    <font>
      <b/>
      <sz val="11"/>
      <color rgb="FF0000FF"/>
      <name val="Arial"/>
      <charset val="1"/>
    </font>
    <font>
      <i/>
      <sz val="10"/>
      <color rgb="FF999999"/>
      <name val="Arial"/>
      <charset val="1"/>
    </font>
    <font>
      <u/>
      <sz val="11"/>
      <color theme="10"/>
      <name val="Calibri"/>
      <charset val="1"/>
    </font>
    <font>
      <sz val="10"/>
      <name val="Arial"/>
      <charset val="1"/>
    </font>
    <font>
      <b/>
      <sz val="10"/>
      <color rgb="FFFFFFFF"/>
      <name val="Arial"/>
      <charset val="1"/>
    </font>
    <font>
      <sz val="9"/>
      <color rgb="FF7F7F7F"/>
      <name val="Arial"/>
      <charset val="1"/>
    </font>
    <font>
      <sz val="11"/>
      <name val="Calibri"/>
      <charset val="1"/>
    </font>
    <font>
      <b/>
      <sz val="11"/>
      <color rgb="FF1F4E79"/>
      <name val="Arial"/>
      <charset val="1"/>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7F7F7F"/>
        <bgColor rgb="FF808080"/>
      </patternFill>
    </fill>
    <fill>
      <patternFill patternType="solid">
        <fgColor rgb="FF1F4E79"/>
        <bgColor rgb="FF003366"/>
      </patternFill>
    </fill>
    <fill>
      <patternFill patternType="solid">
        <fgColor rgb="FFE2EFDA"/>
        <bgColor rgb="FFFFF2CC"/>
      </patternFill>
    </fill>
    <fill>
      <patternFill patternType="solid">
        <fgColor rgb="FFFFF2CC"/>
        <bgColor rgb="FFE2EFDA"/>
      </patternFill>
    </fill>
    <fill>
      <patternFill patternType="solid">
        <fgColor rgb="FF375623"/>
        <bgColor rgb="FF595959"/>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rgb="FFBFBFBF"/>
      </left>
      <right style="thin">
        <color rgb="FFBFBFBF"/>
      </right>
      <top style="thin">
        <color rgb="FFBFBFBF"/>
      </top>
      <bottom style="thin">
        <color rgb="FFBFBFBF"/>
      </bottom>
      <diagonal/>
    </border>
    <border>
      <left style="thin">
        <color rgb="FFBBBBBB"/>
      </left>
      <right style="thin">
        <color rgb="FFBBBBBB"/>
      </right>
      <top style="thin">
        <color rgb="FFBBBBBB"/>
      </top>
      <bottom style="thin">
        <color rgb="FFBBBBBB"/>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7" fillId="0" borderId="0" applyFont="0" applyFill="0" applyBorder="0" applyAlignment="0" applyProtection="0">
      <alignment vertical="center"/>
    </xf>
    <xf numFmtId="44" fontId="17" fillId="0" borderId="0" applyFont="0" applyFill="0" applyBorder="0" applyAlignment="0" applyProtection="0">
      <alignment vertical="center"/>
    </xf>
    <xf numFmtId="9" fontId="17" fillId="0" borderId="0" applyFont="0" applyFill="0" applyBorder="0" applyAlignment="0" applyProtection="0">
      <alignment vertical="center"/>
    </xf>
    <xf numFmtId="41" fontId="17" fillId="0" borderId="0" applyFont="0" applyFill="0" applyBorder="0" applyAlignment="0" applyProtection="0">
      <alignment vertical="center"/>
    </xf>
    <xf numFmtId="42" fontId="17" fillId="0" borderId="0" applyFon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17" fillId="7" borderId="3" applyNumberFormat="0" applyFont="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0" borderId="4" applyNumberFormat="0" applyFill="0" applyAlignment="0" applyProtection="0">
      <alignment vertical="center"/>
    </xf>
    <xf numFmtId="0" fontId="24" fillId="0" borderId="4" applyNumberFormat="0" applyFill="0" applyAlignment="0" applyProtection="0">
      <alignment vertical="center"/>
    </xf>
    <xf numFmtId="0" fontId="25" fillId="0" borderId="5" applyNumberFormat="0" applyFill="0" applyAlignment="0" applyProtection="0">
      <alignment vertical="center"/>
    </xf>
    <xf numFmtId="0" fontId="25" fillId="0" borderId="0" applyNumberFormat="0" applyFill="0" applyBorder="0" applyAlignment="0" applyProtection="0">
      <alignment vertical="center"/>
    </xf>
    <xf numFmtId="0" fontId="26" fillId="8" borderId="6" applyNumberFormat="0" applyAlignment="0" applyProtection="0">
      <alignment vertical="center"/>
    </xf>
    <xf numFmtId="0" fontId="27" fillId="9" borderId="7" applyNumberFormat="0" applyAlignment="0" applyProtection="0">
      <alignment vertical="center"/>
    </xf>
    <xf numFmtId="0" fontId="28" fillId="9" borderId="6" applyNumberFormat="0" applyAlignment="0" applyProtection="0">
      <alignment vertical="center"/>
    </xf>
    <xf numFmtId="0" fontId="29" fillId="10" borderId="8" applyNumberFormat="0" applyAlignment="0" applyProtection="0">
      <alignment vertical="center"/>
    </xf>
    <xf numFmtId="0" fontId="30" fillId="0" borderId="9" applyNumberFormat="0" applyFill="0" applyAlignment="0" applyProtection="0">
      <alignment vertical="center"/>
    </xf>
    <xf numFmtId="0" fontId="31" fillId="0" borderId="10" applyNumberFormat="0" applyFill="0" applyAlignment="0" applyProtection="0">
      <alignment vertical="center"/>
    </xf>
    <xf numFmtId="0" fontId="32" fillId="11" borderId="0" applyNumberFormat="0" applyBorder="0" applyAlignment="0" applyProtection="0">
      <alignment vertical="center"/>
    </xf>
    <xf numFmtId="0" fontId="33" fillId="12" borderId="0" applyNumberFormat="0" applyBorder="0" applyAlignment="0" applyProtection="0">
      <alignment vertical="center"/>
    </xf>
    <xf numFmtId="0" fontId="34" fillId="13" borderId="0" applyNumberFormat="0" applyBorder="0" applyAlignment="0" applyProtection="0">
      <alignment vertical="center"/>
    </xf>
    <xf numFmtId="0" fontId="35" fillId="14" borderId="0" applyNumberFormat="0" applyBorder="0" applyAlignment="0" applyProtection="0">
      <alignment vertical="center"/>
    </xf>
    <xf numFmtId="0" fontId="36" fillId="15" borderId="0" applyNumberFormat="0" applyBorder="0" applyAlignment="0" applyProtection="0">
      <alignment vertical="center"/>
    </xf>
    <xf numFmtId="0" fontId="36" fillId="16" borderId="0" applyNumberFormat="0" applyBorder="0" applyAlignment="0" applyProtection="0">
      <alignment vertical="center"/>
    </xf>
    <xf numFmtId="0" fontId="35" fillId="17" borderId="0" applyNumberFormat="0" applyBorder="0" applyAlignment="0" applyProtection="0">
      <alignment vertical="center"/>
    </xf>
    <xf numFmtId="0" fontId="35" fillId="18" borderId="0" applyNumberFormat="0" applyBorder="0" applyAlignment="0" applyProtection="0">
      <alignment vertical="center"/>
    </xf>
    <xf numFmtId="0" fontId="36" fillId="19" borderId="0" applyNumberFormat="0" applyBorder="0" applyAlignment="0" applyProtection="0">
      <alignment vertical="center"/>
    </xf>
    <xf numFmtId="0" fontId="36" fillId="20" borderId="0" applyNumberFormat="0" applyBorder="0" applyAlignment="0" applyProtection="0">
      <alignment vertical="center"/>
    </xf>
    <xf numFmtId="0" fontId="35" fillId="21" borderId="0" applyNumberFormat="0" applyBorder="0" applyAlignment="0" applyProtection="0">
      <alignment vertical="center"/>
    </xf>
    <xf numFmtId="0" fontId="35" fillId="22" borderId="0" applyNumberFormat="0" applyBorder="0" applyAlignment="0" applyProtection="0">
      <alignment vertical="center"/>
    </xf>
    <xf numFmtId="0" fontId="36" fillId="23" borderId="0" applyNumberFormat="0" applyBorder="0" applyAlignment="0" applyProtection="0">
      <alignment vertical="center"/>
    </xf>
    <xf numFmtId="0" fontId="36" fillId="24" borderId="0" applyNumberFormat="0" applyBorder="0" applyAlignment="0" applyProtection="0">
      <alignment vertical="center"/>
    </xf>
    <xf numFmtId="0" fontId="35" fillId="25" borderId="0" applyNumberFormat="0" applyBorder="0" applyAlignment="0" applyProtection="0">
      <alignment vertical="center"/>
    </xf>
    <xf numFmtId="0" fontId="35" fillId="26" borderId="0" applyNumberFormat="0" applyBorder="0" applyAlignment="0" applyProtection="0">
      <alignment vertical="center"/>
    </xf>
    <xf numFmtId="0" fontId="36" fillId="27" borderId="0" applyNumberFormat="0" applyBorder="0" applyAlignment="0" applyProtection="0">
      <alignment vertical="center"/>
    </xf>
    <xf numFmtId="0" fontId="36" fillId="28" borderId="0" applyNumberFormat="0" applyBorder="0" applyAlignment="0" applyProtection="0">
      <alignment vertical="center"/>
    </xf>
    <xf numFmtId="0" fontId="35" fillId="29" borderId="0" applyNumberFormat="0" applyBorder="0" applyAlignment="0" applyProtection="0">
      <alignment vertical="center"/>
    </xf>
    <xf numFmtId="0" fontId="35" fillId="30" borderId="0" applyNumberFormat="0" applyBorder="0" applyAlignment="0" applyProtection="0">
      <alignment vertical="center"/>
    </xf>
    <xf numFmtId="0" fontId="36" fillId="31" borderId="0" applyNumberFormat="0" applyBorder="0" applyAlignment="0" applyProtection="0">
      <alignment vertical="center"/>
    </xf>
    <xf numFmtId="0" fontId="36" fillId="32" borderId="0" applyNumberFormat="0" applyBorder="0" applyAlignment="0" applyProtection="0">
      <alignment vertical="center"/>
    </xf>
    <xf numFmtId="0" fontId="35" fillId="33" borderId="0" applyNumberFormat="0" applyBorder="0" applyAlignment="0" applyProtection="0">
      <alignment vertical="center"/>
    </xf>
    <xf numFmtId="0" fontId="35" fillId="34" borderId="0" applyNumberFormat="0" applyBorder="0" applyAlignment="0" applyProtection="0">
      <alignment vertical="center"/>
    </xf>
    <xf numFmtId="0" fontId="36" fillId="35" borderId="0" applyNumberFormat="0" applyBorder="0" applyAlignment="0" applyProtection="0">
      <alignment vertical="center"/>
    </xf>
    <xf numFmtId="0" fontId="36" fillId="36" borderId="0" applyNumberFormat="0" applyBorder="0" applyAlignment="0" applyProtection="0">
      <alignment vertical="center"/>
    </xf>
    <xf numFmtId="0" fontId="35" fillId="37" borderId="0" applyNumberFormat="0" applyBorder="0" applyAlignment="0" applyProtection="0">
      <alignment vertical="center"/>
    </xf>
  </cellStyleXfs>
  <cellXfs count="46">
    <xf numFmtId="0" fontId="0" fillId="0" borderId="0" xfId="0"/>
    <xf numFmtId="0" fontId="0" fillId="0" borderId="0" xfId="0" applyAlignment="1"/>
    <xf numFmtId="0" fontId="1" fillId="0" borderId="0" xfId="0" applyFont="1" applyAlignment="1"/>
    <xf numFmtId="0" fontId="2" fillId="0" borderId="0" xfId="0" applyFont="1" applyAlignment="1">
      <alignment vertical="top" wrapText="1"/>
    </xf>
    <xf numFmtId="0" fontId="3" fillId="2"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4" fillId="0" borderId="1" xfId="0" applyFont="1" applyBorder="1" applyAlignment="1">
      <alignment horizontal="center" vertical="center"/>
    </xf>
    <xf numFmtId="0" fontId="5" fillId="0" borderId="1" xfId="0" applyFont="1" applyBorder="1" applyAlignment="1">
      <alignment horizontal="center" vertical="center"/>
    </xf>
    <xf numFmtId="0" fontId="2" fillId="0" borderId="0" xfId="0" applyFont="1" applyAlignment="1"/>
    <xf numFmtId="0" fontId="5" fillId="0" borderId="0" xfId="0" applyFont="1" applyAlignment="1"/>
    <xf numFmtId="0" fontId="4" fillId="0" borderId="0" xfId="0" applyFont="1" applyAlignment="1"/>
    <xf numFmtId="2" fontId="6" fillId="4" borderId="2" xfId="0" applyNumberFormat="1" applyFont="1" applyFill="1" applyBorder="1" applyAlignment="1">
      <alignment horizontal="center"/>
    </xf>
    <xf numFmtId="2" fontId="5" fillId="5" borderId="2" xfId="0" applyNumberFormat="1" applyFont="1" applyFill="1" applyBorder="1" applyAlignment="1">
      <alignment horizontal="center"/>
    </xf>
    <xf numFmtId="176" fontId="4" fillId="0" borderId="0" xfId="0" applyNumberFormat="1" applyFont="1" applyAlignment="1"/>
    <xf numFmtId="9" fontId="5" fillId="5" borderId="2" xfId="0" applyNumberFormat="1" applyFont="1" applyFill="1" applyBorder="1" applyAlignment="1">
      <alignment horizontal="center"/>
    </xf>
    <xf numFmtId="0" fontId="7" fillId="0" borderId="0" xfId="0" applyFont="1" applyAlignment="1"/>
    <xf numFmtId="176" fontId="0" fillId="0" borderId="0" xfId="0" applyNumberFormat="1" applyAlignment="1"/>
    <xf numFmtId="0" fontId="3" fillId="3" borderId="2" xfId="0" applyFont="1" applyFill="1" applyBorder="1" applyAlignment="1">
      <alignment horizontal="center" vertical="center" wrapText="1"/>
    </xf>
    <xf numFmtId="0" fontId="8" fillId="0" borderId="0" xfId="0" applyFont="1" applyAlignment="1"/>
    <xf numFmtId="0" fontId="8" fillId="0" borderId="0" xfId="0" applyFont="1" applyAlignment="1">
      <alignment wrapText="1"/>
    </xf>
    <xf numFmtId="0" fontId="3" fillId="2" borderId="2" xfId="0" applyFont="1" applyFill="1" applyBorder="1" applyAlignment="1">
      <alignment horizontal="center" vertical="center" wrapText="1"/>
    </xf>
    <xf numFmtId="9" fontId="4" fillId="0" borderId="0" xfId="0" applyNumberFormat="1" applyFont="1" applyAlignment="1"/>
    <xf numFmtId="0" fontId="3" fillId="2" borderId="0" xfId="0" applyFont="1" applyFill="1" applyAlignment="1">
      <alignment vertical="center" wrapText="1"/>
    </xf>
    <xf numFmtId="0" fontId="9" fillId="5" borderId="1" xfId="0" applyFont="1" applyFill="1" applyBorder="1" applyAlignment="1">
      <alignment horizontal="center"/>
    </xf>
    <xf numFmtId="176" fontId="4" fillId="0" borderId="1" xfId="0" applyNumberFormat="1" applyFont="1" applyBorder="1" applyAlignment="1">
      <alignment horizontal="center" vertical="center"/>
    </xf>
    <xf numFmtId="0" fontId="3" fillId="6" borderId="1" xfId="0" applyFont="1" applyFill="1" applyBorder="1" applyAlignment="1">
      <alignment horizontal="center" vertical="center" wrapText="1"/>
    </xf>
    <xf numFmtId="0" fontId="4" fillId="0" borderId="1" xfId="0" applyFont="1" applyBorder="1" applyAlignment="1"/>
    <xf numFmtId="176" fontId="4" fillId="5" borderId="1" xfId="0" applyNumberFormat="1" applyFont="1" applyFill="1" applyBorder="1" applyAlignment="1">
      <alignment horizontal="center"/>
    </xf>
    <xf numFmtId="0" fontId="4" fillId="0" borderId="1" xfId="0" applyFont="1" applyBorder="1" applyAlignment="1">
      <alignment horizontal="center"/>
    </xf>
    <xf numFmtId="176" fontId="4" fillId="0" borderId="1" xfId="0" applyNumberFormat="1" applyFont="1" applyBorder="1" applyAlignment="1">
      <alignment horizontal="center"/>
    </xf>
    <xf numFmtId="177" fontId="4" fillId="0" borderId="1" xfId="0" applyNumberFormat="1" applyFont="1" applyBorder="1" applyAlignment="1">
      <alignment horizontal="center"/>
    </xf>
    <xf numFmtId="0" fontId="5" fillId="0" borderId="0" xfId="0" applyFont="1" applyAlignment="1">
      <alignment vertical="top" wrapText="1"/>
    </xf>
    <xf numFmtId="0" fontId="4" fillId="0" borderId="1" xfId="0" applyFont="1" applyBorder="1" applyAlignment="1">
      <alignment vertical="top" wrapText="1"/>
    </xf>
    <xf numFmtId="0" fontId="2" fillId="0" borderId="0" xfId="0" applyFont="1" applyBorder="1" applyAlignment="1">
      <alignment vertical="top" wrapText="1"/>
    </xf>
    <xf numFmtId="0" fontId="10" fillId="0" borderId="0" xfId="0" applyFont="1" applyAlignment="1"/>
    <xf numFmtId="0" fontId="11" fillId="0" borderId="0" xfId="0" applyFont="1" applyAlignment="1"/>
    <xf numFmtId="0" fontId="12" fillId="0" borderId="0" xfId="0" applyFont="1" applyAlignment="1"/>
    <xf numFmtId="0" fontId="13" fillId="3" borderId="2" xfId="0" applyFont="1" applyFill="1" applyBorder="1" applyAlignment="1">
      <alignment horizontal="center" vertical="center" wrapText="1"/>
    </xf>
    <xf numFmtId="0" fontId="3" fillId="3" borderId="0" xfId="0" applyFont="1" applyFill="1" applyAlignment="1">
      <alignment vertical="center" wrapText="1"/>
    </xf>
    <xf numFmtId="0" fontId="14" fillId="0" borderId="0" xfId="0" applyFont="1" applyAlignment="1"/>
    <xf numFmtId="0" fontId="15" fillId="0" borderId="0" xfId="0" applyFont="1" applyAlignment="1"/>
    <xf numFmtId="0" fontId="4" fillId="0" borderId="0" xfId="0" applyFont="1" applyAlignment="1">
      <alignment wrapText="1"/>
    </xf>
    <xf numFmtId="0" fontId="12" fillId="0" borderId="0" xfId="0" applyFont="1" applyAlignment="1">
      <alignment wrapText="1"/>
    </xf>
    <xf numFmtId="0" fontId="16" fillId="0" borderId="0" xfId="0" applyFont="1" applyAlignment="1"/>
    <xf numFmtId="0" fontId="1" fillId="0" borderId="0" xfId="0" applyFont="1" applyAlignment="1">
      <alignment vertical="top" wrapText="1"/>
    </xf>
    <xf numFmtId="0" fontId="4" fillId="0" borderId="0" xfId="0" applyFont="1" applyAlignment="1">
      <alignmen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800000"/>
      <rgbColor rgb="00008000"/>
      <rgbColor rgb="00000080"/>
      <rgbColor rgb="007F7F7F"/>
      <rgbColor rgb="00800080"/>
      <rgbColor rgb="00008080"/>
      <rgbColor rgb="00BFBFBF"/>
      <rgbColor rgb="00808080"/>
      <rgbColor rgb="009999FF"/>
      <rgbColor rgb="00993366"/>
      <rgbColor rgb="00FFF2CC"/>
      <rgbColor rgb="00CCFFFF"/>
      <rgbColor rgb="00660066"/>
      <rgbColor rgb="00FF8080"/>
      <rgbColor rgb="000066CC"/>
      <rgbColor rgb="00BBBBBB"/>
      <rgbColor rgb="00000080"/>
      <rgbColor rgb="00FF00FF"/>
      <rgbColor rgb="00FFFF00"/>
      <rgbColor rgb="0000FFFF"/>
      <rgbColor rgb="00800080"/>
      <rgbColor rgb="00800000"/>
      <rgbColor rgb="00008080"/>
      <rgbColor rgb="000000FF"/>
      <rgbColor rgb="0000CCFF"/>
      <rgbColor rgb="00CCFFFF"/>
      <rgbColor rgb="00E2EFDA"/>
      <rgbColor rgb="00FFFF99"/>
      <rgbColor rgb="0099CCFF"/>
      <rgbColor rgb="00FF99CC"/>
      <rgbColor rgb="00CC99FF"/>
      <rgbColor rgb="00FFCC99"/>
      <rgbColor rgb="003366FF"/>
      <rgbColor rgb="0033CCCC"/>
      <rgbColor rgb="0099CC00"/>
      <rgbColor rgb="00FFCC00"/>
      <rgbColor rgb="00FF9900"/>
      <rgbColor rgb="00FF6600"/>
      <rgbColor rgb="00595959"/>
      <rgbColor rgb="00999999"/>
      <rgbColor rgb="00003366"/>
      <rgbColor rgb="00339966"/>
      <rgbColor rgb="00003300"/>
      <rgbColor rgb="00333300"/>
      <rgbColor rgb="00993300"/>
      <rgbColor rgb="00993366"/>
      <rgbColor rgb="001F4E79"/>
      <rgbColor rgb="0037562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schemas.openxmlformats.org/officeDocument/2006/relationships/sharedStrings" Target="sharedStrings.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theme>
</file>

<file path=xl/worksheets/_rels/sheet3.xml.rels><?xml version="1.0" encoding="UTF-8" standalone="yes"?>
<Relationships xmlns="http://schemas.openxmlformats.org/package/2006/relationships"><Relationship Id="rId99" Type="http://schemas.openxmlformats.org/officeDocument/2006/relationships/hyperlink" Target="https://onlineonly.christies.com/s/handbags-online-new-york-edit/limited-edition-classic-monogram-canvas-lv-hand-moca-superflat-71/242572" TargetMode="External"/><Relationship Id="rId98" Type="http://schemas.openxmlformats.org/officeDocument/2006/relationships/hyperlink" Target="https://www.christies.com/en/lot/lot-5538121" TargetMode="External"/><Relationship Id="rId97" Type="http://schemas.openxmlformats.org/officeDocument/2006/relationships/hyperlink" Target="https://www.christies.com/en/lot/lot-6031063" TargetMode="External"/><Relationship Id="rId96" Type="http://schemas.openxmlformats.org/officeDocument/2006/relationships/hyperlink" Target="https://onlineonly.christies.com/s/handbags-online-new-york-edit/grey-monogram-eclipse-alzer-60-trunk-travel-set-210/311992" TargetMode="External"/><Relationship Id="rId95" Type="http://schemas.openxmlformats.org/officeDocument/2006/relationships/hyperlink" Target="https://onlineonly.christies.com/s/handbags-online-new-york-edit/limited-edition-green-black-monogramouflage-coated-canvas-keepall-64/311847" TargetMode="External"/><Relationship Id="rId94" Type="http://schemas.openxmlformats.org/officeDocument/2006/relationships/hyperlink" Target="https://onlineonly.christies.com/s/handbags-online-hong-kong-edit/limited-edition-cannes-vase-architettura-bag-gold-hardware-fornasetti-212/214613" TargetMode="External"/><Relationship Id="rId93" Type="http://schemas.openxmlformats.org/officeDocument/2006/relationships/hyperlink" Target="https://onlineonly.christies.com/s/handbags-online-paris-edit/group-two-limited-edition-shiny-black-gold-aurora-alligator-mini-290/278719" TargetMode="External"/><Relationship Id="rId92" Type="http://schemas.openxmlformats.org/officeDocument/2006/relationships/hyperlink" Target="https://onlineonly.christies.com/s/handbags-accessories/red-white-epi-leather-christopher-backpack-silver-hardware-supreme-34/50461" TargetMode="External"/><Relationship Id="rId91" Type="http://schemas.openxmlformats.org/officeDocument/2006/relationships/hyperlink" Target="https://onlineonly.christies.com/s/handbags-accessories-online-timeless-luxury/matte-caramel-alligator-volta-gold-hardware-61/61696" TargetMode="External"/><Relationship Id="rId90" Type="http://schemas.openxmlformats.org/officeDocument/2006/relationships/hyperlink" Target="https://onlineonly.christies.com/s/handbags-online-london-edition/limited-edition-classic-canvas-superflat-jewellery-box-takashi-109/88138" TargetMode="External"/><Relationship Id="rId9" Type="http://schemas.openxmlformats.org/officeDocument/2006/relationships/hyperlink" Target="https://onlineonly.christies.com/s/legendary-trunks-european-private-collection-part-ii/rare-hermetic-zinc-explorer-trunk-brass-hardware-41/262988" TargetMode="External"/><Relationship Id="rId89" Type="http://schemas.openxmlformats.org/officeDocument/2006/relationships/hyperlink" Target="https://www.christies.com/en/lot/lot-6234573" TargetMode="External"/><Relationship Id="rId88" Type="http://schemas.openxmlformats.org/officeDocument/2006/relationships/hyperlink" Target="https://www.christies.com/en/lot/lot-5998391" TargetMode="External"/><Relationship Id="rId87" Type="http://schemas.openxmlformats.org/officeDocument/2006/relationships/hyperlink" Target="https://www.christies.com/en/lot/lot-5998315" TargetMode="External"/><Relationship Id="rId86" Type="http://schemas.openxmlformats.org/officeDocument/2006/relationships/hyperlink" Target="https://onlineonly.christies.com/s/handbags-online-paris-edit-unlocking-orange-dream-part-ii/group-two-navy-blue-calfskin-leather-beads-fleurs-dasnieres-capucines-140/257142" TargetMode="External"/><Relationship Id="rId85" Type="http://schemas.openxmlformats.org/officeDocument/2006/relationships/hyperlink" Target="https://collections.vam.ac.uk/item/O1500006/eye-need-you-bag-handbag-murakami-takashi/" TargetMode="External"/><Relationship Id="rId84" Type="http://schemas.openxmlformats.org/officeDocument/2006/relationships/hyperlink" Target="https://collections.vam.ac.uk/item/O1518732/graffiti-keepall-50-bag-bag-sprouse-stephen/" TargetMode="External"/><Relationship Id="rId83" Type="http://schemas.openxmlformats.org/officeDocument/2006/relationships/hyperlink" Target="https://collections.vam.ac.uk/item/O1532382/christopher-backpack-bag-louis-vuitton/" TargetMode="External"/><Relationship Id="rId82" Type="http://schemas.openxmlformats.org/officeDocument/2006/relationships/hyperlink" Target="https://collections.vam.ac.uk/item/O1496951/louis-vuitton-monogram-miroir-speedy-handbag-marc-jacobs/" TargetMode="External"/><Relationship Id="rId81" Type="http://schemas.openxmlformats.org/officeDocument/2006/relationships/hyperlink" Target="https://www.vam.ac.uk/articles/trunks-and-travelling" TargetMode="External"/><Relationship Id="rId80" Type="http://schemas.openxmlformats.org/officeDocument/2006/relationships/hyperlink" Target="https://onlineonly.christies.com/s/legendary-trunks-european-private-collection-part-ii/monogram-canvas-wardrobe-trunk-brass-hardware-78/263028" TargetMode="External"/><Relationship Id="rId8" Type="http://schemas.openxmlformats.org/officeDocument/2006/relationships/hyperlink" Target="https://www.christies.com/en/lot/lot-6205939" TargetMode="External"/><Relationship Id="rId79" Type="http://schemas.openxmlformats.org/officeDocument/2006/relationships/hyperlink" Target="https://onlineonly.christies.com/s/collection-sir-elton-john-out-closet/fuchsia-monogram-vernis-patent-leather-pegase-55-1329/209124" TargetMode="External"/><Relationship Id="rId78" Type="http://schemas.openxmlformats.org/officeDocument/2006/relationships/hyperlink" Target="https://onlineonly.christies.com/s/handbags-online-new-york-edit/white-blush-metallic-alligator-petite-malle-brushed-rose-gold-hardware-150/260333" TargetMode="External"/><Relationship Id="rId77" Type="http://schemas.openxmlformats.org/officeDocument/2006/relationships/hyperlink" Target="https://onlineonly.christies.com/s/legendary-trunks-european-private-collection/gris-trianon-canvas-trunk-black-lacquered-iron-hardware-60/227578" TargetMode="External"/><Relationship Id="rId76" Type="http://schemas.openxmlformats.org/officeDocument/2006/relationships/hyperlink" Target="https://www.christies.com/en/lot/lot-5403059" TargetMode="External"/><Relationship Id="rId75" Type="http://schemas.openxmlformats.org/officeDocument/2006/relationships/hyperlink" Target="https://www.christies.com/en/lot/lot-6100124" TargetMode="External"/><Relationship Id="rId74" Type="http://schemas.openxmlformats.org/officeDocument/2006/relationships/hyperlink" Target="https://www.christies.com/en/lot/lot-6586975" TargetMode="External"/><Relationship Id="rId73" Type="http://schemas.openxmlformats.org/officeDocument/2006/relationships/hyperlink" Target="https://onlineonly.christies.com/s/legendary-trunks-european-private-collection-part-ii/brown-beige-striped-canvas-low-110-trunk-black-lacquered-iron-brass-29/262979" TargetMode="External"/><Relationship Id="rId72" Type="http://schemas.openxmlformats.org/officeDocument/2006/relationships/hyperlink" Target="https://onlineonly.christies.com/s/legendary-trunks-european-private-collection-part-ii/monogram-canvas-cabin-80-trunk-brass-hardware-18/262966" TargetMode="External"/><Relationship Id="rId71" Type="http://schemas.openxmlformats.org/officeDocument/2006/relationships/hyperlink" Target="https://onlineonly.christies.com/s/legendary-trunks-european-private-collection-part-ii/orange-vuittonite-canvas-cabin-110-trunk-brass-hardware-7/262955" TargetMode="External"/><Relationship Id="rId70" Type="http://schemas.openxmlformats.org/officeDocument/2006/relationships/hyperlink" Target="https://onlineonly.christies.com/s/legendary-trunks-european-private-collection/damier-canvas-ladys-high-100-trunk-brass-hardware-27/227352" TargetMode="External"/><Relationship Id="rId7" Type="http://schemas.openxmlformats.org/officeDocument/2006/relationships/hyperlink" Target="https://onlineonly.christies.com/s/legendary-trunks-european-private-collection-part-ii/rare-hermetic-zinc-explorer-trunk-brass-hardware-38/262989" TargetMode="External"/><Relationship Id="rId69" Type="http://schemas.openxmlformats.org/officeDocument/2006/relationships/hyperlink" Target="https://onlineonly.christies.com/s/handbags-online-paris-edit/limited-edition-brown-calfskin-satchel-gold-hardware-219/314188" TargetMode="External"/><Relationship Id="rId68" Type="http://schemas.openxmlformats.org/officeDocument/2006/relationships/hyperlink" Target="https://onlineonly.christies.com/s/legendary-trunks-european-private-collection/natural-cowhide-leather-wardrobe-trunk-brass-hardware-24/227562" TargetMode="External"/><Relationship Id="rId67" Type="http://schemas.openxmlformats.org/officeDocument/2006/relationships/hyperlink" Target="https://onlineonly.christies.com/s/handbags-online-new-york-edit/limited-edition-classic-monogram-canvas-pooch-bag-gold-hardware-251/284551" TargetMode="External"/><Relationship Id="rId66" Type="http://schemas.openxmlformats.org/officeDocument/2006/relationships/hyperlink" Target="https://onlineonly.christies.com/s/legendary-trunks-european-private-collection-part-ii/gris-trianon-coated-canvas-low-trunk-black-lacquered-iron-hardware-85/263033" TargetMode="External"/><Relationship Id="rId65" Type="http://schemas.openxmlformats.org/officeDocument/2006/relationships/hyperlink" Target="https://onlineonly.christies.com/s/legendary-trunks-european-private-collection-part-ii/monogram-fabric-canvas-mens-low-90-trunk-black-lacquered-iron-brass-4/262953" TargetMode="External"/><Relationship Id="rId64" Type="http://schemas.openxmlformats.org/officeDocument/2006/relationships/hyperlink" Target="https://onlineonly.christies.com/s/legendary-trunks-european-private-collection/natural-cowhide-leather-ideal-trunk-brass-hardware-8/227548" TargetMode="External"/><Relationship Id="rId63" Type="http://schemas.openxmlformats.org/officeDocument/2006/relationships/hyperlink" Target="https://onlineonly.christies.com/s/legendary-trunks-european-private-collection/shiny-brown-porosus-crocodile-toiletry-kit-trunk-brass-hardware-92/227416" TargetMode="External"/><Relationship Id="rId62" Type="http://schemas.openxmlformats.org/officeDocument/2006/relationships/hyperlink" Target="https://onlineonly.christies.com/s/legendary-trunks-european-private-collection-part-ii/natural-wood-courrier-80-trunk-black-lacquered-iron-hardware-103/263053" TargetMode="External"/><Relationship Id="rId61" Type="http://schemas.openxmlformats.org/officeDocument/2006/relationships/hyperlink" Target="https://www.christies.com/en/lot/lot-6319603" TargetMode="External"/><Relationship Id="rId60" Type="http://schemas.openxmlformats.org/officeDocument/2006/relationships/hyperlink" Target="https://onlineonly.christies.com/s/handbags-online-paris-edit-unlocking-orange-dream-part-ii/limited-edition-orange-mat-monogram-natural-leather-bandouliere-speedy-66/257067" TargetMode="External"/><Relationship Id="rId6" Type="http://schemas.openxmlformats.org/officeDocument/2006/relationships/hyperlink" Target="https://www.christies.com/en/lot/lot-6205936" TargetMode="External"/><Relationship Id="rId59" Type="http://schemas.openxmlformats.org/officeDocument/2006/relationships/hyperlink" Target="https://onlineonly.christies.com/s/handbags-online-power-colour/matte-white-himalaya-crocodile-city-steamer-pm-silver-hardware-128/159190" TargetMode="External"/><Relationship Id="rId58" Type="http://schemas.openxmlformats.org/officeDocument/2006/relationships/hyperlink" Target="https://onlineonly.christies.com/s/legendary-trunks-european-private-collection-part-ii/monogram-canvas-wardrobe-trunk-brass-hardware-61/263009" TargetMode="External"/><Relationship Id="rId57" Type="http://schemas.openxmlformats.org/officeDocument/2006/relationships/hyperlink" Target="https://www.christies.com/en/lot/lot-6586994" TargetMode="External"/><Relationship Id="rId56" Type="http://schemas.openxmlformats.org/officeDocument/2006/relationships/hyperlink" Target="https://www.christies.com/en/lot/lot-5921716" TargetMode="External"/><Relationship Id="rId55" Type="http://schemas.openxmlformats.org/officeDocument/2006/relationships/hyperlink" Target="https://www.christies.com/en/lot/lot-6205935" TargetMode="External"/><Relationship Id="rId54" Type="http://schemas.openxmlformats.org/officeDocument/2006/relationships/hyperlink" Target="https://www.christies.com/en/lot/lot-5764569" TargetMode="External"/><Relationship Id="rId53" Type="http://schemas.openxmlformats.org/officeDocument/2006/relationships/hyperlink" Target="https://onlineonly.christies.com/s/handbags-online-paris-edit/shiny-emerald-green-alligator-mini-capucines-gold-hardware-202/278855" TargetMode="External"/><Relationship Id="rId52" Type="http://schemas.openxmlformats.org/officeDocument/2006/relationships/hyperlink" Target="https://www.christies.com/en/lot/lot-6532730" TargetMode="External"/><Relationship Id="rId51" Type="http://schemas.openxmlformats.org/officeDocument/2006/relationships/hyperlink" Target="https://onlineonly.christies.com/s/handbags-online-new-york-edit/personalized-brown-monogram-canvas-pegase-50-62/205205" TargetMode="External"/><Relationship Id="rId50" Type="http://schemas.openxmlformats.org/officeDocument/2006/relationships/hyperlink" Target="https://onlineonly.christies.com/s/legendary-trunks-european-private-collection/monogram-canvas-wardrobe-trunk-brass-hardware-80/227404" TargetMode="External"/><Relationship Id="rId5" Type="http://schemas.openxmlformats.org/officeDocument/2006/relationships/hyperlink" Target="https://www.christies.com/en/lot/lot-6177673" TargetMode="External"/><Relationship Id="rId49" Type="http://schemas.openxmlformats.org/officeDocument/2006/relationships/hyperlink" Target="https://onlineonly.christies.com/s/legendary-trunks-european-private-collection/rare-monogram-canvas-library-trunk-set-1911-britannica-encyclopaedia-41/227572" TargetMode="External"/><Relationship Id="rId48" Type="http://schemas.openxmlformats.org/officeDocument/2006/relationships/hyperlink" Target="https://www.christies.com/en/lot/lot-6399674" TargetMode="External"/><Relationship Id="rId47" Type="http://schemas.openxmlformats.org/officeDocument/2006/relationships/hyperlink" Target="https://onlineonly.christies.com/s/legendary-trunks-european-private-collection-part-ii/rare-monogram-paper-wood-mini-flower-trunk-brass-hardware-37/262987" TargetMode="External"/><Relationship Id="rId46" Type="http://schemas.openxmlformats.org/officeDocument/2006/relationships/hyperlink" Target="https://onlineonly.christies.com/s/legendary-trunks-european-private-collection/special-order-shiny-brown-alligator-caviar-set-box-gold-hardware-71/227394" TargetMode="External"/><Relationship Id="rId45" Type="http://schemas.openxmlformats.org/officeDocument/2006/relationships/hyperlink" Target="https://onlineonly.christies.com/s/handbags-online-paris-edit/matte-white-silver-himalaya-niloticus-crocodile-mini-capucines-silver-164/278818" TargetMode="External"/><Relationship Id="rId44" Type="http://schemas.openxmlformats.org/officeDocument/2006/relationships/hyperlink" Target="https://onlineonly.christies.com/s/legendary-trunks-european-private-collection-part-ii/group-two-orange-vuittonite-canvas-desk-trunk-linen-orange-vuittonite-11/262958" TargetMode="External"/><Relationship Id="rId43" Type="http://schemas.openxmlformats.org/officeDocument/2006/relationships/hyperlink" Target="https://onlineonly.christies.com/s/legendary-trunks-european-private-collection/damier-canvas-men-high-90-trunk-brass-hardware-61/227385" TargetMode="External"/><Relationship Id="rId42" Type="http://schemas.openxmlformats.org/officeDocument/2006/relationships/hyperlink" Target="https://onlineonly.christies.com/s/legendary-trunks-european-private-collection-part-ii/rare-monogram-canvas-explorators-camp-bed-trunk-brass-hardware-33/262983" TargetMode="External"/><Relationship Id="rId41" Type="http://schemas.openxmlformats.org/officeDocument/2006/relationships/hyperlink" Target="https://www.christies.com/en/lot/lot-6558303" TargetMode="External"/><Relationship Id="rId40" Type="http://schemas.openxmlformats.org/officeDocument/2006/relationships/hyperlink" Target="https://onlineonly.christies.com/s/legendary-trunks-european-private-collection/natural-cowhide-leather-ideal-trunk-brass-hardware-5/227546" TargetMode="External"/><Relationship Id="rId4" Type="http://schemas.openxmlformats.org/officeDocument/2006/relationships/hyperlink" Target="https://www.christies.com/en/lot/lot-6586998" TargetMode="External"/><Relationship Id="rId39" Type="http://schemas.openxmlformats.org/officeDocument/2006/relationships/hyperlink" Target="https://www.christies.com/en/lot/lot-6144072" TargetMode="External"/><Relationship Id="rId38" Type="http://schemas.openxmlformats.org/officeDocument/2006/relationships/hyperlink" Target="https://onlineonly.christies.com/s/handbags-online-new-york-edit/very-rare-brown-tan-patterned-stenciled-canvas-wood-malle-courrier-110-63/205210" TargetMode="External"/><Relationship Id="rId37" Type="http://schemas.openxmlformats.org/officeDocument/2006/relationships/hyperlink" Target="https://onlineonly.christies.com/s/legendary-trunks-european-private-collection/mahogany-running-board-trunk-automobile-tools-brass-hardware-83/227592" TargetMode="External"/><Relationship Id="rId367" Type="http://schemas.openxmlformats.org/officeDocument/2006/relationships/hyperlink" Target="https://www.christies.com/en/lot/lot-6399666" TargetMode="External"/><Relationship Id="rId366" Type="http://schemas.openxmlformats.org/officeDocument/2006/relationships/hyperlink" Target="https://onlineonly.christies.com/s/handbags-online-new-york-edit/rare-black-epi-leather-sac-plat-fusion-fabrizio-plessi-207/284276" TargetMode="External"/><Relationship Id="rId365" Type="http://schemas.openxmlformats.org/officeDocument/2006/relationships/hyperlink" Target="https://onlineonly.christies.com/s/handbags-online-paris-edit/spring-summer-runway-black-rainbow-monogram-lp-case-black-hardware-406/236953" TargetMode="External"/><Relationship Id="rId364" Type="http://schemas.openxmlformats.org/officeDocument/2006/relationships/hyperlink" Target="https://onlineonly.christies.com/s/handbags-online/limited-edition-monogram-canvas-duck-bag-gold-hardware-nigo-154/320498" TargetMode="External"/><Relationship Id="rId363" Type="http://schemas.openxmlformats.org/officeDocument/2006/relationships/hyperlink" Target="https://onlineonly.christies.com/s/handbags-online/rare-monogram-cardboard-malle-bijoux-invitation-box-jewelry-set-300-136/320482" TargetMode="External"/><Relationship Id="rId362" Type="http://schemas.openxmlformats.org/officeDocument/2006/relationships/hyperlink" Target="https://onlineonly.christies.com/s/handbags-online/set-two-classic-monogram-canvas-rolling-trunk-grey-monogram-climbing-76/320423" TargetMode="External"/><Relationship Id="rId361" Type="http://schemas.openxmlformats.org/officeDocument/2006/relationships/hyperlink" Target="https://onlineonly.christies.com/s/handbags-online/rare-beige-black-printed-leather-soft-truck-bag-silver-hardware-50/320396" TargetMode="External"/><Relationship Id="rId360" Type="http://schemas.openxmlformats.org/officeDocument/2006/relationships/hyperlink" Target="https://www.1stdibs.com/fashion/handbags-purses-bags/crossbody-bags-messenger-bags/louis-vuitton-terre-damier-geant-messenger-bag/id-v_28426512/" TargetMode="External"/><Relationship Id="rId36" Type="http://schemas.openxmlformats.org/officeDocument/2006/relationships/hyperlink" Target="https://onlineonly.christies.com/s/legendary-trunks-european-private-collection/orange-vuittonite-canvas-double-drawer-wardrobe-trunk-brass-hardware-30/227355" TargetMode="External"/><Relationship Id="rId359" Type="http://schemas.openxmlformats.org/officeDocument/2006/relationships/hyperlink" Target="https://www.1stdibs.com/fashion/handbags-purses-bags/tote-bags/louis-vuitton-tahitienne-cabas-bag-limited-edition/id-v_22641612/" TargetMode="External"/><Relationship Id="rId358" Type="http://schemas.openxmlformats.org/officeDocument/2006/relationships/hyperlink" Target="https://www.1stdibs.com/fashion/handbags-purses-bags/luggage-travel-bags/louis-vuitton-2000-lv-americas-cup-grey-polochon-travel-bag-39lk324s/id-v_15270492/" TargetMode="External"/><Relationship Id="rId357" Type="http://schemas.openxmlformats.org/officeDocument/2006/relationships/hyperlink" Target="https://www.1stdibs.com/fashion/handbags-purses-bags/shoulder-bags/1995-vintage-louis-vuitton-castillan-red-epi-leather-cluny-shoulder-bag/id-v_29652592/" TargetMode="External"/><Relationship Id="rId356" Type="http://schemas.openxmlformats.org/officeDocument/2006/relationships/hyperlink" Target="https://www.1stdibs.com/fashion/handbags-purses-bags/crossbody-bags-messenger-bags/louis-vuitton-1995-lv-cup-red-calvi-messenger-91lz817s/id-v_17327912/" TargetMode="External"/><Relationship Id="rId355" Type="http://schemas.openxmlformats.org/officeDocument/2006/relationships/hyperlink" Target="https://www.1stdibs.com/fashion/handbags-purses-bags/tote-bags/1990s-louis-vuitton-brown-classic-monogram-canvas-alma-pm/id-v_2279973/" TargetMode="External"/><Relationship Id="rId354" Type="http://schemas.openxmlformats.org/officeDocument/2006/relationships/hyperlink" Target="https://www.1stdibs.com/fashion/handbags-purses-bags/shoulder-bags/louis-vuitton-retiro-nm-monogram-coated-canvas-2-way-shoulder-bag-2000s/id-v_22437402/" TargetMode="External"/><Relationship Id="rId353" Type="http://schemas.openxmlformats.org/officeDocument/2006/relationships/hyperlink" Target="https://www.1stdibs.com/fashion/handbags-purses-bags/shoulder-bags/louis-vuitton-1999-vintage-monogram-vernis-bedford-handbag-mint-green/id-v_24276432/" TargetMode="External"/><Relationship Id="rId352" Type="http://schemas.openxmlformats.org/officeDocument/2006/relationships/hyperlink" Target="https://www.1stdibs.com/fashion/handbags-purses-bags/crossbody-bags-messenger-bags/1990s-louis-vuitton-green-epi-leather-danube-cross-body-bag/id-v_14808202/" TargetMode="External"/><Relationship Id="rId351" Type="http://schemas.openxmlformats.org/officeDocument/2006/relationships/hyperlink" Target="https://www.1stdibs.com/fashion/handbags-purses-bags/luggage-travel-bags/vintage-louis-vuitton-x-french-luggage-co-travel-bag-diaper-bag-monogram-canvas/id-v_29158152/" TargetMode="External"/><Relationship Id="rId350" Type="http://schemas.openxmlformats.org/officeDocument/2006/relationships/hyperlink" Target="https://www.alessiolorenzi.com/trunks-luggage-archive-2/an-extremely-rare-assouline-trunk-by-goyard-made-in-france-circa-2000" TargetMode="External"/><Relationship Id="rId35" Type="http://schemas.openxmlformats.org/officeDocument/2006/relationships/hyperlink" Target="https://www.christies.com/en/lot/lot-6399676" TargetMode="External"/><Relationship Id="rId349" Type="http://schemas.openxmlformats.org/officeDocument/2006/relationships/hyperlink" Target="https://www.alessiolorenzi.com/trunks-luggage-archive-2/a-louis-vuitton-courier-trunk-in-natural-cow-hide-france-circa-1930-z" TargetMode="External"/><Relationship Id="rId348" Type="http://schemas.openxmlformats.org/officeDocument/2006/relationships/hyperlink" Target="https://www.alessiolorenzi.com/trunks-luggage-archive-2/a-louis-vuitton-trunk-in-woven-canvas-france-late-19th-century-c223" TargetMode="External"/><Relationship Id="rId347" Type="http://schemas.openxmlformats.org/officeDocument/2006/relationships/hyperlink" Target="https://www.1stdibs.com/furniture/more-furniture-collectibles/home-accents/trunks-luggage/louis-vuitto" TargetMode="External"/><Relationship Id="rId346" Type="http://schemas.openxmlformats.org/officeDocument/2006/relationships/hyperlink" Target="https://www.1stdibs.com/furniture/more-furniture-collectibles/home-accents/trunks-luggage/20th-century-louis-vuitton-wig-trunk-monogram-canvas-made-france-c1970/id-f_40789872/" TargetMode="External"/><Relationship Id="rId345" Type="http://schemas.openxmlformats.org/officeDocument/2006/relationships/hyperlink" Target="https://www.whatgoesaroundnyc.com/s/WGACA/en-eg/buy-monogram-canvas-trunk/QJHAFJ1Y0B010.html" TargetMode="External"/><Relationship Id="rId344" Type="http://schemas.openxmlformats.org/officeDocument/2006/relationships/hyperlink" Target="https://www.jolicloset.com/en/designers-women/louis-vuitton/womens-bags/travel-bags/vintage-monogram-boite-flacons-train-case-travel-bag--1567301" TargetMode="External"/><Relationship Id="rId343" Type="http://schemas.openxmlformats.org/officeDocument/2006/relationships/hyperlink" Target="https://in.louisvuitton.com/eng-in/products/dart-trunk-lv-dart-h27-nvprod5210054v/M11339" TargetMode="External"/><Relationship Id="rId342" Type="http://schemas.openxmlformats.org/officeDocument/2006/relationships/hyperlink" Target="https://fr.louisvuitton.com/fra-fr/produits/malle-music-trunk-monogram-nvprod4690053v/M10298" TargetMode="External"/><Relationship Id="rId341" Type="http://schemas.openxmlformats.org/officeDocument/2006/relationships/hyperlink" Target="https://uk.louisvuitton.com/eng-gb/products/rolling-trunk-monogram-nvprod4380163v/M20212" TargetMode="External"/><Relationship Id="rId340" Type="http://schemas.openxmlformats.org/officeDocument/2006/relationships/hyperlink" Target="https://www.christies.com/lot/a-painted-night-of-hong-kong-eclipse-6497510/?intObjectID=6497510&amp;lid=1" TargetMode="External"/><Relationship Id="rId34" Type="http://schemas.openxmlformats.org/officeDocument/2006/relationships/hyperlink" Target="https://www.christies.com/en/lot/lot-6399675" TargetMode="External"/><Relationship Id="rId339" Type="http://schemas.openxmlformats.org/officeDocument/2006/relationships/hyperlink" Target="https://onlineonly.christies.com/s/handbags-online-hong-kong-edit/yellow-tuffetage-monogram-speedy-trunk-black-hardware-210/214611" TargetMode="External"/><Relationship Id="rId338" Type="http://schemas.openxmlformats.org/officeDocument/2006/relationships/hyperlink" Target="https://onlineonly.christies.com/s/handbags-online-paris-edit/group-four-classic-monogram-toile-natural-leather-rectangular-travel-183/168057" TargetMode="External"/><Relationship Id="rId337" Type="http://schemas.openxmlformats.org/officeDocument/2006/relationships/hyperlink" Target="https://onlineonly.christies.com/s/handbags-online-paris-edit/group-four-classic-monogram-toile-natural-leather-rectangular-travel-183/168056" TargetMode="External"/><Relationship Id="rId336" Type="http://schemas.openxmlformats.org/officeDocument/2006/relationships/hyperlink" Target="https://onlineonly.christies.com/s/handbags-online-paris-edit/group-four-classic-monogram-toile-natural-leather-rectangular-travel-183/168055" TargetMode="External"/><Relationship Id="rId335" Type="http://schemas.openxmlformats.org/officeDocument/2006/relationships/hyperlink" Target="https://onlineonly.christies.com/s/handbags-online-paris-edit/group-four-classic-monogram-toile-natural-leather-rectangular-travel-183/168054" TargetMode="External"/><Relationship Id="rId334" Type="http://schemas.openxmlformats.org/officeDocument/2006/relationships/hyperlink" Target="https://press.christies.com/wp-content/uploads/2023/09/331d41283e85baaabce32634b448661a.pdf" TargetMode="External"/><Relationship Id="rId333" Type="http://schemas.openxmlformats.org/officeDocument/2006/relationships/hyperlink" Target="https://www.christies.com/lot/lot-6412165" TargetMode="External"/><Relationship Id="rId332" Type="http://schemas.openxmlformats.org/officeDocument/2006/relationships/hyperlink" Target="https://www.1stdibs.com/furniture/more-furniture-collectibles/home-accents/trunks-luggage/louis-vuitton-alzer-80-monogram-trunk/id-f_28549262/" TargetMode="External"/><Relationship Id="rId331" Type="http://schemas.openxmlformats.org/officeDocument/2006/relationships/hyperlink" Target="https://onlineonly.christies.com/s/collection-andre-leon-talley-online/personalized-brown-monogram-lacquered-canvas-hardsided-trunk-269/174376" TargetMode="External"/><Relationship Id="rId330" Type="http://schemas.openxmlformats.org/officeDocument/2006/relationships/hyperlink" Target="https://onlineonly.christies.com/s/handbags-accessories/classic-monogram-canvas-boite-bouteilles-trunk-brass-hardware-216/65436" TargetMode="External"/><Relationship Id="rId33" Type="http://schemas.openxmlformats.org/officeDocument/2006/relationships/hyperlink" Target="https://www.christies.com/en/lot/lot-6373835" TargetMode="External"/><Relationship Id="rId329" Type="http://schemas.openxmlformats.org/officeDocument/2006/relationships/hyperlink" Target="https://www.1stdibs.com/fashion/handbags-purses-bags/luggage-travel-bags/1990s-louis-vuitton-monogram-hard-shell-boite-pharmacie-vanity-trunk-case/id-v_22822762/" TargetMode="External"/><Relationship Id="rId328" Type="http://schemas.openxmlformats.org/officeDocument/2006/relationships/hyperlink" Target="https://onlineonly.christies.com/s/handbags-accessories-online-london-edition/classic-monogram-canvas-trunk-202/103891" TargetMode="External"/><Relationship Id="rId327" Type="http://schemas.openxmlformats.org/officeDocument/2006/relationships/hyperlink" Target="https://onlineonly.christies.com/s/handbags-accessories-online-london-edition/classic-monogram-standing-shoe-trunk-209/103897" TargetMode="External"/><Relationship Id="rId326" Type="http://schemas.openxmlformats.org/officeDocument/2006/relationships/hyperlink" Target="https://onlineonly.christies.com/s/handbags-accessories-online-london-edition/classic-monogram-standing-wardrobe-trunk-206/103895" TargetMode="External"/><Relationship Id="rId325" Type="http://schemas.openxmlformats.org/officeDocument/2006/relationships/hyperlink" Target="https://veryimportantlot.com/ru/lot/view/vintage-tasche-speedy-von-louis-vuitton-1341767" TargetMode="External"/><Relationship Id="rId324" Type="http://schemas.openxmlformats.org/officeDocument/2006/relationships/hyperlink" Target="https://www.interencheres.com/art-decoration/international-fine-art-auction-sale-no-197-part-iii-687415/lot-88427362.html" TargetMode="External"/><Relationship Id="rId323" Type="http://schemas.openxmlformats.org/officeDocument/2006/relationships/hyperlink" Target="https://imissyouvintage.com/products/louis-vuitton-vintage-pre-1983-saint-cloud-gm-monogram-bag" TargetMode="External"/><Relationship Id="rId322" Type="http://schemas.openxmlformats.org/officeDocument/2006/relationships/hyperlink" Target="https://www.bukowskis.com/en/auctions/S198/584-a-1980s-monogram-canvas-handbag-by-louis-vuitton-noe" TargetMode="External"/><Relationship Id="rId321" Type="http://schemas.openxmlformats.org/officeDocument/2006/relationships/hyperlink" Target="https://imissyouvintage.com/products/louis-vuitton-vintage-monogram-grand-noe-gm-bucket-bag" TargetMode="External"/><Relationship Id="rId320" Type="http://schemas.openxmlformats.org/officeDocument/2006/relationships/hyperlink" Target="https://www.ebth.com/items/7313776-1980s-vintage-louis-vuitton-monogram-speedy-35-bag" TargetMode="External"/><Relationship Id="rId32" Type="http://schemas.openxmlformats.org/officeDocument/2006/relationships/hyperlink" Target="https://www.christies.com/en/lot/lot-6373834" TargetMode="External"/><Relationship Id="rId319" Type="http://schemas.openxmlformats.org/officeDocument/2006/relationships/hyperlink" Target="https://www.ebth.com/items/7373056-early-1980s-vintage-louis-vuitton-speedy-25-handbag" TargetMode="External"/><Relationship Id="rId318" Type="http://schemas.openxmlformats.org/officeDocument/2006/relationships/hyperlink" Target="https://www.pamono.com/vintage-monogram-trunk-from-louis-vuitton-1980s" TargetMode="External"/><Relationship Id="rId317" Type="http://schemas.openxmlformats.org/officeDocument/2006/relationships/hyperlink" Target="https://www.pamono.co.uk/steamer-trunk-in-monogram-canvas-from-louis-vuitton-france-1980s" TargetMode="External"/><Relationship Id="rId316" Type="http://schemas.openxmlformats.org/officeDocument/2006/relationships/hyperlink" Target="https://www.1stdibs.com/fashion/ephemera/trunks-luggage/louis-vuitton-vintage-large-steamer-wardrobe-trunk/id-v_3100223/" TargetMode="External"/><Relationship Id="rId315" Type="http://schemas.openxmlformats.org/officeDocument/2006/relationships/hyperlink" Target="https://www.1stdibs.com/furniture/more-furniture-collectibles/home-accents/trunks-luggage/louis-vuitton-portable-whisky-bar/id-f_3486182/" TargetMode="External"/><Relationship Id="rId314" Type="http://schemas.openxmlformats.org/officeDocument/2006/relationships/hyperlink" Target="https://www.1stdibs.com/furniture/storage-case-pieces/wardrobes-armoires/wardrobe-louis-vuitton-trunk/id-f_26843132/" TargetMode="External"/><Relationship Id="rId313" Type="http://schemas.openxmlformats.org/officeDocument/2006/relationships/hyperlink" Target="https://www.1stdibs.com/fashion/ephemera/trunks-luggage/louis-vuitton-monogramme-huge-wardrobe-trunk-malle-armoire-1980s/id-v_222706/" TargetMode="External"/><Relationship Id="rId312" Type="http://schemas.openxmlformats.org/officeDocument/2006/relationships/hyperlink" Target="https://www.1stdibs.com/furniture/more-furniture-collectibles/home-accents/trunks-luggage/vintage-louis-vuitton-monogram-overnight-case-trunk-luggage-circa-1980/id-f_41780532/" TargetMode="External"/><Relationship Id="rId311" Type="http://schemas.openxmlformats.org/officeDocument/2006/relationships/hyperlink" Target="https://www.1stdibs.com/furniture/more-furniture-collectibles/home-accents/trunks-luggage/louis-vuitton-monogramm-shoe-trunk-louis-vuitton-shoe-case-louis-vuitton-trunk/id-f_20385982/" TargetMode="External"/><Relationship Id="rId310" Type="http://schemas.openxmlformats.org/officeDocument/2006/relationships/hyperlink" Target="https://www.kunstconsult.com/Collectables/Louis-Vuitton.-Unique-custom-made-wardrobe-trunk.-1980s" TargetMode="External"/><Relationship Id="rId31" Type="http://schemas.openxmlformats.org/officeDocument/2006/relationships/hyperlink" Target="https://onlineonly.christies.com/s/legendary-trunks-european-private-collection/damier-canvas-trunk-doors-drawers-brass-hardware-82/227407" TargetMode="External"/><Relationship Id="rId309" Type="http://schemas.openxmlformats.org/officeDocument/2006/relationships/hyperlink" Target="https://www.neworleansauction.com/auction-lot/vintage-louis-vuitton-wardrobe-85-casier-trunk_f7c430789c" TargetMode="External"/><Relationship Id="rId308" Type="http://schemas.openxmlformats.org/officeDocument/2006/relationships/hyperlink" Target="https://onlineonly.christies.com/s/gentleman-watches-whiskies-accessories/set-two-classic-monogram-canvas-cotteville-45-trunk-brass-hardware-25/88797" TargetMode="External"/><Relationship Id="rId307" Type="http://schemas.openxmlformats.org/officeDocument/2006/relationships/hyperlink" Target="https://www.1stdibs.com/fashion/handbags-purses-bags/luggage-travel-bags/extra-large-louis-vuitton-marin-bag-louis-vuitton-bag-louis-vuitton-duffle-bag/id-v_9509252/" TargetMode="External"/><Relationship Id="rId306" Type="http://schemas.openxmlformats.org/officeDocument/2006/relationships/hyperlink" Target="https://www.1stdibs.com/furniture/more-furniture-collectibles/home-accents/trunks-luggage/vintage-louis-vuitton-hat-box/id-f_25461032/" TargetMode="External"/><Relationship Id="rId305" Type="http://schemas.openxmlformats.org/officeDocument/2006/relationships/hyperlink" Target="https://www.1stdibs.com/fashion/handbags-purses-bags/luggage-travel-bags/round-louis-vuitton-hat-trunk-50-louis-vuitton-hat-box-louis-vuitton-bag/id-v_28314512/" TargetMode="External"/><Relationship Id="rId304" Type="http://schemas.openxmlformats.org/officeDocument/2006/relationships/hyperlink" Target="https://www.1stdibs.com/fashion/handbags-purses-bags/luggage-travel-bags/louis-vuitton-1970s-monogram-wig-case-round-hat-trunk-travel-bag/id-v_28935632/" TargetMode="External"/><Relationship Id="rId303" Type="http://schemas.openxmlformats.org/officeDocument/2006/relationships/hyperlink" Target="https://www.quittenbaum.de/media/Kataloge/172E_EN.pdf" TargetMode="External"/><Relationship Id="rId302" Type="http://schemas.openxmlformats.org/officeDocument/2006/relationships/hyperlink" Target="https://www.christies.com/lot/lot-2534729" TargetMode="External"/><Relationship Id="rId301" Type="http://schemas.openxmlformats.org/officeDocument/2006/relationships/hyperlink" Target="https://www.christies.com/en/lot/lot-2534731" TargetMode="External"/><Relationship Id="rId300" Type="http://schemas.openxmlformats.org/officeDocument/2006/relationships/hyperlink" Target="https://www.1stdibs.com/furniture/decorative-objects/boxes/jewelry-boxes/cotteville-40-case-louis-vuitton-leather-brass-canvas-1970s/id-f_21575332/" TargetMode="External"/><Relationship Id="rId30" Type="http://schemas.openxmlformats.org/officeDocument/2006/relationships/hyperlink" Target="https://onlineonly.christies.com/s/legendary-trunks-european-private-collection/natural-cowhide-leather-picnic-trunk-brass-hardware-3/227328" TargetMode="External"/><Relationship Id="rId3" Type="http://schemas.openxmlformats.org/officeDocument/2006/relationships/hyperlink" Target="https://onlineonly.christies.com/s/legendary-trunks-european-private-collection/rare-hermetic-copper-rifle-trunk-brass-hardware-45/227574" TargetMode="External"/><Relationship Id="rId299" Type="http://schemas.openxmlformats.org/officeDocument/2006/relationships/hyperlink" Target="https://www.1stdibs.com/furniture/more-furniture-collectibles/home-accents/trunks-luggage/original-vintage-louis-vuitton-suitcase-from-1970s/id-f_39744752/" TargetMode="External"/><Relationship Id="rId298" Type="http://schemas.openxmlformats.org/officeDocument/2006/relationships/hyperlink" Target="https://www.1stdibs.com/furniture/more-furniture-collectibles/home-accents/trunks-luggage/original-vintage-louis-vuitton-suitcase-from-1970s/id-f_39745312/" TargetMode="External"/><Relationship Id="rId297" Type="http://schemas.openxmlformats.org/officeDocument/2006/relationships/hyperlink" Target="https://www.1stdibs.com/furniture/more-furniture-collectibles/home-accents/trunks-luggage/louis-vuitton-suitcase-bisten-80-1970/id-f_25507732/" TargetMode="External"/><Relationship Id="rId296" Type="http://schemas.openxmlformats.org/officeDocument/2006/relationships/hyperlink" Target="https://www.dimanoinmano.it/en/cp316092/clothing-house-linens/vintage/louis-vuitton-bisten-60-suitcase" TargetMode="External"/><Relationship Id="rId295" Type="http://schemas.openxmlformats.org/officeDocument/2006/relationships/hyperlink" Target="https://www.1stdibs.com/furniture/more-furniture-collectibles/home-accents/trunks-luggage/louis-vuitton-paris-1970-alzer-70-luggage-trunk-lv-pattern-cover-service/id-f_49322822/" TargetMode="External"/><Relationship Id="rId294" Type="http://schemas.openxmlformats.org/officeDocument/2006/relationships/hyperlink" Target="https://www.christies.com/lot/lot-5996062" TargetMode="External"/><Relationship Id="rId293" Type="http://schemas.openxmlformats.org/officeDocument/2006/relationships/hyperlink" Target="https://www.christies.com/en/lot/lot-5503702" TargetMode="External"/><Relationship Id="rId292" Type="http://schemas.openxmlformats.org/officeDocument/2006/relationships/hyperlink" Target="https://www.christies.com/en/lot/lot-2005592" TargetMode="External"/><Relationship Id="rId291" Type="http://schemas.openxmlformats.org/officeDocument/2006/relationships/hyperlink" Target="https://www.christies.com/lot/lot-a-monogram-canvas-cabin-trunk-louis-vuitton-5828911/?from=siteindex&amp;intobjectid=5828911&amp;lid=1" TargetMode="External"/><Relationship Id="rId290" Type="http://schemas.openxmlformats.org/officeDocument/2006/relationships/hyperlink" Target="https://www.christies.com/lot/lot-5828910" TargetMode="External"/><Relationship Id="rId29" Type="http://schemas.openxmlformats.org/officeDocument/2006/relationships/hyperlink" Target="https://www.christies.com/en/lot/lot-6293493" TargetMode="External"/><Relationship Id="rId289" Type="http://schemas.openxmlformats.org/officeDocument/2006/relationships/hyperlink" Target="https://onlineonly.christies.com/s/handbags-accessories/monogram-canvas-shoe-trunk-brass-hardware-169/41697" TargetMode="External"/><Relationship Id="rId288" Type="http://schemas.openxmlformats.org/officeDocument/2006/relationships/hyperlink" Target="https://www.christies.com/en/lot/lot-5976894" TargetMode="External"/><Relationship Id="rId287" Type="http://schemas.openxmlformats.org/officeDocument/2006/relationships/hyperlink" Target="https://onlineonly.christies.com/s/handbags-accessories/black-canvas-mini-stage-coach-trunk-brass-hardware-244/57728" TargetMode="External"/><Relationship Id="rId286" Type="http://schemas.openxmlformats.org/officeDocument/2006/relationships/hyperlink" Target="https://www.christies.com/en/lot/lot-5950313" TargetMode="External"/><Relationship Id="rId285" Type="http://schemas.openxmlformats.org/officeDocument/2006/relationships/hyperlink" Target="https://www.incollect.com/listings/decorative-arts/objects/louis-vuitton-unique-20th-century-louis-vuitton-monogram-canvas-cabin-trunk-circa-1940-282772" TargetMode="External"/><Relationship Id="rId284" Type="http://schemas.openxmlformats.org/officeDocument/2006/relationships/hyperlink" Target="https://www.1stdibs.com/furniture/more-furniture-collectibles/home-accents/trunks-luggage/louis-vuitton-wardrobe-trunk-circa-1940/id-f_24629382/" TargetMode="External"/><Relationship Id="rId283" Type="http://schemas.openxmlformats.org/officeDocument/2006/relationships/hyperlink" Target="https://www.1stdibs.com/fashion/handbags-purses-bags/luggage-travel-bags/louis-vuitton-large-duffel-bag-overnight-travel-keepall-rare-french-co-w-strap/id-v_6922341/" TargetMode="External"/><Relationship Id="rId282" Type="http://schemas.openxmlformats.org/officeDocument/2006/relationships/hyperlink" Target="https://www.1stdibs.com/fashion/handbags-purses-bags/shoulder-bags/original-louis-vuitton-bag-petite-marceau/id-v_57053/" TargetMode="External"/><Relationship Id="rId281" Type="http://schemas.openxmlformats.org/officeDocument/2006/relationships/hyperlink" Target="https://www.1stdibs.com/fashion/handbags-purses-bags/luggage-travel-bags/vintage-louis-vuitton-monogram-travel-bag-steamer-keepall-doctors-bag-rare-70s/id-v_3843641/" TargetMode="External"/><Relationship Id="rId280" Type="http://schemas.openxmlformats.org/officeDocument/2006/relationships/hyperlink" Target="https://onlineonly.christies.com/s/audrey-hepburn-personal-collection-part-iii/mini-papillion-make-up-bag-163/56155" TargetMode="External"/><Relationship Id="rId28" Type="http://schemas.openxmlformats.org/officeDocument/2006/relationships/hyperlink" Target="https://onlineonly.christies.com/s/legendary-trunks-european-private-collection/orange-vuittonite-canvas-courrier-100-trunk-brass-hardware-6/227545" TargetMode="External"/><Relationship Id="rId279" Type="http://schemas.openxmlformats.org/officeDocument/2006/relationships/hyperlink" Target="https://www.1stdibs.com/fashion/handbags-purses-bags/shoulder-bags/louis-vuitton-french-co-monogram-bucket-bag-tote-coin-purse-1970s/id-v_4148893/" TargetMode="External"/><Relationship Id="rId278" Type="http://schemas.openxmlformats.org/officeDocument/2006/relationships/hyperlink" Target="https://www.1stdibs.com/fashion/handbags-purses-bags/shoulder-bags/1970s-louis-vuitton-monogram-bucket-bag-under-special-license-to-french-co/id-v_12495052/" TargetMode="External"/><Relationship Id="rId277" Type="http://schemas.openxmlformats.org/officeDocument/2006/relationships/hyperlink" Target="https://www.1stdibs.com/fashion/handbags-purses-bags/shoulder-bags/1970s-louis-vuitton-monogram-doctors-bag/id-v_9541712/" TargetMode="External"/><Relationship Id="rId276" Type="http://schemas.openxmlformats.org/officeDocument/2006/relationships/hyperlink" Target="https://www.1stdibs.com/fashion/handbags-purses-bags/crossbody-bags-messenger-bags/louis-vuitton-jeune-fille-brown-canvas-leather-monogram-crossbody-bag-1970s/id-v_9623092/" TargetMode="External"/><Relationship Id="rId275" Type="http://schemas.openxmlformats.org/officeDocument/2006/relationships/hyperlink" Target="https://www.1stdibs.com/fashion/handbags-purses-bags/crossbody-bags-messenger-bags/louis-vuitton-vintage-1970s-monogram-sac-bavore-3-poches-mini-tote-bavolet-48l/id-v_15529992/" TargetMode="External"/><Relationship Id="rId274" Type="http://schemas.openxmlformats.org/officeDocument/2006/relationships/hyperlink" Target="https://www.1stdibs.com/fashion/handbags-purses-bags/shoulder-bags/louis-vuitton-1970s-monogram-sac-vendome-shoulder-bag-7lz419s/id-v_15570222/" TargetMode="External"/><Relationship Id="rId273" Type="http://schemas.openxmlformats.org/officeDocument/2006/relationships/hyperlink" Target="https://www.portmanteaunewyork.com/accessories/vintage-louis-vuitton-monogram-papillon-26-bag-circa-1960s/70s" TargetMode="External"/><Relationship Id="rId272" Type="http://schemas.openxmlformats.org/officeDocument/2006/relationships/hyperlink" Target="https://onlineonly.christies.com/s/gentlemens-luxury-accessories-barware-sports-travel-leisure/golf-bag-25/1401" TargetMode="External"/><Relationship Id="rId271" Type="http://schemas.openxmlformats.org/officeDocument/2006/relationships/hyperlink" Target="https://www.christies.com/en/lot/lot-5532267" TargetMode="External"/><Relationship Id="rId270" Type="http://schemas.openxmlformats.org/officeDocument/2006/relationships/hyperlink" Target="https://www.1stdibs.com/furniture/more-furniture-collectibles/home-accents/trunks-luggage/1960s-louis-vuitton-brown-monogram-keepall-bandouliere/id-f_11739291/" TargetMode="External"/><Relationship Id="rId27" Type="http://schemas.openxmlformats.org/officeDocument/2006/relationships/hyperlink" Target="https://onlineonly.christies.com/s/legendary-trunks-european-private-collection/green-vuittonite-canvas-courrier-90-trunk-black-lacquered-iron-65/227584" TargetMode="External"/><Relationship Id="rId269" Type="http://schemas.openxmlformats.org/officeDocument/2006/relationships/hyperlink" Target="https://www.1stdibs.com/furniture/more-furniture-collectibles/1960s-louis-vuitton-monogram-travel-bag-special-made-saks-fifth-avenue/id-f_4650163/" TargetMode="External"/><Relationship Id="rId268" Type="http://schemas.openxmlformats.org/officeDocument/2006/relationships/hyperlink" Target="https://www.1stdibs.com/furniture/more-furniture-collectibles/home-accents/trunks-luggage/vanity-case-louis-vuitton-monogram-canvas-circa-1960/id-f_3306112/" TargetMode="External"/><Relationship Id="rId267" Type="http://schemas.openxmlformats.org/officeDocument/2006/relationships/hyperlink" Target="https://www.classicdriver.com/en/collectible/a-louis-vuitton-vanity-case-circa-1960" TargetMode="External"/><Relationship Id="rId266" Type="http://schemas.openxmlformats.org/officeDocument/2006/relationships/hyperlink" Target="https://www.1stdibs.com/fashion/handbags-purses-bags/vintage-louis-vuitton-monogram-train-case/id-v_153940/" TargetMode="External"/><Relationship Id="rId265" Type="http://schemas.openxmlformats.org/officeDocument/2006/relationships/hyperlink" Target="https://www.1stdibs.com/furniture/more-furniture-collectibles/home-accents/trunks-luggage/louis-vuitton-monogram-canvas-vintage-bag-circa-1960/id-f_8456243/" TargetMode="External"/><Relationship Id="rId264" Type="http://schemas.openxmlformats.org/officeDocument/2006/relationships/hyperlink" Target="https://www.classicdriver.com/en/collectible/grand-sac-paquebot-louis-vuitton-circa-1960" TargetMode="External"/><Relationship Id="rId263" Type="http://schemas.openxmlformats.org/officeDocument/2006/relationships/hyperlink" Target="https://entertainment.ha.com/itm/movie-tv-memorabilia/costumes/an-orson-welles-louis-vuitton-alzer-hardback-suitcase-circa-1950s/a/7089-46057.s" TargetMode="External"/><Relationship Id="rId262" Type="http://schemas.openxmlformats.org/officeDocument/2006/relationships/hyperlink" Target="https://www.auction.fr/en-US/lot/59-louis-vuitton-valise-alzer-en-toile-monogram-a-multiples-etiquettes-de-voyage-made-in-81766069" TargetMode="External"/><Relationship Id="rId261" Type="http://schemas.openxmlformats.org/officeDocument/2006/relationships/hyperlink" Target="https://www.1stdibs.com/fashion/handbags-purses-bags/luggage-travel-bags/rare-louis-vuitton-doctors-bag-steamer-tote-keepall-vintage-50s-monogram-canvas/id-v_5254931/" TargetMode="External"/><Relationship Id="rId260" Type="http://schemas.openxmlformats.org/officeDocument/2006/relationships/hyperlink" Target="https://www.1stdibs.com/fashion/handbags-purses-bags/luggage-travel-bags/vintage-louis-vuitton-steamer-bag-carry-all-monogram-canvas-1950s-doctors-bag/id-v_9189832/" TargetMode="External"/><Relationship Id="rId26" Type="http://schemas.openxmlformats.org/officeDocument/2006/relationships/hyperlink" Target="https://onlineonly.christies.com/s/legendary-trunks-european-private-collection/rare-monogram-canvas-fishing-trunk-brass-hardware-21/227560" TargetMode="External"/><Relationship Id="rId259" Type="http://schemas.openxmlformats.org/officeDocument/2006/relationships/hyperlink" Target="https://www.1stdibs.com/furniture/more-furniture-collectibles/collectibles-curiosities/sports-equipment-memorabilia/louis-vuitton-coin-purse-1950s-france/id-f_30222082/" TargetMode="External"/><Relationship Id="rId258" Type="http://schemas.openxmlformats.org/officeDocument/2006/relationships/hyperlink" Target="https://www.barnebys.com/auctions/lot/louis-vuitton-purse-2afbN9i-622158923" TargetMode="External"/><Relationship Id="rId257" Type="http://schemas.openxmlformats.org/officeDocument/2006/relationships/hyperlink" Target="https://www.1stdibs.com/furniture/more-furniture-collectibles/home-accents/trunks-luggage/rare-louis-vuitton-travel-bag-1950s-usa/id-f_30255262/" TargetMode="External"/><Relationship Id="rId256" Type="http://schemas.openxmlformats.org/officeDocument/2006/relationships/hyperlink" Target="https://www.1stdibs.com/furniture/more-furniture-collectibles/home-accents/trunks-luggage/1950s-louis-vuitton-duffel-bag/id-f_26628822/" TargetMode="External"/><Relationship Id="rId255" Type="http://schemas.openxmlformats.org/officeDocument/2006/relationships/hyperlink" Target="https://www.christies.com/lot/lot-a-louis-vuitton-trianon-grey-canvas-1858-1876-5716724/" TargetMode="External"/><Relationship Id="rId254" Type="http://schemas.openxmlformats.org/officeDocument/2006/relationships/hyperlink" Target="https://www.invaluable.com/auction-lot/louis-vuitton-trianon-canvas-trunk-1858-1876-114-c-7bf4eaf843" TargetMode="External"/><Relationship Id="rId253" Type="http://schemas.openxmlformats.org/officeDocument/2006/relationships/hyperlink" Target="https://www.1stdibs.com/fashion/handbags-purses-bags/luggage-travel-bags/1860s-louis-vuitton-trianon-trunk-museum-piece/id-v_20399362/" TargetMode="External"/><Relationship Id="rId252" Type="http://schemas.openxmlformats.org/officeDocument/2006/relationships/hyperlink" Target="https://www.christies.com/en/lot/lot-a-louis-vuitton-trianon-grey-canvas-trunk-5716727/" TargetMode="External"/><Relationship Id="rId251" Type="http://schemas.openxmlformats.org/officeDocument/2006/relationships/hyperlink" Target="https://www.baggagecollectionusa.com/malle-courrier-louis-vuitton-c-1906.html" TargetMode="External"/><Relationship Id="rId250" Type="http://schemas.openxmlformats.org/officeDocument/2006/relationships/hyperlink" Target="https://www.baggagecollectionusa.com/malle-louis-vuitton-c-1909.html" TargetMode="External"/><Relationship Id="rId25" Type="http://schemas.openxmlformats.org/officeDocument/2006/relationships/hyperlink" Target="https://onlineonly.christies.com/s/legendary-trunks-european-private-collection/monogram-canvas-trunk-doors-drawers-brass-hardware-43/227367" TargetMode="External"/><Relationship Id="rId249" Type="http://schemas.openxmlformats.org/officeDocument/2006/relationships/hyperlink" Target="https://www.baggagecollectionusa.com/malle-cabine-louis-vuitton-c-1890.html" TargetMode="External"/><Relationship Id="rId248" Type="http://schemas.openxmlformats.org/officeDocument/2006/relationships/hyperlink" Target="https://www.baggagecollectionusa.com/malle-louis-vuitton-c-1950.html" TargetMode="External"/><Relationship Id="rId247" Type="http://schemas.openxmlformats.org/officeDocument/2006/relationships/hyperlink" Target="https://www.baggagecollectionusa.com/malle-louis-vuitton-a-chapeaux-c-1938.html" TargetMode="External"/><Relationship Id="rId246" Type="http://schemas.openxmlformats.org/officeDocument/2006/relationships/hyperlink" Target="https://www.baggagecollectionusa.com/malle-louis-vuitton-c-1927.html" TargetMode="External"/><Relationship Id="rId245" Type="http://schemas.openxmlformats.org/officeDocument/2006/relationships/hyperlink" Target="https://www.baggagecollectionusa.com/malle-cabine-louis-vuitton-c-1920.html" TargetMode="External"/><Relationship Id="rId244" Type="http://schemas.openxmlformats.org/officeDocument/2006/relationships/hyperlink" Target="https://www.baggagecollectionusa.com/malle-louis-vuitton-jaune-c-1920.html" TargetMode="External"/><Relationship Id="rId243" Type="http://schemas.openxmlformats.org/officeDocument/2006/relationships/hyperlink" Target="https://www.baggagecollectionusa.com/louis-vuitton-cabin-trunk-1910.html" TargetMode="External"/><Relationship Id="rId242" Type="http://schemas.openxmlformats.org/officeDocument/2006/relationships/hyperlink" Target="https://www.1stdibs.com/furniture/more-furniture-collectibles/home-accents/trunks-luggage/louis-vuitton-equipped-rigid-suitcase-1940s/id-f_28527002/?utm_source=chatgpt.com" TargetMode="External"/><Relationship Id="rId241" Type="http://schemas.openxmlformats.org/officeDocument/2006/relationships/hyperlink" Target="https://www.1stdibs.com/furniture/more-furniture-collectibles/home-accents/trunks-luggage/louis-vuitton-malle-de-voyage-personnalisees-paris-late-1940s/id-f_40321032/?utm_source=chatgpt.com" TargetMode="External"/><Relationship Id="rId240" Type="http://schemas.openxmlformats.org/officeDocument/2006/relationships/hyperlink" Target="https://www.1stdibs.com/furniture/asian-art-furniture/furniture/1940s-louis-vuitton-monogram-trunk/id-f_36574052/" TargetMode="External"/><Relationship Id="rId24" Type="http://schemas.openxmlformats.org/officeDocument/2006/relationships/hyperlink" Target="https://www.christies.com/en/lot/lot-6558304" TargetMode="External"/><Relationship Id="rId239" Type="http://schemas.openxmlformats.org/officeDocument/2006/relationships/hyperlink" Target="https://www.1stdibs.com/furniture/more-furniture-collectibles/home-accents/trunks-luggage/1940s-louis-vuitton-trunk/id-f_26628102/" TargetMode="External"/><Relationship Id="rId238" Type="http://schemas.openxmlformats.org/officeDocument/2006/relationships/hyperlink" Target="https://www.1stdibs.com/furniture/more-furniture-collectibles/home-accents/trunks-luggage/louis-vuitton-trunk-1940s-france/id-f_30126402/" TargetMode="External"/><Relationship Id="rId237" Type="http://schemas.openxmlformats.org/officeDocument/2006/relationships/hyperlink" Target="https://www.1stdibs.com/furniture/more-furniture-collectibles/home-accents/trunks-luggage/50cm-louis-vuitton-trunk-1940s-france/id-f_30126642/" TargetMode="External"/><Relationship Id="rId236" Type="http://schemas.openxmlformats.org/officeDocument/2006/relationships/hyperlink" Target="https://www.christies.com/en/lot/lot-a-steamer-trunk-in-brown-canvas-louis-5503707?lid=4" TargetMode="External"/><Relationship Id="rId235" Type="http://schemas.openxmlformats.org/officeDocument/2006/relationships/hyperlink" Target="https://www.1stdibs.com/furniture/more-furniture-collectibles/home-accents/trunks-luggage/1870s-louis-vuitton-grey-trianon-canvas-trunk/id-f_6268423/" TargetMode="External"/><Relationship Id="rId234" Type="http://schemas.openxmlformats.org/officeDocument/2006/relationships/hyperlink" Target="https://www.1stdibs.com/furniture/more-furniture-collectibles/home-accents/trunks-luggage/1870s-louis-vuitton-striped-canvas-steamer-trunk-malle-louis-vuitton/id-f_6873143/" TargetMode="External"/><Relationship Id="rId233" Type="http://schemas.openxmlformats.org/officeDocument/2006/relationships/hyperlink" Target="https://www.1stdibs.com/fashion/handbags-purses-bags/luggage-travel-bags/1870s-louis-vuitton-rayee-hatbox-trunk/id-v_20398952/" TargetMode="External"/><Relationship Id="rId232" Type="http://schemas.openxmlformats.org/officeDocument/2006/relationships/hyperlink" Target="https://www.1stdibs.com/fashion/handbags-purses-bags/luggage-travel-bags/1870s-louis-vuitton-rayee-malle-haute-trunk/id-v_20399192/" TargetMode="External"/><Relationship Id="rId231" Type="http://schemas.openxmlformats.org/officeDocument/2006/relationships/hyperlink" Target="https://www.1stdibs.com/furniture/more-furniture-collectibles/home-accents/trunks-luggage/1870s-louis-vuitton-striped-canvas-trunkmalle-louis-vuitton/id-f_6873263/" TargetMode="External"/><Relationship Id="rId230" Type="http://schemas.openxmlformats.org/officeDocument/2006/relationships/hyperlink" Target="https://www.1stdibs.com/fashion/handbags-purses-bags/luggage-travel-bags/1880s-antique-louis-vuitton-trunk-damier-courier-steamer/id-v_21704802/" TargetMode="External"/><Relationship Id="rId23" Type="http://schemas.openxmlformats.org/officeDocument/2006/relationships/hyperlink" Target="https://www.christies.com/en/lot/lot-6399677" TargetMode="External"/><Relationship Id="rId229" Type="http://schemas.openxmlformats.org/officeDocument/2006/relationships/hyperlink" Target="https://www.1stdibs.com/fashion/handbags-purses-bags/luggage-travel-bags/1880s-louis-vuitton-courier-trunk-damier-canvas/id-v_22242482/" TargetMode="External"/><Relationship Id="rId228" Type="http://schemas.openxmlformats.org/officeDocument/2006/relationships/hyperlink" Target="https://www.1stdibs.com/fashion/handbags-purses-bags/luggage-travel-bags/1880s-louis-vuitton-cabin-trunk-finished-damier-canvas/id-v_22242552/" TargetMode="External"/><Relationship Id="rId227" Type="http://schemas.openxmlformats.org/officeDocument/2006/relationships/hyperlink" Target="https://www.1stdibs.com/furniture/more-furniture-collectibles/home-accents/trunks-luggage/1880s-louis-vuitton-striped-canvas-trunk-antique-louis-vuitton-steamer-trunk/id-f_31144322/" TargetMode="External"/><Relationship Id="rId226" Type="http://schemas.openxmlformats.org/officeDocument/2006/relationships/hyperlink" Target="https://www.christies.com/lot/lot-5566753?utm_source=chatgpt.com" TargetMode="External"/><Relationship Id="rId225" Type="http://schemas.openxmlformats.org/officeDocument/2006/relationships/hyperlink" Target="https://us.louisvuitton.com/eng-us/magazine/articles/heritage" TargetMode="External"/><Relationship Id="rId224" Type="http://schemas.openxmlformats.org/officeDocument/2006/relationships/hyperlink" Target="https://www.1stdibs.com/furniture/more-furniture-collectibles/home-accents/trunks-luggage/1930s-high-louis-vuitton-trunk-louis-vuitton-courrier-steamer-trunk/id-f_16451151/" TargetMode="External"/><Relationship Id="rId223" Type="http://schemas.openxmlformats.org/officeDocument/2006/relationships/hyperlink" Target="https://www.1stdibs.com/furniture/more-furniture-collectibles/home-accents/trunks-luggage/vintage-louis-vuitton-flat-steamer-trunk/id-f_5827223/" TargetMode="External"/><Relationship Id="rId222" Type="http://schemas.openxmlformats.org/officeDocument/2006/relationships/hyperlink" Target="https://www.1stdibs.com/furniture/more-furniture-collectibles/home-accents/trunks-luggage/1930s-louis-vuitton-stencil-monogram-cabin-trunk/id-f_36573412/" TargetMode="External"/><Relationship Id="rId221" Type="http://schemas.openxmlformats.org/officeDocument/2006/relationships/hyperlink" Target="https://www.1stdibs.com/furniture/more-furniture-collectibles/home-accents/trunks-luggage/louis-vuitton-library-trunk-circa-1930s/id-f_11053533/" TargetMode="External"/><Relationship Id="rId220" Type="http://schemas.openxmlformats.org/officeDocument/2006/relationships/hyperlink" Target="https://www.1stdibs.com/furniture/more-furniture-collectibles/home-accents/trunks-luggage/cube-trunk-louis-vuitton-circa-1930s/id-f_458842/" TargetMode="External"/><Relationship Id="rId22" Type="http://schemas.openxmlformats.org/officeDocument/2006/relationships/hyperlink" Target="https://www.christies.com/en/lot/lot-6373833" TargetMode="External"/><Relationship Id="rId219" Type="http://schemas.openxmlformats.org/officeDocument/2006/relationships/hyperlink" Target="https://www.1stdibs.com/furniture/more-furniture-collectibles/home-accents/trunks-luggage/20th-century-louis-vuitton-suitcase-classic-monogram-canvas-60s/id-f_36761442/" TargetMode="External"/><Relationship Id="rId218" Type="http://schemas.openxmlformats.org/officeDocument/2006/relationships/hyperlink" Target="https://www.1stdibs.com/furniture/more-furniture-collectibles/home-accents/trunks-luggage/20th-century-louis-vuitton-wardrobe-trunk-monogram-canvas-france-c1950/id-f_43368362/" TargetMode="External"/><Relationship Id="rId217" Type="http://schemas.openxmlformats.org/officeDocument/2006/relationships/hyperlink" Target="https://www.1stdibs.com/furniture/more-furniture-collectibles/home-accents/trunks-luggage/exceptionally-large-louis-vuitton-wardrobe-trunk-circa-1955/id-f_34029252/" TargetMode="External"/><Relationship Id="rId216" Type="http://schemas.openxmlformats.org/officeDocument/2006/relationships/hyperlink" Target="https://www.1stdibs.com/furniture/more-furniture-collectibles/home-accents/trunks-luggage/1950s-louis-vuitton-carrying-case-trunk-lv/id-f_4249373/" TargetMode="External"/><Relationship Id="rId215" Type="http://schemas.openxmlformats.org/officeDocument/2006/relationships/hyperlink" Target="https://www.1stdibs.com/furniture/more-furniture-collectibles/home-accents/trunks-luggage/1950s-louis-vuitton-50-cm-duffel-bag/id-f_26628742/" TargetMode="External"/><Relationship Id="rId214" Type="http://schemas.openxmlformats.org/officeDocument/2006/relationships/hyperlink" Target="https://www.1stdibs.com/furniture/more-furniture-collectibles/home-accents/trunks-luggage/1950s-louis-vuitton-trunk-monogram-louis-vuitton-steamer-trunk/id-f_28645812/" TargetMode="External"/><Relationship Id="rId213" Type="http://schemas.openxmlformats.org/officeDocument/2006/relationships/hyperlink" Target="https://www.1stdibs.com/furniture/more-furniture-collectibles/home-accents/trunks-luggage/1950s-louis-vuitton-monogram-ladys-steamer-trunk/id-f_11208411/" TargetMode="External"/><Relationship Id="rId212" Type="http://schemas.openxmlformats.org/officeDocument/2006/relationships/hyperlink" Target="https://www.1stdibs.com/fashion/handbags-purses-bags/tote-bags/1970s-vintage-louis-vuitton-monogram-sac-plat-tote-bag/id-v_20752312/" TargetMode="External"/><Relationship Id="rId211" Type="http://schemas.openxmlformats.org/officeDocument/2006/relationships/hyperlink" Target="https://www.1stdibs.com/fashion/handbags-purses-bags/top-handle-bags/vintage-1960s-louis-vuitton-speedy-30-handbag-monogram-canvas/id-v_18761072/" TargetMode="External"/><Relationship Id="rId210" Type="http://schemas.openxmlformats.org/officeDocument/2006/relationships/hyperlink" Target="https://www.whatgoesaroundnyc.com/en-us/buy-brown-epi-speedy-30/QJB0FZ100B00E.html" TargetMode="External"/><Relationship Id="rId21" Type="http://schemas.openxmlformats.org/officeDocument/2006/relationships/hyperlink" Target="https://onlineonly.christies.com/s/legendary-trunks-european-private-collection/monogram-canvas-ladys-high-110-trunk-brass-hardware-25/227561" TargetMode="External"/><Relationship Id="rId209" Type="http://schemas.openxmlformats.org/officeDocument/2006/relationships/hyperlink" Target="https://www.whatgoesaroundnyc.com/en-us/buy-monogram-canvas-keepall-bandouliere-55/QJB0GI4J0B02H.html?cgid=louis-vuitton" TargetMode="External"/><Relationship Id="rId208" Type="http://schemas.openxmlformats.org/officeDocument/2006/relationships/hyperlink" Target="https://www.whatgoesaroundnyc.com/en-us/buy-black-epi-jasmin/QJB0A210KB00Z.html?cgid=louis-vuitton" TargetMode="External"/><Relationship Id="rId207" Type="http://schemas.openxmlformats.org/officeDocument/2006/relationships/hyperlink" Target="https://www.whatgoesaroundnyc.com/en-us/buy-mimosa-epi-noe/QJB0BP10YB00E.html?cgid=louis-vuitton" TargetMode="External"/><Relationship Id="rId206" Type="http://schemas.openxmlformats.org/officeDocument/2006/relationships/hyperlink" Target="https://www.whatgoesaroundnyc.com/en-us/buy-mimosa-epi-lussac/QJB0AN10YB00N.html?cgid=louis-vuitton" TargetMode="External"/><Relationship Id="rId205" Type="http://schemas.openxmlformats.org/officeDocument/2006/relationships/hyperlink" Target="https://www.whatgoesaroundnyc.com/en-us/buy-black-epi-alma-pm/QJB06Y10KF01S.html?cgid=louis-vuitton" TargetMode="External"/><Relationship Id="rId204" Type="http://schemas.openxmlformats.org/officeDocument/2006/relationships/hyperlink" Target="https://www.sothebys.com/en/buy/pdp/fashion/handbag/luggage/_louis-vuitton-vintage-monogram-gemine-12-pairs-shoe-trunk-brass-hardware-1990s?locale=en" TargetMode="External"/><Relationship Id="rId203" Type="http://schemas.openxmlformats.org/officeDocument/2006/relationships/hyperlink" Target="https://www.sothebys.com/en/buy/_louis-vuitton-vintage-manolo-blahnik-monogram-centenaire-shoe-trunk-brass-hardware-1996?locale=en" TargetMode="External"/><Relationship Id="rId202" Type="http://schemas.openxmlformats.org/officeDocument/2006/relationships/hyperlink" Target="https://vuittonvintage.com/shop/louis-vuitton-monogram-vernis/" TargetMode="External"/><Relationship Id="rId201" Type="http://schemas.openxmlformats.org/officeDocument/2006/relationships/hyperlink" Target="https://vuittonvintage.com/products/louis-vuitton-rond-point-232/" TargetMode="External"/><Relationship Id="rId200" Type="http://schemas.openxmlformats.org/officeDocument/2006/relationships/hyperlink" Target="https://www.sothebys.com/en/buy/_louis-vuitton-vintage-monogram-gemine-8-pairs-shoe-trunk-brass-hardware-1990s" TargetMode="External"/><Relationship Id="rId20" Type="http://schemas.openxmlformats.org/officeDocument/2006/relationships/hyperlink" Target="https://onlineonly.christies.com/s/legendary-trunks-european-private-collection-part-ii/monogram-canvas-trunk-1000-cigars-brass-hardware-57/263004" TargetMode="External"/><Relationship Id="rId2" Type="http://schemas.openxmlformats.org/officeDocument/2006/relationships/hyperlink" Target="https://onlineonly.christies.com/s/handbags-online-september-edition/rare-limited-edition-yellow-black-monogram-leather-pumpkin-bag-silver-60/231632" TargetMode="External"/><Relationship Id="rId199" Type="http://schemas.openxmlformats.org/officeDocument/2006/relationships/hyperlink" Target="https://onlineonly.christies.com/s/legendary-trunks-european-private-collection-part-ii/natural-wooden-trunk-black-lacquered-iron-hardware-49/262999" TargetMode="External"/><Relationship Id="rId198" Type="http://schemas.openxmlformats.org/officeDocument/2006/relationships/hyperlink" Target="https://onlineonly.christies.com/s/handbags-online-hong-kong-edit/limited-edition-black-taurillon-leather-infinity-dots-christopher-256/250026" TargetMode="External"/><Relationship Id="rId197" Type="http://schemas.openxmlformats.org/officeDocument/2006/relationships/hyperlink" Target="https://onlineonly.christies.com/s/handbags-online-new-york-edit/limited-edition-cerises-monogram-canvas-leather-speedy-25-gold-220/260419" TargetMode="External"/><Relationship Id="rId196" Type="http://schemas.openxmlformats.org/officeDocument/2006/relationships/hyperlink" Target="https://www.christies.com/en/lot/lot-6293488" TargetMode="External"/><Relationship Id="rId195" Type="http://schemas.openxmlformats.org/officeDocument/2006/relationships/hyperlink" Target="https://onlineonly.christies.com/s/handbags-online-paris-edit/limited-edition-blue-pink-gradation-taurillon-leather-mini-soft-trunk-116/278771" TargetMode="External"/><Relationship Id="rId194" Type="http://schemas.openxmlformats.org/officeDocument/2006/relationships/hyperlink" Target="https://onlineonly.christies.com/s/handbags-online-new-york-edit/shiny-black-crocodile-brea-mm-gold-hardware-199/260502" TargetMode="External"/><Relationship Id="rId193" Type="http://schemas.openxmlformats.org/officeDocument/2006/relationships/hyperlink" Target="https://onlineonly.christies.com/s/handbags-online-new-york-edit/custom-blue-epi-alzer-65-trunk-brass-hardware-116/260300" TargetMode="External"/><Relationship Id="rId192" Type="http://schemas.openxmlformats.org/officeDocument/2006/relationships/hyperlink" Target="https://www.christies.com/en/lot/lot-6399678" TargetMode="External"/><Relationship Id="rId191" Type="http://schemas.openxmlformats.org/officeDocument/2006/relationships/hyperlink" Target="https://onlineonly.christies.com/s/legendary-trunks-european-private-collection/special-order-monogram-canvas-perfume-trunk-brass-hardware-72/227396" TargetMode="External"/><Relationship Id="rId190" Type="http://schemas.openxmlformats.org/officeDocument/2006/relationships/hyperlink" Target="https://onlineonly.christies.com/s/legendary-trunks-european-private-collection/gris-trianon-coated-canvas-rounded-lid-trunk-black-lacquered-iron-58/227579" TargetMode="External"/><Relationship Id="rId19" Type="http://schemas.openxmlformats.org/officeDocument/2006/relationships/hyperlink" Target="https://www.christies.com/en/lot/lot-6399673" TargetMode="External"/><Relationship Id="rId189" Type="http://schemas.openxmlformats.org/officeDocument/2006/relationships/hyperlink" Target="https://www.christies.com/en/lot/lot-5961569" TargetMode="External"/><Relationship Id="rId188" Type="http://schemas.openxmlformats.org/officeDocument/2006/relationships/hyperlink" Target="https://onlineonly.christies.com/s/handbags-online-paris-edit/limited-edition-blanc-neige-taurillon-leather-artycapucines-gold-76/167943" TargetMode="External"/><Relationship Id="rId187" Type="http://schemas.openxmlformats.org/officeDocument/2006/relationships/hyperlink" Target="https://onlineonly.christies.com/s/handbags-accessories/classic-monogram-canvas-trunk-brass-hardware-218/65438" TargetMode="External"/><Relationship Id="rId186" Type="http://schemas.openxmlformats.org/officeDocument/2006/relationships/hyperlink" Target="https://onlineonly.christies.com/s/handbags-online-paris-edit/group-two-limited-edition-monogramouflage-speedy-35-gold-hardware-77/200888" TargetMode="External"/><Relationship Id="rId185" Type="http://schemas.openxmlformats.org/officeDocument/2006/relationships/hyperlink" Target="https://www.christies.com/en/lot/lot-6031039" TargetMode="External"/><Relationship Id="rId184" Type="http://schemas.openxmlformats.org/officeDocument/2006/relationships/hyperlink" Target="https://www.christies.com/en/lot/lot-5532268" TargetMode="External"/><Relationship Id="rId183" Type="http://schemas.openxmlformats.org/officeDocument/2006/relationships/hyperlink" Target="https://www.christies.com/en/lot/lot-6158537" TargetMode="External"/><Relationship Id="rId182" Type="http://schemas.openxmlformats.org/officeDocument/2006/relationships/hyperlink" Target="https://onlineonly.christies.com/s/handbags-online-paris-edit-unlocking-orange-dream-part-ii/limited-edition-black-monogram-multicolore-canvas-speedy-soft-30-210/257211" TargetMode="External"/><Relationship Id="rId181" Type="http://schemas.openxmlformats.org/officeDocument/2006/relationships/hyperlink" Target="https://www.christies.com/en/lot/lot-6081074" TargetMode="External"/><Relationship Id="rId180" Type="http://schemas.openxmlformats.org/officeDocument/2006/relationships/hyperlink" Target="https://www.christies.com/en/lot/lot-6205652" TargetMode="External"/><Relationship Id="rId18" Type="http://schemas.openxmlformats.org/officeDocument/2006/relationships/hyperlink" Target="https://www.christies.com/en/lot/lot-6558305" TargetMode="External"/><Relationship Id="rId179" Type="http://schemas.openxmlformats.org/officeDocument/2006/relationships/hyperlink" Target="https://onlineonly.christies.com/s/handbags-accessories/set-two-classic-monogram-canvas-bisten-80-alzer-70-trunks-brass-213/65433" TargetMode="External"/><Relationship Id="rId178" Type="http://schemas.openxmlformats.org/officeDocument/2006/relationships/hyperlink" Target="https://onlineonly.christies.com/s/handbags-online-new-york-edit/gunmetal-alligator-petite-malle-silver-hardware-173/260485" TargetMode="External"/><Relationship Id="rId177" Type="http://schemas.openxmlformats.org/officeDocument/2006/relationships/hyperlink" Target="https://onlineonly.christies.com/s/handbags-online-new-york-edit/runway-shiny-ombre-cream-crocodile-city-steamer-one-handle-bag-gold-153/260338" TargetMode="External"/><Relationship Id="rId176" Type="http://schemas.openxmlformats.org/officeDocument/2006/relationships/hyperlink" Target="https://onlineonly.christies.com/s/legendary-trunks-european-private-collection-part-ii/green-coated-canvas-high-trunk-black-lacquered-iron-84/263030" TargetMode="External"/><Relationship Id="rId175" Type="http://schemas.openxmlformats.org/officeDocument/2006/relationships/hyperlink" Target="https://www.christies.com/en/lot/lot-6497504" TargetMode="External"/><Relationship Id="rId174" Type="http://schemas.openxmlformats.org/officeDocument/2006/relationships/hyperlink" Target="https://onlineonly.christies.com/s/legendary-trunks-european-private-collection/monogram-canvas-flower-trunk-brass-hardware-96/227596" TargetMode="External"/><Relationship Id="rId173" Type="http://schemas.openxmlformats.org/officeDocument/2006/relationships/hyperlink" Target="https://onlineonly.christies.com/s/legendary-trunks-european-private-collection/monogram-canvas-lp-records-trunk-brass-hardware-75/227589" TargetMode="External"/><Relationship Id="rId172" Type="http://schemas.openxmlformats.org/officeDocument/2006/relationships/hyperlink" Target="https://www.christies.com/en/lot/lot-5379166" TargetMode="External"/><Relationship Id="rId171" Type="http://schemas.openxmlformats.org/officeDocument/2006/relationships/hyperlink" Target="https://www.christies.com/en/lot/lot-5538118" TargetMode="External"/><Relationship Id="rId170" Type="http://schemas.openxmlformats.org/officeDocument/2006/relationships/hyperlink" Target="https://onlineonly.christies.com/s/handbags-online-new-york-edit/limited-edition-van-gogh-masters-collection-printed-canvas-leather-172/223515" TargetMode="External"/><Relationship Id="rId17" Type="http://schemas.openxmlformats.org/officeDocument/2006/relationships/hyperlink" Target="https://onlineonly.christies.com/s/legendary-trunks-european-private-collection-part-ii/shiny-brown-porosus-crocodile-tortoise-shell-toiletry-kit-trunk-brass-69/263017" TargetMode="External"/><Relationship Id="rId169" Type="http://schemas.openxmlformats.org/officeDocument/2006/relationships/hyperlink" Target="https://onlineonly.christies.com/s/handbags-online-hong-kong-edit/absolute-black-monogram-taurillon-leather-keepall-bandouliere-50-black-257/250028" TargetMode="External"/><Relationship Id="rId168" Type="http://schemas.openxmlformats.org/officeDocument/2006/relationships/hyperlink" Target="https://www.christies.com/en/lot/lot-6234556" TargetMode="External"/><Relationship Id="rId167" Type="http://schemas.openxmlformats.org/officeDocument/2006/relationships/hyperlink" Target="https://onlineonly.christies.com/s/handbags-online-new-york-edit/limited-edition-multicolore-monogram-dalmatian-sac-rabat-takashi-182/284509" TargetMode="External"/><Relationship Id="rId166" Type="http://schemas.openxmlformats.org/officeDocument/2006/relationships/hyperlink" Target="https://www.christies.com/en/lot/lot-5975636" TargetMode="External"/><Relationship Id="rId165" Type="http://schemas.openxmlformats.org/officeDocument/2006/relationships/hyperlink" Target="https://www.christies.com/en/lot/lot-5975635" TargetMode="External"/><Relationship Id="rId164" Type="http://schemas.openxmlformats.org/officeDocument/2006/relationships/hyperlink" Target="https://onlineonly.christies.com/s/legendary-trunks-european-private-collection-part-ii/natural-cowhide-leather-cabin-110-trunk-brass-hardware-23/262971" TargetMode="External"/><Relationship Id="rId163" Type="http://schemas.openxmlformats.org/officeDocument/2006/relationships/hyperlink" Target="https://onlineonly.christies.com/s/legendary-trunks-european-private-collection-part-ii/black-vuittonite-hunting-rifle-trunk-brass-hardware-12/262959" TargetMode="External"/><Relationship Id="rId162" Type="http://schemas.openxmlformats.org/officeDocument/2006/relationships/hyperlink" Target="https://www.christies.com/en/lot/lot-5663170" TargetMode="External"/><Relationship Id="rId161" Type="http://schemas.openxmlformats.org/officeDocument/2006/relationships/hyperlink" Target="https://onlineonly.christies.com/s/handbags-online-new-york-edit/matte-black-crocodile-soft-lockit-mm-silver-hardware-200/260501" TargetMode="External"/><Relationship Id="rId160" Type="http://schemas.openxmlformats.org/officeDocument/2006/relationships/hyperlink" Target="https://onlineonly.christies.com/s/handbags-online-new-york-edit/shiny-black-crocodile-blue-cream-calfskin-leather-city-steamer-mm-gold-99/260283" TargetMode="External"/><Relationship Id="rId16" Type="http://schemas.openxmlformats.org/officeDocument/2006/relationships/hyperlink" Target="https://onlineonly.christies.com/s/legendary-trunks-european-private-collection/rare-monogram-canvas-casino-trunk-brass-hardware-36/227569" TargetMode="External"/><Relationship Id="rId159" Type="http://schemas.openxmlformats.org/officeDocument/2006/relationships/hyperlink" Target="https://www.christies.com/en/lot/lot-5935423" TargetMode="External"/><Relationship Id="rId158" Type="http://schemas.openxmlformats.org/officeDocument/2006/relationships/hyperlink" Target="https://onlineonly.christies.com/s/handbags-online-new-york-edit/limited-edition-classic-monogram-iconoclasts-sac-plat-gold-hardware-135/268810" TargetMode="External"/><Relationship Id="rId157" Type="http://schemas.openxmlformats.org/officeDocument/2006/relationships/hyperlink" Target="https://onlineonly.christies.com/s/handbags-accessories/monogram-pvc-prism-bandouliere-keepall-50-lucite-hardware-virgil-abloh-38/70490" TargetMode="External"/><Relationship Id="rId156" Type="http://schemas.openxmlformats.org/officeDocument/2006/relationships/hyperlink" Target="https://www.christies.com/en/lot/lot-6238897" TargetMode="External"/><Relationship Id="rId155" Type="http://schemas.openxmlformats.org/officeDocument/2006/relationships/hyperlink" Target="https://onlineonly.christies.com/s/handbags-online-new-york-edit/shiny-orange-alligator-black-petite-malle-clutch-silver-hardware-92/187269" TargetMode="External"/><Relationship Id="rId154" Type="http://schemas.openxmlformats.org/officeDocument/2006/relationships/hyperlink" Target="https://onlineonly.christies.com/s/handbags-online-new-york-edit/limited-edition-multicolor-calfskin-leather-artycapucines-blue-acrylic-166/223440" TargetMode="External"/><Relationship Id="rId153" Type="http://schemas.openxmlformats.org/officeDocument/2006/relationships/hyperlink" Target="https://www.christies.com/en/lot/lot-6081023" TargetMode="External"/><Relationship Id="rId152" Type="http://schemas.openxmlformats.org/officeDocument/2006/relationships/hyperlink" Target="https://onlineonly.christies.com/s/handbags-online-hong-kong-edit/limited-edition-black-empreinte-leather-tote-bag-black-hardware-comme-258/250030" TargetMode="External"/><Relationship Id="rId151" Type="http://schemas.openxmlformats.org/officeDocument/2006/relationships/hyperlink" Target="https://onlineonly.christies.com/s/handbags-online-hong-kong-edit/limited-edition-painted-pumpkin-monogram-keepall-bandouliere-45-gold-254/250025" TargetMode="External"/><Relationship Id="rId150" Type="http://schemas.openxmlformats.org/officeDocument/2006/relationships/hyperlink" Target="https://www.christies.com/en/lot/lot-6319606" TargetMode="External"/><Relationship Id="rId15" Type="http://schemas.openxmlformats.org/officeDocument/2006/relationships/hyperlink" Target="https://onlineonly.christies.com/s/legendary-trunks-european-private-collection/rare-hermetic-zinc-explorer-trunk-brass-hardware-59/227580" TargetMode="External"/><Relationship Id="rId149" Type="http://schemas.openxmlformats.org/officeDocument/2006/relationships/hyperlink" Target="https://onlineonly.christies.com/s/handbags-online-hong-kong-edit/limited-edition-artycapucines-calfskin-leather-capucines-bb-enamel-247/228970" TargetMode="External"/><Relationship Id="rId148" Type="http://schemas.openxmlformats.org/officeDocument/2006/relationships/hyperlink" Target="https://www.christies.com/en/lot/lot-6104982" TargetMode="External"/><Relationship Id="rId147" Type="http://schemas.openxmlformats.org/officeDocument/2006/relationships/hyperlink" Target="https://onlineonly.christies.com/s/handbags-online-new-york-edit/limited-edition-chaitaigne-multicolor-leather-catogram-city-steamer-mm-134/268807" TargetMode="External"/><Relationship Id="rId146" Type="http://schemas.openxmlformats.org/officeDocument/2006/relationships/hyperlink" Target="https://onlineonly.christies.com/s/handbags-online-paris-edit/sharon-stone-amfar-vanity-case-179/168065" TargetMode="External"/><Relationship Id="rId145" Type="http://schemas.openxmlformats.org/officeDocument/2006/relationships/hyperlink" Target="https://onlineonly.christies.com/s/collection-donna-summer/sharon-stone-amfar-brown-leather-vanity-case-42/186930" TargetMode="External"/><Relationship Id="rId144" Type="http://schemas.openxmlformats.org/officeDocument/2006/relationships/hyperlink" Target="https://onlineonly.christies.com/s/handbags-online-new-york-edit/runway-turquoise-gold-monogram-suede-theda-pm-gold-hardware-marc-145/284184" TargetMode="External"/><Relationship Id="rId143" Type="http://schemas.openxmlformats.org/officeDocument/2006/relationships/hyperlink" Target="https://onlineonly.christies.com/s/handbags-online-london-edition/matte-black-alligator-shiny-blue-lizard-egg-bag-gold-hardware-59/88082" TargetMode="External"/><Relationship Id="rId142" Type="http://schemas.openxmlformats.org/officeDocument/2006/relationships/hyperlink" Target="https://onlineonly.christies.com/s/legendary-trunks-european-private-collection-part-ii/natural-cowhide-leather-trunk-brass-hardware-97/263044" TargetMode="External"/><Relationship Id="rId141" Type="http://schemas.openxmlformats.org/officeDocument/2006/relationships/hyperlink" Target="https://onlineonly.christies.com/s/handbags-online-paris-edit/limited-edition-poussin-masters-collection-canvas-leather-keepall-50-30/200841" TargetMode="External"/><Relationship Id="rId140" Type="http://schemas.openxmlformats.org/officeDocument/2006/relationships/hyperlink" Target="https://onlineonly.christies.com/s/legendary-trunks-european-private-collection/orange-vuittonite-canvas-steamer-trunk-brass-hardware-14/227552" TargetMode="External"/><Relationship Id="rId14" Type="http://schemas.openxmlformats.org/officeDocument/2006/relationships/hyperlink" Target="https://onlineonly.christies.com/s/legendary-trunks-european-private-collection/monogram-canvas-courrier-110-trunk-brass-hardware-51/227377" TargetMode="External"/><Relationship Id="rId139" Type="http://schemas.openxmlformats.org/officeDocument/2006/relationships/hyperlink" Target="https://onlineonly.christies.com/s/handbags-online-new-york-edit/boite-bouteille-classic-monogram-canvas-travel-jewelry-case-brass-196/242698" TargetMode="External"/><Relationship Id="rId138" Type="http://schemas.openxmlformats.org/officeDocument/2006/relationships/hyperlink" Target="https://onlineonly.christies.com/s/handbags-online-new-york-edit/limited-edition-classic-monogram-canvas-flower-head-superflat-83/242583" TargetMode="External"/><Relationship Id="rId137" Type="http://schemas.openxmlformats.org/officeDocument/2006/relationships/hyperlink" Target="https://www.christies.com/en/lot/lot-6481838" TargetMode="External"/><Relationship Id="rId136" Type="http://schemas.openxmlformats.org/officeDocument/2006/relationships/hyperlink" Target="https://onlineonly.christies.com/s/handbags-online-paris-edit/limited-edition-metallic-lizard-mini-capucines-silver-hardware-251/278680" TargetMode="External"/><Relationship Id="rId135" Type="http://schemas.openxmlformats.org/officeDocument/2006/relationships/hyperlink" Target="https://www.christies.com/en/lot/lot-6293487" TargetMode="External"/><Relationship Id="rId134" Type="http://schemas.openxmlformats.org/officeDocument/2006/relationships/hyperlink" Target="https://www.christies.com/en/lot/lot-6497505" TargetMode="External"/><Relationship Id="rId133" Type="http://schemas.openxmlformats.org/officeDocument/2006/relationships/hyperlink" Target="https://onlineonly.christies.com/s/handbags-online-paris-edit-unlocking-orange-dream-part-ii/rare-rustic-canvas-doll-wardrobe-trunk-metal-hardware-271/257272" TargetMode="External"/><Relationship Id="rId132" Type="http://schemas.openxmlformats.org/officeDocument/2006/relationships/hyperlink" Target="https://onlineonly.christies.com/s/handbags-online-paris-edit/group-three-monogram-canvas-leather-blisten-75-two-alzer-75-suitcases-442/236984" TargetMode="External"/><Relationship Id="rId131" Type="http://schemas.openxmlformats.org/officeDocument/2006/relationships/hyperlink" Target="https://onlineonly.christies.com/s/legendary-trunks-european-private-collection-part-ii/gris-trianon-coated-canvas-trunk-black-lacquered-iron-brass-hardware-40/262985" TargetMode="External"/><Relationship Id="rId130" Type="http://schemas.openxmlformats.org/officeDocument/2006/relationships/hyperlink" Target="https://www.christies.com/en/lot/lot-6234572" TargetMode="External"/><Relationship Id="rId13" Type="http://schemas.openxmlformats.org/officeDocument/2006/relationships/hyperlink" Target="https://onlineonly.christies.com/s/greats-streetwear-sneakers-collectibles/louis-vuitton-limited-edition-yellow-steamer-trunk-virgil-abloh-28/173076" TargetMode="External"/><Relationship Id="rId129" Type="http://schemas.openxmlformats.org/officeDocument/2006/relationships/hyperlink" Target="https://www.christies.com/en/lot/lot-6234569" TargetMode="External"/><Relationship Id="rId128" Type="http://schemas.openxmlformats.org/officeDocument/2006/relationships/hyperlink" Target="https://www.christies.com/en/lot/lot-6497509" TargetMode="External"/><Relationship Id="rId127" Type="http://schemas.openxmlformats.org/officeDocument/2006/relationships/hyperlink" Target="https://onlineonly.christies.com/s/handbags-online-new-york-edit/matte-black-crocodile-monogram-canvas-christopher-backpack-silver-252/284553" TargetMode="External"/><Relationship Id="rId126" Type="http://schemas.openxmlformats.org/officeDocument/2006/relationships/hyperlink" Target="https://onlineonly.christies.com/s/audrey-hepburn-personal-collection-part-iii/alzer-hard-suitcase-165/56157" TargetMode="External"/><Relationship Id="rId125" Type="http://schemas.openxmlformats.org/officeDocument/2006/relationships/hyperlink" Target="https://onlineonly.christies.com/s/legendary-trunks-european-private-collection/beige-brown-striped-canvas-cabin-90-trunk-brass-hardware-4/227544" TargetMode="External"/><Relationship Id="rId124" Type="http://schemas.openxmlformats.org/officeDocument/2006/relationships/hyperlink" Target="https://onlineonly.christies.com/s/legendary-trunks-european-private-collection/monogram-canvas-backgammon-suitcase-brass-hardware-64/227585" TargetMode="External"/><Relationship Id="rId123" Type="http://schemas.openxmlformats.org/officeDocument/2006/relationships/hyperlink" Target="https://onlineonly.christies.com/s/handbags-online-paris-edit/limited-edition-classic-monogram-canvas-no-7-alzer-soft-55-brass-299/278725" TargetMode="External"/><Relationship Id="rId122" Type="http://schemas.openxmlformats.org/officeDocument/2006/relationships/hyperlink" Target="https://onlineonly.christies.com/s/handbags-online-hong-kong-edit/limited-edition-artycapucines-mm-zeng-fanzhi-255/250029" TargetMode="External"/><Relationship Id="rId121" Type="http://schemas.openxmlformats.org/officeDocument/2006/relationships/hyperlink" Target="https://www.christies.com/en/lot/lot-6022779" TargetMode="External"/><Relationship Id="rId120" Type="http://schemas.openxmlformats.org/officeDocument/2006/relationships/hyperlink" Target="https://onlineonly.christies.com/s/handbags-online-new-york-edit/limited-edition-multicolor-leather-artycapucines-78/223334" TargetMode="External"/><Relationship Id="rId12" Type="http://schemas.openxmlformats.org/officeDocument/2006/relationships/hyperlink" Target="https://onlineonly.christies.com/s/legendary-trunks-european-private-collection/monogram-canvas-library-trunk-brass-hardware-22/227559" TargetMode="External"/><Relationship Id="rId119" Type="http://schemas.openxmlformats.org/officeDocument/2006/relationships/hyperlink" Target="https://www.christies.com/en/lot/lot-6293490" TargetMode="External"/><Relationship Id="rId118" Type="http://schemas.openxmlformats.org/officeDocument/2006/relationships/hyperlink" Target="https://onlineonly.christies.com/s/legendary-trunks-european-private-collection-part-ii/monogram-canvas-hat-trunk-brass-hardware-70/263021" TargetMode="External"/><Relationship Id="rId117" Type="http://schemas.openxmlformats.org/officeDocument/2006/relationships/hyperlink" Target="https://onlineonly.christies.com/s/legendary-trunks-european-private-collection-part-ii/monogram-canvas-cabin-110-trunk-brass-hardware-56/263006" TargetMode="External"/><Relationship Id="rId116" Type="http://schemas.openxmlformats.org/officeDocument/2006/relationships/hyperlink" Target="https://onlineonly.christies.com/s/handbags-online-paris-edit/monogram-canvas-wardrobe-trunk-brass-hardware-181/168044" TargetMode="External"/><Relationship Id="rId115" Type="http://schemas.openxmlformats.org/officeDocument/2006/relationships/hyperlink" Target="https://onlineonly.christies.com/s/handbags-online-london-edition/shiny-olive-green-niloticus-crocodile-petite-boite-chapeau-gold-94/88119" TargetMode="External"/><Relationship Id="rId114" Type="http://schemas.openxmlformats.org/officeDocument/2006/relationships/hyperlink" Target="https://onlineonly.christies.com/s/handbags-online-new-york-edit/limited-edition-classic-monogram-canvas-panda-superflat-jewellery-box-70/242571" TargetMode="External"/><Relationship Id="rId113" Type="http://schemas.openxmlformats.org/officeDocument/2006/relationships/hyperlink" Target="https://www.christies.com/en/lot/lot-6558301" TargetMode="External"/><Relationship Id="rId112" Type="http://schemas.openxmlformats.org/officeDocument/2006/relationships/hyperlink" Target="https://www.christies.com/en/lot/lot-6205543" TargetMode="External"/><Relationship Id="rId111" Type="http://schemas.openxmlformats.org/officeDocument/2006/relationships/hyperlink" Target="https://www.christies.com/en/lot/lot-6206015" TargetMode="External"/><Relationship Id="rId110" Type="http://schemas.openxmlformats.org/officeDocument/2006/relationships/hyperlink" Target="https://onlineonly.christies.com/s/handbags-online/limited-edition-iconoclast-monogram-canvas-natural-leather-twisted-box-231/221508" TargetMode="External"/><Relationship Id="rId11" Type="http://schemas.openxmlformats.org/officeDocument/2006/relationships/hyperlink" Target="https://onlineonly.christies.com/s/legendary-trunks-european-private-collection-part-ii/monogram-canvas-desk-trunk-thirty-pairs-shoes-brass-hardware-31/262977" TargetMode="External"/><Relationship Id="rId109" Type="http://schemas.openxmlformats.org/officeDocument/2006/relationships/hyperlink" Target="https://onlineonly.christies.com/s/handbags-online/fall-winter-runway-metallic-silver-mirror-monogram-calfskin-cotteville-90/221369" TargetMode="External"/><Relationship Id="rId108" Type="http://schemas.openxmlformats.org/officeDocument/2006/relationships/hyperlink" Target="https://onlineonly.christies.com/s/legendary-trunks-european-private-collection-part-ii/monogram-canvas-ideal-trunk-brass-hardware-73/263019" TargetMode="External"/><Relationship Id="rId107" Type="http://schemas.openxmlformats.org/officeDocument/2006/relationships/hyperlink" Target="https://onlineonly.christies.com/s/legendary-trunks-european-private-collection-part-ii/gris-trianon-canvas-trunk-brass-hardware-39/262986" TargetMode="External"/><Relationship Id="rId106" Type="http://schemas.openxmlformats.org/officeDocument/2006/relationships/hyperlink" Target="https://onlineonly.christies.com/s/handbags-accessories/classic-monogram-canvas-womens-steamer-trunk-brass-hardware-257/57740" TargetMode="External"/><Relationship Id="rId105" Type="http://schemas.openxmlformats.org/officeDocument/2006/relationships/hyperlink" Target="https://www.christies.com/en/lot/lot-6099908" TargetMode="External"/><Relationship Id="rId104" Type="http://schemas.openxmlformats.org/officeDocument/2006/relationships/hyperlink" Target="https://onlineonly.christies.com/s/legendary-trunks-european-private-collection-part-ii/red-brown-striped-canvas-mens-high-120-trunk-black-lacquered-iron-65/263012" TargetMode="External"/><Relationship Id="rId103" Type="http://schemas.openxmlformats.org/officeDocument/2006/relationships/hyperlink" Target="https://onlineonly.christies.com/s/legendary-trunks-european-private-collection-part-ii/monogram-canvas-cabin-90-trunk-brass-hardware-24/262972" TargetMode="External"/><Relationship Id="rId102" Type="http://schemas.openxmlformats.org/officeDocument/2006/relationships/hyperlink" Target="https://onlineonly.christies.com/s/legendary-trunks-european-private-collection-part-ii/orange-vuittonite-canvas-wardrobe-trunk-brass-hardware-14/262962" TargetMode="External"/><Relationship Id="rId101" Type="http://schemas.openxmlformats.org/officeDocument/2006/relationships/hyperlink" Target="https://www.christies.com/en/lot/lot-6532731" TargetMode="External"/><Relationship Id="rId100" Type="http://schemas.openxmlformats.org/officeDocument/2006/relationships/hyperlink" Target="https://onlineonly.christies.com/s/handbags-online-paris-edit/bleu-turquoise-ostrich-mini-capucines-silver-hardware-175/278830" TargetMode="External"/><Relationship Id="rId10" Type="http://schemas.openxmlformats.org/officeDocument/2006/relationships/hyperlink" Target="https://onlineonly.christies.com/s/legendary-trunks-european-private-collection/red-vuittonite-canvas-trunk-brass-hardware-34/227357" TargetMode="External"/><Relationship Id="rId1" Type="http://schemas.openxmlformats.org/officeDocument/2006/relationships/hyperlink" Target="https://onlineonly.christies.com/s/legendary-trunks-european-private-collection/rare-hermetic-copper-explorer-wardrobe-trunk-brass-hardware-50/227376"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32"/>
  <sheetViews>
    <sheetView workbookViewId="0">
      <selection activeCell="A1" sqref="A1"/>
    </sheetView>
  </sheetViews>
  <sheetFormatPr defaultColWidth="8.66666666666667" defaultRowHeight="14.4"/>
  <cols>
    <col min="1" max="1" width="110" style="1" customWidth="1"/>
  </cols>
  <sheetData>
    <row r="1" ht="17.25" customHeight="1" spans="1:1">
      <c r="A1" s="44" t="s">
        <v>0</v>
      </c>
    </row>
    <row r="2" ht="14.25" customHeight="1" spans="1:1">
      <c r="A2" s="10"/>
    </row>
    <row r="3" ht="14.25" customHeight="1" spans="1:1">
      <c r="A3" s="31" t="s">
        <v>1</v>
      </c>
    </row>
    <row r="4" ht="30" customHeight="1" spans="1:1">
      <c r="A4" s="45" t="s">
        <v>2</v>
      </c>
    </row>
    <row r="5" ht="14.25" customHeight="1" spans="1:1">
      <c r="A5" s="10"/>
    </row>
    <row r="6" ht="14.25" customHeight="1" spans="1:1">
      <c r="A6" s="31" t="s">
        <v>3</v>
      </c>
    </row>
    <row r="7" ht="30" customHeight="1" spans="1:1">
      <c r="A7" s="45" t="s">
        <v>4</v>
      </c>
    </row>
    <row r="8" ht="14.25" customHeight="1" spans="1:1">
      <c r="A8" s="10"/>
    </row>
    <row r="9" ht="30" customHeight="1" spans="1:1">
      <c r="A9" s="45" t="s">
        <v>5</v>
      </c>
    </row>
    <row r="10" ht="14.25" customHeight="1" spans="1:1">
      <c r="A10" s="10"/>
    </row>
    <row r="11" ht="14.25" customHeight="1" spans="1:1">
      <c r="A11" s="31" t="s">
        <v>6</v>
      </c>
    </row>
    <row r="12" ht="30" customHeight="1" spans="1:1">
      <c r="A12" s="45" t="s">
        <v>7</v>
      </c>
    </row>
    <row r="13" ht="14.25" customHeight="1" spans="1:1">
      <c r="A13" s="10"/>
    </row>
    <row r="14" ht="14.25" customHeight="1" spans="1:1">
      <c r="A14" s="31" t="s">
        <v>8</v>
      </c>
    </row>
    <row r="15" ht="14.25" customHeight="1" spans="1:1">
      <c r="A15" s="45" t="s">
        <v>9</v>
      </c>
    </row>
    <row r="16" ht="14.25" customHeight="1" spans="1:1">
      <c r="A16" s="45" t="s">
        <v>10</v>
      </c>
    </row>
    <row r="17" ht="14.25" customHeight="1" spans="1:1">
      <c r="A17" s="45" t="s">
        <v>11</v>
      </c>
    </row>
    <row r="18" ht="14.25" customHeight="1" spans="1:1">
      <c r="A18" s="10"/>
    </row>
    <row r="19" ht="14.25" customHeight="1" spans="1:1">
      <c r="A19" s="31" t="s">
        <v>12</v>
      </c>
    </row>
    <row r="20" ht="14.25" customHeight="1" spans="1:1">
      <c r="A20" s="45" t="s">
        <v>13</v>
      </c>
    </row>
    <row r="21" ht="14.25" customHeight="1" spans="1:1">
      <c r="A21" s="45" t="s">
        <v>14</v>
      </c>
    </row>
    <row r="22" ht="14.25" customHeight="1" spans="1:1">
      <c r="A22" s="45" t="s">
        <v>15</v>
      </c>
    </row>
    <row r="23" ht="14.25" customHeight="1" spans="1:1">
      <c r="A23" s="45" t="s">
        <v>16</v>
      </c>
    </row>
    <row r="24" ht="14.25" customHeight="1" spans="1:1">
      <c r="A24" s="45" t="s">
        <v>17</v>
      </c>
    </row>
    <row r="25" ht="14.25" customHeight="1" spans="1:1">
      <c r="A25" s="45" t="s">
        <v>18</v>
      </c>
    </row>
    <row r="26" ht="14.25" customHeight="1" spans="1:1">
      <c r="A26" s="45" t="s">
        <v>19</v>
      </c>
    </row>
    <row r="27" ht="14.25" customHeight="1" spans="1:1">
      <c r="A27" s="10"/>
    </row>
    <row r="28" ht="14.25" customHeight="1" spans="1:1">
      <c r="A28" s="3" t="s">
        <v>20</v>
      </c>
    </row>
    <row r="29" ht="14.25" customHeight="1" spans="1:1">
      <c r="A29" s="10"/>
    </row>
    <row r="30" ht="14.25" customHeight="1" spans="1:1">
      <c r="A30" s="43"/>
    </row>
    <row r="31" ht="14.25" customHeight="1" spans="1:1">
      <c r="A31" s="10"/>
    </row>
    <row r="32" ht="14.25" customHeight="1" spans="1:1">
      <c r="A32" s="10"/>
    </row>
  </sheetData>
  <pageMargins left="0.75" right="0.75" top="1" bottom="1" header="0.511811023622047" footer="0.511811023622047"/>
  <pageSetup paperSize="9" orientation="portrait" horizontalDpi="300" vertic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65"/>
  <sheetViews>
    <sheetView workbookViewId="0">
      <selection activeCell="A1" sqref="A1"/>
    </sheetView>
  </sheetViews>
  <sheetFormatPr defaultColWidth="8.66666666666667" defaultRowHeight="14.4" outlineLevelCol="1"/>
  <cols>
    <col min="1" max="1" width="24" style="1" customWidth="1"/>
    <col min="2" max="2" width="88" style="1" customWidth="1"/>
  </cols>
  <sheetData>
    <row r="1" ht="17.25" customHeight="1" spans="1:1">
      <c r="A1" s="2" t="s">
        <v>21</v>
      </c>
    </row>
    <row r="2" ht="27.75" customHeight="1" spans="1:1">
      <c r="A2" s="3" t="s">
        <v>22</v>
      </c>
    </row>
    <row r="4" ht="14.25" customHeight="1" spans="1:2">
      <c r="A4" s="9" t="s">
        <v>23</v>
      </c>
      <c r="B4" s="9" t="s">
        <v>24</v>
      </c>
    </row>
    <row r="5" ht="14.25" customHeight="1" spans="2:2">
      <c r="B5" s="10" t="s">
        <v>25</v>
      </c>
    </row>
    <row r="6" ht="14.25" customHeight="1" spans="2:2">
      <c r="B6" s="10" t="s">
        <v>26</v>
      </c>
    </row>
    <row r="7" ht="14.25" customHeight="1" spans="2:2">
      <c r="B7" s="10" t="s">
        <v>27</v>
      </c>
    </row>
    <row r="8" ht="14.25" customHeight="1" spans="2:2">
      <c r="B8" s="10" t="s">
        <v>28</v>
      </c>
    </row>
    <row r="9" ht="14.25" customHeight="1" spans="2:2">
      <c r="B9" s="10" t="s">
        <v>29</v>
      </c>
    </row>
    <row r="11" ht="14.25" customHeight="1" spans="1:2">
      <c r="A11" s="43"/>
      <c r="B11" s="15"/>
    </row>
    <row r="12" ht="14.25" customHeight="1" spans="1:2">
      <c r="A12" s="9" t="s">
        <v>30</v>
      </c>
      <c r="B12" s="9" t="s">
        <v>31</v>
      </c>
    </row>
    <row r="13" ht="14.25" customHeight="1" spans="2:2">
      <c r="B13" s="10" t="s">
        <v>32</v>
      </c>
    </row>
    <row r="14" ht="14.25" customHeight="1" spans="2:2">
      <c r="B14" s="10" t="s">
        <v>33</v>
      </c>
    </row>
    <row r="15" ht="14.25" customHeight="1" spans="2:2">
      <c r="B15" s="10" t="s">
        <v>34</v>
      </c>
    </row>
    <row r="16" ht="14.25" customHeight="1" spans="2:2">
      <c r="B16" s="10" t="s">
        <v>35</v>
      </c>
    </row>
    <row r="17" ht="14.25" customHeight="1" spans="2:2">
      <c r="B17" s="10" t="s">
        <v>36</v>
      </c>
    </row>
    <row r="18" ht="14.25" customHeight="1" spans="1:2">
      <c r="A18" s="43"/>
      <c r="B18" s="15"/>
    </row>
    <row r="19" ht="14.25" customHeight="1" spans="2:2">
      <c r="B19" s="10"/>
    </row>
    <row r="20" ht="14.25" customHeight="1" spans="1:2">
      <c r="A20" s="9" t="s">
        <v>37</v>
      </c>
      <c r="B20" s="9" t="s">
        <v>38</v>
      </c>
    </row>
    <row r="21" ht="14.25" customHeight="1" spans="2:2">
      <c r="B21" s="10" t="s">
        <v>39</v>
      </c>
    </row>
    <row r="22" ht="14.25" customHeight="1" spans="2:2">
      <c r="B22" s="10" t="s">
        <v>40</v>
      </c>
    </row>
    <row r="23" ht="14.25" customHeight="1" spans="2:2">
      <c r="B23" s="10" t="s">
        <v>41</v>
      </c>
    </row>
    <row r="24" ht="14.25" customHeight="1" spans="2:2">
      <c r="B24" s="10" t="s">
        <v>42</v>
      </c>
    </row>
    <row r="25" ht="14.25" customHeight="1" spans="1:2">
      <c r="A25" s="43"/>
      <c r="B25" s="10" t="s">
        <v>43</v>
      </c>
    </row>
    <row r="26" ht="14.25" customHeight="1" spans="2:2">
      <c r="B26" s="10"/>
    </row>
    <row r="27" ht="14.25" customHeight="1" spans="2:2">
      <c r="B27" s="10"/>
    </row>
    <row r="28" ht="14.25" customHeight="1" spans="1:2">
      <c r="A28" s="9" t="s">
        <v>44</v>
      </c>
      <c r="B28" s="9" t="s">
        <v>45</v>
      </c>
    </row>
    <row r="29" ht="14.25" customHeight="1" spans="2:2">
      <c r="B29" s="10" t="s">
        <v>46</v>
      </c>
    </row>
    <row r="30" ht="14.25" customHeight="1" spans="2:2">
      <c r="B30" s="10" t="s">
        <v>47</v>
      </c>
    </row>
    <row r="31" ht="14.25" customHeight="1" spans="2:2">
      <c r="B31" s="10" t="s">
        <v>48</v>
      </c>
    </row>
    <row r="32" ht="14.25" customHeight="1" spans="1:2">
      <c r="A32" s="43"/>
      <c r="B32" s="10" t="s">
        <v>49</v>
      </c>
    </row>
    <row r="33" ht="14.25" customHeight="1" spans="2:2">
      <c r="B33" s="10" t="s">
        <v>50</v>
      </c>
    </row>
    <row r="34" ht="14.25" customHeight="1" spans="2:2">
      <c r="B34" s="10"/>
    </row>
    <row r="35" ht="14.25" customHeight="1" spans="2:2">
      <c r="B35" s="10"/>
    </row>
    <row r="36" ht="14.25" customHeight="1" spans="1:2">
      <c r="A36" s="9" t="s">
        <v>51</v>
      </c>
      <c r="B36" s="9" t="s">
        <v>52</v>
      </c>
    </row>
    <row r="37" ht="14.25" customHeight="1" spans="2:2">
      <c r="B37" s="10" t="s">
        <v>53</v>
      </c>
    </row>
    <row r="38" ht="14.25" customHeight="1" spans="2:2">
      <c r="B38" s="10" t="s">
        <v>54</v>
      </c>
    </row>
    <row r="39" ht="14.25" customHeight="1" spans="1:2">
      <c r="A39" s="43"/>
      <c r="B39" s="10" t="s">
        <v>55</v>
      </c>
    </row>
    <row r="40" ht="14.25" customHeight="1" spans="2:2">
      <c r="B40" s="10" t="s">
        <v>56</v>
      </c>
    </row>
    <row r="41" ht="14.25" customHeight="1" spans="2:2">
      <c r="B41" s="10" t="s">
        <v>57</v>
      </c>
    </row>
    <row r="42" ht="14.25" customHeight="1" spans="2:2">
      <c r="B42" s="10"/>
    </row>
    <row r="43" ht="14.25" customHeight="1" spans="2:2">
      <c r="B43" s="10"/>
    </row>
    <row r="44" ht="14.25" customHeight="1" spans="1:2">
      <c r="A44" s="9" t="s">
        <v>58</v>
      </c>
      <c r="B44" s="9" t="s">
        <v>59</v>
      </c>
    </row>
    <row r="45" ht="14.25" customHeight="1" spans="2:2">
      <c r="B45" s="10" t="s">
        <v>60</v>
      </c>
    </row>
    <row r="46" ht="14.25" customHeight="1" spans="1:2">
      <c r="A46" s="43"/>
      <c r="B46" s="10" t="s">
        <v>61</v>
      </c>
    </row>
    <row r="47" ht="14.25" customHeight="1" spans="2:2">
      <c r="B47" s="10" t="s">
        <v>62</v>
      </c>
    </row>
    <row r="48" ht="14.25" customHeight="1" spans="2:2">
      <c r="B48" s="10" t="s">
        <v>63</v>
      </c>
    </row>
    <row r="49" ht="14.25" customHeight="1" spans="2:2">
      <c r="B49" s="10" t="s">
        <v>64</v>
      </c>
    </row>
    <row r="50" ht="14.25" customHeight="1" spans="2:2">
      <c r="B50" s="10"/>
    </row>
    <row r="51" ht="14.25" customHeight="1" spans="2:2">
      <c r="B51" s="10"/>
    </row>
    <row r="52" ht="14.25" customHeight="1" spans="1:2">
      <c r="A52" s="9" t="s">
        <v>65</v>
      </c>
      <c r="B52" s="9" t="s">
        <v>66</v>
      </c>
    </row>
    <row r="53" ht="14.25" customHeight="1" spans="1:2">
      <c r="A53" s="43"/>
      <c r="B53" s="10" t="s">
        <v>67</v>
      </c>
    </row>
    <row r="54" ht="14.25" customHeight="1" spans="2:2">
      <c r="B54" s="10" t="s">
        <v>68</v>
      </c>
    </row>
    <row r="55" ht="14.25" customHeight="1" spans="2:2">
      <c r="B55" s="10" t="s">
        <v>69</v>
      </c>
    </row>
    <row r="56" ht="14.25" customHeight="1" spans="2:2">
      <c r="B56" s="10" t="s">
        <v>70</v>
      </c>
    </row>
    <row r="57" ht="14.25" customHeight="1" spans="2:2">
      <c r="B57" s="10" t="s">
        <v>71</v>
      </c>
    </row>
    <row r="58" ht="14.25" customHeight="1" spans="2:2">
      <c r="B58" s="10"/>
    </row>
    <row r="60" ht="14.25" customHeight="1" spans="1:2">
      <c r="A60" s="9" t="s">
        <v>72</v>
      </c>
      <c r="B60" s="9" t="s">
        <v>73</v>
      </c>
    </row>
    <row r="61" ht="14.25" customHeight="1" spans="2:2">
      <c r="B61" s="10" t="s">
        <v>74</v>
      </c>
    </row>
    <row r="62" ht="14.25" customHeight="1" spans="2:2">
      <c r="B62" s="10" t="s">
        <v>75</v>
      </c>
    </row>
    <row r="63" ht="14.25" customHeight="1" spans="2:2">
      <c r="B63" s="10" t="s">
        <v>76</v>
      </c>
    </row>
    <row r="64" ht="14.25" customHeight="1" spans="2:2">
      <c r="B64" s="10" t="s">
        <v>77</v>
      </c>
    </row>
    <row r="65" ht="14.25" customHeight="1" spans="2:2">
      <c r="B65" s="10" t="s">
        <v>78</v>
      </c>
    </row>
  </sheetData>
  <pageMargins left="0.75" right="0.75" top="1" bottom="1" header="0.511811023622047" footer="0.511811023622047"/>
  <pageSetup paperSize="9" orientation="portrait" horizontalDpi="300" verticalDpi="300"/>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J464"/>
  <sheetViews>
    <sheetView tabSelected="1" zoomScale="93" zoomScaleNormal="93" workbookViewId="0">
      <pane xSplit="2" ySplit="4" topLeftCell="C116" activePane="bottomRight" state="frozen"/>
      <selection/>
      <selection pane="topRight"/>
      <selection pane="bottomLeft"/>
      <selection pane="bottomRight" activeCell="H131" sqref="H131"/>
    </sheetView>
  </sheetViews>
  <sheetFormatPr defaultColWidth="8.66666666666667" defaultRowHeight="14.4"/>
  <cols>
    <col min="1" max="1" width="9.66666666666667" style="1" customWidth="1"/>
    <col min="2" max="2" width="31.4444444444444" style="1" customWidth="1"/>
    <col min="3" max="3" width="7" style="1" customWidth="1"/>
    <col min="4" max="4" width="11.2222222222222" style="1" customWidth="1"/>
    <col min="5" max="5" width="16" style="1" customWidth="1"/>
    <col min="6" max="6" width="25.2222222222222" style="1" customWidth="1"/>
    <col min="7" max="7" width="18" style="1" customWidth="1"/>
    <col min="8" max="8" width="13.3333333333333" style="1" customWidth="1"/>
    <col min="9" max="9" width="10" style="1" customWidth="1"/>
    <col min="10" max="10" width="17.5555555555556" style="1" customWidth="1"/>
    <col min="11" max="18" width="13" style="1" customWidth="1"/>
    <col min="19" max="42" width="13" style="1" hidden="1" customWidth="1"/>
    <col min="43" max="43" width="13" style="1" customWidth="1"/>
    <col min="44" max="44" width="11" style="1" customWidth="1"/>
    <col min="45" max="45" width="20" style="1" customWidth="1"/>
    <col min="46" max="46" width="15" style="1" customWidth="1"/>
    <col min="47" max="62" width="13" style="1" hidden="1" customWidth="1"/>
  </cols>
  <sheetData>
    <row r="1" ht="17.25" customHeight="1" spans="1:1">
      <c r="A1" s="2" t="s">
        <v>79</v>
      </c>
    </row>
    <row r="2" ht="25.5" customHeight="1" spans="1:1">
      <c r="A2" s="3" t="s">
        <v>80</v>
      </c>
    </row>
    <row r="4" ht="30" customHeight="1" spans="1:62">
      <c r="A4" s="17" t="s">
        <v>81</v>
      </c>
      <c r="B4" s="17" t="s">
        <v>82</v>
      </c>
      <c r="C4" s="17" t="s">
        <v>83</v>
      </c>
      <c r="D4" s="17" t="s">
        <v>84</v>
      </c>
      <c r="E4" s="17" t="s">
        <v>85</v>
      </c>
      <c r="F4" s="17" t="s">
        <v>86</v>
      </c>
      <c r="G4" s="17" t="s">
        <v>87</v>
      </c>
      <c r="H4" s="17" t="s">
        <v>88</v>
      </c>
      <c r="I4" s="17" t="s">
        <v>89</v>
      </c>
      <c r="J4" s="17" t="s">
        <v>90</v>
      </c>
      <c r="K4" s="17" t="s">
        <v>23</v>
      </c>
      <c r="L4" s="17" t="s">
        <v>30</v>
      </c>
      <c r="M4" s="17" t="s">
        <v>37</v>
      </c>
      <c r="N4" s="17" t="s">
        <v>44</v>
      </c>
      <c r="O4" s="17" t="s">
        <v>51</v>
      </c>
      <c r="P4" s="17" t="s">
        <v>58</v>
      </c>
      <c r="Q4" s="37" t="s">
        <v>65</v>
      </c>
      <c r="R4" s="17" t="s">
        <v>72</v>
      </c>
      <c r="S4" s="20" t="s">
        <v>91</v>
      </c>
      <c r="T4" s="20" t="s">
        <v>92</v>
      </c>
      <c r="U4" s="20" t="s">
        <v>93</v>
      </c>
      <c r="V4" s="20" t="s">
        <v>94</v>
      </c>
      <c r="W4" s="20" t="s">
        <v>95</v>
      </c>
      <c r="X4" s="20" t="s">
        <v>96</v>
      </c>
      <c r="Y4" s="20" t="s">
        <v>97</v>
      </c>
      <c r="Z4" s="20" t="s">
        <v>98</v>
      </c>
      <c r="AA4" s="20" t="s">
        <v>99</v>
      </c>
      <c r="AB4" s="20" t="s">
        <v>100</v>
      </c>
      <c r="AC4" s="20" t="s">
        <v>101</v>
      </c>
      <c r="AD4" s="20" t="s">
        <v>102</v>
      </c>
      <c r="AE4" s="20" t="s">
        <v>103</v>
      </c>
      <c r="AF4" s="20" t="s">
        <v>104</v>
      </c>
      <c r="AG4" s="20" t="s">
        <v>105</v>
      </c>
      <c r="AH4" s="20" t="s">
        <v>106</v>
      </c>
      <c r="AI4" s="20" t="s">
        <v>107</v>
      </c>
      <c r="AJ4" s="20" t="s">
        <v>108</v>
      </c>
      <c r="AK4" s="20" t="s">
        <v>109</v>
      </c>
      <c r="AL4" s="20" t="s">
        <v>110</v>
      </c>
      <c r="AM4" s="20" t="s">
        <v>111</v>
      </c>
      <c r="AN4" s="20" t="s">
        <v>112</v>
      </c>
      <c r="AO4" s="20" t="s">
        <v>113</v>
      </c>
      <c r="AP4" s="20" t="s">
        <v>114</v>
      </c>
      <c r="AQ4" s="20" t="s">
        <v>115</v>
      </c>
      <c r="AR4" s="17" t="s">
        <v>116</v>
      </c>
      <c r="AS4" s="38" t="s">
        <v>117</v>
      </c>
      <c r="AT4" s="22" t="s">
        <v>118</v>
      </c>
      <c r="AU4" s="39" t="s">
        <v>119</v>
      </c>
      <c r="AV4" s="39" t="s">
        <v>120</v>
      </c>
      <c r="AW4" s="39" t="s">
        <v>121</v>
      </c>
      <c r="AX4" s="39" t="s">
        <v>122</v>
      </c>
      <c r="AY4" s="39" t="s">
        <v>123</v>
      </c>
      <c r="AZ4" s="39" t="s">
        <v>124</v>
      </c>
      <c r="BA4" s="39" t="s">
        <v>125</v>
      </c>
      <c r="BB4" s="39" t="s">
        <v>126</v>
      </c>
      <c r="BC4" s="39" t="s">
        <v>127</v>
      </c>
      <c r="BD4" s="39" t="s">
        <v>128</v>
      </c>
      <c r="BE4" s="39" t="s">
        <v>129</v>
      </c>
      <c r="BF4" s="39" t="s">
        <v>130</v>
      </c>
      <c r="BG4" s="39" t="s">
        <v>131</v>
      </c>
      <c r="BH4" s="39" t="s">
        <v>132</v>
      </c>
      <c r="BI4" s="39" t="s">
        <v>133</v>
      </c>
      <c r="BJ4" s="39" t="s">
        <v>134</v>
      </c>
    </row>
    <row r="5" ht="14.25" customHeight="1" spans="1:62">
      <c r="A5" s="34">
        <v>1</v>
      </c>
      <c r="B5" s="34" t="s">
        <v>135</v>
      </c>
      <c r="C5" s="34">
        <v>1925</v>
      </c>
      <c r="D5" s="10">
        <f t="shared" ref="D5:D68" si="0">IF(C5="","",FLOOR(C5,10))</f>
        <v>1920</v>
      </c>
      <c r="E5" s="34" t="s">
        <v>136</v>
      </c>
      <c r="F5" s="35" t="s">
        <v>137</v>
      </c>
      <c r="G5" s="34" t="s">
        <v>138</v>
      </c>
      <c r="H5" s="34" t="s">
        <v>139</v>
      </c>
      <c r="I5" s="34" t="s">
        <v>140</v>
      </c>
      <c r="J5" s="34"/>
      <c r="K5" s="34">
        <v>5</v>
      </c>
      <c r="L5" s="34">
        <v>5</v>
      </c>
      <c r="M5" s="34">
        <v>5</v>
      </c>
      <c r="N5" s="34">
        <v>5</v>
      </c>
      <c r="O5" s="34">
        <v>1</v>
      </c>
      <c r="P5" s="34">
        <v>1</v>
      </c>
      <c r="Q5" s="34">
        <v>2</v>
      </c>
      <c r="R5" s="34">
        <v>5</v>
      </c>
      <c r="S5" s="10">
        <f t="shared" ref="S5:S68" si="1">IF(K5="","",(K5-1)/4)</f>
        <v>1</v>
      </c>
      <c r="T5" s="10">
        <f t="shared" ref="T5:T68" si="2">IF(L5="","",(L5-1)/4)</f>
        <v>1</v>
      </c>
      <c r="U5" s="10">
        <f t="shared" ref="U5:U68" si="3">IF(M5="","",(M5-1)/4)</f>
        <v>1</v>
      </c>
      <c r="V5" s="10">
        <f t="shared" ref="V5:V68" si="4">IF(N5="","",(N5-1)/4)</f>
        <v>1</v>
      </c>
      <c r="W5" s="10">
        <f t="shared" ref="W5:W68" si="5">IF(O5="","",(O5-1)/4)</f>
        <v>0</v>
      </c>
      <c r="X5" s="10">
        <f t="shared" ref="X5:X68" si="6">IF(P5="","",(P5-1)/4)</f>
        <v>0</v>
      </c>
      <c r="Y5" s="10">
        <f t="shared" ref="Y5:Y68" si="7">IF(Q5="","",(Q5-1)/4)</f>
        <v>0.25</v>
      </c>
      <c r="Z5" s="10">
        <f t="shared" ref="Z5:Z68" si="8">IF(R5="","",(R5-1)/4)</f>
        <v>1</v>
      </c>
      <c r="AA5" s="10">
        <f t="shared" ref="AA5:AA68" si="9">IF(AND(S5&lt;&gt;"",C5&lt;=1949,I5="yes"),S5,"")</f>
        <v>1</v>
      </c>
      <c r="AB5" s="10">
        <f t="shared" ref="AB5:AB68" si="10">IF(AND(T5&lt;&gt;"",C5&lt;=1949,I5="yes"),T5,"")</f>
        <v>1</v>
      </c>
      <c r="AC5" s="10">
        <f t="shared" ref="AC5:AC68" si="11">IF(AND(U5&lt;&gt;"",C5&lt;=1949,I5="yes"),U5,"")</f>
        <v>1</v>
      </c>
      <c r="AD5" s="10">
        <f t="shared" ref="AD5:AD68" si="12">IF(AND(V5&lt;&gt;"",C5&lt;=1949,I5="yes"),V5,"")</f>
        <v>1</v>
      </c>
      <c r="AE5" s="10">
        <f t="shared" ref="AE5:AE68" si="13">IF(AND(W5&lt;&gt;"",C5&lt;=1949,I5="yes"),W5,"")</f>
        <v>0</v>
      </c>
      <c r="AF5" s="10">
        <f t="shared" ref="AF5:AF68" si="14">IF(AND(X5&lt;&gt;"",C5&lt;=1949,I5="yes"),X5,"")</f>
        <v>0</v>
      </c>
      <c r="AG5" s="10">
        <f t="shared" ref="AG5:AG68" si="15">IF(AND(Y5&lt;&gt;"",C5&lt;=1949,I5="yes"),Y5,"")</f>
        <v>0.25</v>
      </c>
      <c r="AH5" s="10">
        <f t="shared" ref="AH5:AH68" si="16">IF(AND(Z5&lt;&gt;"",C5&lt;=1949,I5="yes"),Z5,"")</f>
        <v>1</v>
      </c>
      <c r="AI5" s="10">
        <f>IF(OR(S5="",'4_BENCHMARK'!$C$4=""),"",ABS(S5-'4_BENCHMARK'!$C$4))</f>
        <v>0</v>
      </c>
      <c r="AJ5" s="10">
        <f>IF(OR(T5="",'4_BENCHMARK'!$C$5=""),"",ABS(T5-'4_BENCHMARK'!$C$5))</f>
        <v>0</v>
      </c>
      <c r="AK5" s="10">
        <f>IF(OR(U5="",'4_BENCHMARK'!$C$6=""),"",ABS(U5-'4_BENCHMARK'!$C$6))</f>
        <v>0</v>
      </c>
      <c r="AL5" s="10">
        <f>IF(OR(V5="",'4_BENCHMARK'!$C$7=""),"",ABS(V5-'4_BENCHMARK'!$C$7))</f>
        <v>0</v>
      </c>
      <c r="AM5" s="10">
        <f>IF(OR(W5="",'4_BENCHMARK'!$C$8=""),"",ABS(W5-'4_BENCHMARK'!$C$8))</f>
        <v>0</v>
      </c>
      <c r="AN5" s="10">
        <f>IF(OR(X5="",'4_BENCHMARK'!$C$9=""),"",ABS(X5-'4_BENCHMARK'!$C$9))</f>
        <v>0</v>
      </c>
      <c r="AO5" s="10">
        <f>IF(OR(Y5="",'4_BENCHMARK'!$C$10=""),"",ABS(Y5-'4_BENCHMARK'!$C$10))</f>
        <v>0.25</v>
      </c>
      <c r="AP5" s="10">
        <f>IF(OR(Z5="",'4_BENCHMARK'!$C$11=""),"",ABS(Z5-'4_BENCHMARK'!$C$11))</f>
        <v>0</v>
      </c>
      <c r="AQ5" s="13">
        <f t="shared" ref="AQ5:AQ68" si="17">IF(COUNT(AI5:AP5)&lt;8,"",1-AVERAGE(AI5:AP5))</f>
        <v>0.96875</v>
      </c>
      <c r="AR5" s="10"/>
      <c r="AS5" s="10" t="s">
        <v>141</v>
      </c>
      <c r="AT5" s="13">
        <f t="shared" ref="AT5:AT68" si="18">IF(COUNT(AI5:AL5,AO5:AP5)&lt;6,"",1-AVERAGE(AI5:AL5,AO5:AP5))</f>
        <v>0.958333333333333</v>
      </c>
      <c r="AU5" s="1">
        <f t="shared" ref="AU5:AU68" si="19">IF(AND($I5="yes",$C5&lt;=1949,K5&lt;&gt;""),K5,"")</f>
        <v>5</v>
      </c>
      <c r="AV5" s="1">
        <f t="shared" ref="AV5:AV68" si="20">IF(AND($I5="yes",$C5&lt;=1949,L5&lt;&gt;""),L5,"")</f>
        <v>5</v>
      </c>
      <c r="AW5" s="1">
        <f t="shared" ref="AW5:AW68" si="21">IF(AND($I5="yes",$C5&lt;=1949,M5&lt;&gt;""),M5,"")</f>
        <v>5</v>
      </c>
      <c r="AX5" s="1">
        <f t="shared" ref="AX5:AX68" si="22">IF(AND($I5="yes",$C5&lt;=1949,N5&lt;&gt;""),N5,"")</f>
        <v>5</v>
      </c>
      <c r="AY5" s="1">
        <f t="shared" ref="AY5:AY68" si="23">IF(AND($I5="yes",$C5&lt;=1949,O5&lt;&gt;""),O5,"")</f>
        <v>1</v>
      </c>
      <c r="AZ5" s="1">
        <f t="shared" ref="AZ5:AZ68" si="24">IF(AND($I5="yes",$C5&lt;=1949,P5&lt;&gt;""),P5,"")</f>
        <v>1</v>
      </c>
      <c r="BA5" s="1">
        <f t="shared" ref="BA5:BA68" si="25">IF(AND($I5="yes",$C5&lt;=1949,Q5&lt;&gt;""),Q5,"")</f>
        <v>2</v>
      </c>
      <c r="BB5" s="1">
        <f t="shared" ref="BB5:BB68" si="26">IF(AND($I5="yes",$C5&lt;=1949,R5&lt;&gt;""),R5,"")</f>
        <v>5</v>
      </c>
      <c r="BC5" s="1" t="str">
        <f t="shared" ref="BC5:BC68" si="27">IF(AND($I5="yes",$C5&gt;=2000,K5&lt;&gt;""),K5,"")</f>
        <v/>
      </c>
      <c r="BD5" s="1" t="str">
        <f t="shared" ref="BD5:BD68" si="28">IF(AND($I5="yes",$C5&gt;=2000,L5&lt;&gt;""),L5,"")</f>
        <v/>
      </c>
      <c r="BE5" s="1" t="str">
        <f t="shared" ref="BE5:BE68" si="29">IF(AND($I5="yes",$C5&gt;=2000,M5&lt;&gt;""),M5,"")</f>
        <v/>
      </c>
      <c r="BF5" s="1" t="str">
        <f t="shared" ref="BF5:BF68" si="30">IF(AND($I5="yes",$C5&gt;=2000,N5&lt;&gt;""),N5,"")</f>
        <v/>
      </c>
      <c r="BG5" s="1" t="str">
        <f t="shared" ref="BG5:BG68" si="31">IF(AND($I5="yes",$C5&gt;=2000,O5&lt;&gt;""),O5,"")</f>
        <v/>
      </c>
      <c r="BH5" s="1" t="str">
        <f t="shared" ref="BH5:BH68" si="32">IF(AND($I5="yes",$C5&gt;=2000,P5&lt;&gt;""),P5,"")</f>
        <v/>
      </c>
      <c r="BI5" s="1" t="str">
        <f t="shared" ref="BI5:BI68" si="33">IF(AND($I5="yes",$C5&gt;=2000,Q5&lt;&gt;""),Q5,"")</f>
        <v/>
      </c>
      <c r="BJ5" s="1" t="str">
        <f t="shared" ref="BJ5:BJ68" si="34">IF(AND($I5="yes",$C5&gt;=2000,R5&lt;&gt;""),R5,"")</f>
        <v/>
      </c>
    </row>
    <row r="6" ht="14.25" customHeight="1" spans="1:62">
      <c r="A6" s="10">
        <v>2</v>
      </c>
      <c r="B6" s="10" t="s">
        <v>142</v>
      </c>
      <c r="C6" s="10">
        <v>2023</v>
      </c>
      <c r="D6" s="10">
        <f t="shared" si="0"/>
        <v>2020</v>
      </c>
      <c r="E6" s="1" t="s">
        <v>136</v>
      </c>
      <c r="F6" s="35" t="s">
        <v>143</v>
      </c>
      <c r="G6" s="10" t="s">
        <v>144</v>
      </c>
      <c r="H6" s="10" t="s">
        <v>140</v>
      </c>
      <c r="I6" s="10" t="s">
        <v>140</v>
      </c>
      <c r="J6" s="10"/>
      <c r="K6" s="10">
        <v>3</v>
      </c>
      <c r="L6" s="10">
        <v>2</v>
      </c>
      <c r="M6" s="10">
        <v>3</v>
      </c>
      <c r="N6" s="10">
        <v>4</v>
      </c>
      <c r="O6" s="10">
        <v>4</v>
      </c>
      <c r="P6" s="10">
        <v>5</v>
      </c>
      <c r="Q6" s="10">
        <v>3</v>
      </c>
      <c r="R6" s="10">
        <v>3</v>
      </c>
      <c r="S6" s="10">
        <f t="shared" si="1"/>
        <v>0.5</v>
      </c>
      <c r="T6" s="10">
        <f t="shared" si="2"/>
        <v>0.25</v>
      </c>
      <c r="U6" s="10">
        <f t="shared" si="3"/>
        <v>0.5</v>
      </c>
      <c r="V6" s="10">
        <f t="shared" si="4"/>
        <v>0.75</v>
      </c>
      <c r="W6" s="10">
        <f t="shared" si="5"/>
        <v>0.75</v>
      </c>
      <c r="X6" s="10">
        <f t="shared" si="6"/>
        <v>1</v>
      </c>
      <c r="Y6" s="10">
        <f t="shared" si="7"/>
        <v>0.5</v>
      </c>
      <c r="Z6" s="10">
        <f t="shared" si="8"/>
        <v>0.5</v>
      </c>
      <c r="AA6" s="10" t="str">
        <f t="shared" si="9"/>
        <v/>
      </c>
      <c r="AB6" s="10" t="str">
        <f t="shared" si="10"/>
        <v/>
      </c>
      <c r="AC6" s="10" t="str">
        <f t="shared" si="11"/>
        <v/>
      </c>
      <c r="AD6" s="10" t="str">
        <f t="shared" si="12"/>
        <v/>
      </c>
      <c r="AE6" s="10" t="str">
        <f t="shared" si="13"/>
        <v/>
      </c>
      <c r="AF6" s="10" t="str">
        <f t="shared" si="14"/>
        <v/>
      </c>
      <c r="AG6" s="10" t="str">
        <f t="shared" si="15"/>
        <v/>
      </c>
      <c r="AH6" s="10" t="str">
        <f t="shared" si="16"/>
        <v/>
      </c>
      <c r="AI6" s="10">
        <f>IF(OR(S6="",'4_BENCHMARK'!$C$4=""),"",ABS(S6-'4_BENCHMARK'!$C$4))</f>
        <v>0.5</v>
      </c>
      <c r="AJ6" s="10">
        <f>IF(OR(T6="",'4_BENCHMARK'!$C$5=""),"",ABS(T6-'4_BENCHMARK'!$C$5))</f>
        <v>0.75</v>
      </c>
      <c r="AK6" s="10">
        <f>IF(OR(U6="",'4_BENCHMARK'!$C$6=""),"",ABS(U6-'4_BENCHMARK'!$C$6))</f>
        <v>0.5</v>
      </c>
      <c r="AL6" s="10">
        <f>IF(OR(V6="",'4_BENCHMARK'!$C$7=""),"",ABS(V6-'4_BENCHMARK'!$C$7))</f>
        <v>0.25</v>
      </c>
      <c r="AM6" s="10">
        <f>IF(OR(W6="",'4_BENCHMARK'!$C$8=""),"",ABS(W6-'4_BENCHMARK'!$C$8))</f>
        <v>0.75</v>
      </c>
      <c r="AN6" s="10">
        <f>IF(OR(X6="",'4_BENCHMARK'!$C$9=""),"",ABS(X6-'4_BENCHMARK'!$C$9))</f>
        <v>1</v>
      </c>
      <c r="AO6" s="10">
        <f>IF(OR(Y6="",'4_BENCHMARK'!$C$10=""),"",ABS(Y6-'4_BENCHMARK'!$C$10))</f>
        <v>0</v>
      </c>
      <c r="AP6" s="10">
        <f>IF(OR(Z6="",'4_BENCHMARK'!$C$11=""),"",ABS(Z6-'4_BENCHMARK'!$C$11))</f>
        <v>0.5</v>
      </c>
      <c r="AQ6" s="13">
        <f t="shared" si="17"/>
        <v>0.46875</v>
      </c>
      <c r="AR6" s="10"/>
      <c r="AS6" s="10" t="s">
        <v>145</v>
      </c>
      <c r="AT6" s="13">
        <f t="shared" si="18"/>
        <v>0.583333333333333</v>
      </c>
      <c r="AU6" s="1" t="str">
        <f t="shared" si="19"/>
        <v/>
      </c>
      <c r="AV6" s="1" t="str">
        <f t="shared" si="20"/>
        <v/>
      </c>
      <c r="AW6" s="1" t="str">
        <f t="shared" si="21"/>
        <v/>
      </c>
      <c r="AX6" s="1" t="str">
        <f t="shared" si="22"/>
        <v/>
      </c>
      <c r="AY6" s="1" t="str">
        <f t="shared" si="23"/>
        <v/>
      </c>
      <c r="AZ6" s="1" t="str">
        <f t="shared" si="24"/>
        <v/>
      </c>
      <c r="BA6" s="1" t="str">
        <f t="shared" si="25"/>
        <v/>
      </c>
      <c r="BB6" s="1" t="str">
        <f t="shared" si="26"/>
        <v/>
      </c>
      <c r="BC6" s="1">
        <f t="shared" si="27"/>
        <v>3</v>
      </c>
      <c r="BD6" s="1">
        <f t="shared" si="28"/>
        <v>2</v>
      </c>
      <c r="BE6" s="1">
        <f t="shared" si="29"/>
        <v>3</v>
      </c>
      <c r="BF6" s="1">
        <f t="shared" si="30"/>
        <v>4</v>
      </c>
      <c r="BG6" s="1">
        <f t="shared" si="31"/>
        <v>4</v>
      </c>
      <c r="BH6" s="1">
        <f t="shared" si="32"/>
        <v>5</v>
      </c>
      <c r="BI6" s="1">
        <f t="shared" si="33"/>
        <v>3</v>
      </c>
      <c r="BJ6" s="1">
        <f t="shared" si="34"/>
        <v>3</v>
      </c>
    </row>
    <row r="7" ht="14.25" customHeight="1" spans="1:62">
      <c r="A7" s="10">
        <v>3</v>
      </c>
      <c r="B7" s="10" t="s">
        <v>146</v>
      </c>
      <c r="C7" s="10">
        <v>1896</v>
      </c>
      <c r="D7" s="10">
        <f t="shared" si="0"/>
        <v>1890</v>
      </c>
      <c r="E7" s="10" t="s">
        <v>136</v>
      </c>
      <c r="F7" s="35" t="s">
        <v>147</v>
      </c>
      <c r="G7" s="10" t="s">
        <v>148</v>
      </c>
      <c r="H7" s="10" t="s">
        <v>139</v>
      </c>
      <c r="I7" s="10" t="s">
        <v>140</v>
      </c>
      <c r="J7" s="10"/>
      <c r="K7" s="10">
        <v>5</v>
      </c>
      <c r="L7" s="10">
        <v>5</v>
      </c>
      <c r="M7" s="10">
        <v>5</v>
      </c>
      <c r="N7" s="10">
        <v>5</v>
      </c>
      <c r="O7" s="10">
        <v>1</v>
      </c>
      <c r="P7" s="10">
        <v>1</v>
      </c>
      <c r="Q7" s="10">
        <v>3</v>
      </c>
      <c r="R7" s="10">
        <v>5</v>
      </c>
      <c r="S7" s="10">
        <f t="shared" si="1"/>
        <v>1</v>
      </c>
      <c r="T7" s="10">
        <f t="shared" si="2"/>
        <v>1</v>
      </c>
      <c r="U7" s="10">
        <f t="shared" si="3"/>
        <v>1</v>
      </c>
      <c r="V7" s="10">
        <f t="shared" si="4"/>
        <v>1</v>
      </c>
      <c r="W7" s="10">
        <f t="shared" si="5"/>
        <v>0</v>
      </c>
      <c r="X7" s="10">
        <f t="shared" si="6"/>
        <v>0</v>
      </c>
      <c r="Y7" s="10">
        <f t="shared" si="7"/>
        <v>0.5</v>
      </c>
      <c r="Z7" s="10">
        <f t="shared" si="8"/>
        <v>1</v>
      </c>
      <c r="AA7" s="10">
        <f t="shared" si="9"/>
        <v>1</v>
      </c>
      <c r="AB7" s="10">
        <f t="shared" si="10"/>
        <v>1</v>
      </c>
      <c r="AC7" s="10">
        <f t="shared" si="11"/>
        <v>1</v>
      </c>
      <c r="AD7" s="10">
        <f t="shared" si="12"/>
        <v>1</v>
      </c>
      <c r="AE7" s="10">
        <f t="shared" si="13"/>
        <v>0</v>
      </c>
      <c r="AF7" s="10">
        <f t="shared" si="14"/>
        <v>0</v>
      </c>
      <c r="AG7" s="10">
        <f t="shared" si="15"/>
        <v>0.5</v>
      </c>
      <c r="AH7" s="10">
        <f t="shared" si="16"/>
        <v>1</v>
      </c>
      <c r="AI7" s="10">
        <f>IF(OR(S7="",'4_BENCHMARK'!$C$4=""),"",ABS(S7-'4_BENCHMARK'!$C$4))</f>
        <v>0</v>
      </c>
      <c r="AJ7" s="10">
        <f>IF(OR(T7="",'4_BENCHMARK'!$C$5=""),"",ABS(T7-'4_BENCHMARK'!$C$5))</f>
        <v>0</v>
      </c>
      <c r="AK7" s="10">
        <f>IF(OR(U7="",'4_BENCHMARK'!$C$6=""),"",ABS(U7-'4_BENCHMARK'!$C$6))</f>
        <v>0</v>
      </c>
      <c r="AL7" s="10">
        <f>IF(OR(V7="",'4_BENCHMARK'!$C$7=""),"",ABS(V7-'4_BENCHMARK'!$C$7))</f>
        <v>0</v>
      </c>
      <c r="AM7" s="10">
        <f>IF(OR(W7="",'4_BENCHMARK'!$C$8=""),"",ABS(W7-'4_BENCHMARK'!$C$8))</f>
        <v>0</v>
      </c>
      <c r="AN7" s="10">
        <f>IF(OR(X7="",'4_BENCHMARK'!$C$9=""),"",ABS(X7-'4_BENCHMARK'!$C$9))</f>
        <v>0</v>
      </c>
      <c r="AO7" s="10">
        <f>IF(OR(Y7="",'4_BENCHMARK'!$C$10=""),"",ABS(Y7-'4_BENCHMARK'!$C$10))</f>
        <v>0</v>
      </c>
      <c r="AP7" s="10">
        <f>IF(OR(Z7="",'4_BENCHMARK'!$C$11=""),"",ABS(Z7-'4_BENCHMARK'!$C$11))</f>
        <v>0</v>
      </c>
      <c r="AQ7" s="13">
        <f t="shared" si="17"/>
        <v>1</v>
      </c>
      <c r="AR7" s="10"/>
      <c r="AS7" s="10" t="s">
        <v>149</v>
      </c>
      <c r="AT7" s="13">
        <f t="shared" si="18"/>
        <v>1</v>
      </c>
      <c r="AU7" s="1">
        <f t="shared" si="19"/>
        <v>5</v>
      </c>
      <c r="AV7" s="1">
        <f t="shared" si="20"/>
        <v>5</v>
      </c>
      <c r="AW7" s="1">
        <f t="shared" si="21"/>
        <v>5</v>
      </c>
      <c r="AX7" s="1">
        <f t="shared" si="22"/>
        <v>5</v>
      </c>
      <c r="AY7" s="1">
        <f t="shared" si="23"/>
        <v>1</v>
      </c>
      <c r="AZ7" s="1">
        <f t="shared" si="24"/>
        <v>1</v>
      </c>
      <c r="BA7" s="1">
        <f t="shared" si="25"/>
        <v>3</v>
      </c>
      <c r="BB7" s="1">
        <f t="shared" si="26"/>
        <v>5</v>
      </c>
      <c r="BC7" s="1" t="str">
        <f t="shared" si="27"/>
        <v/>
      </c>
      <c r="BD7" s="1" t="str">
        <f t="shared" si="28"/>
        <v/>
      </c>
      <c r="BE7" s="1" t="str">
        <f t="shared" si="29"/>
        <v/>
      </c>
      <c r="BF7" s="1" t="str">
        <f t="shared" si="30"/>
        <v/>
      </c>
      <c r="BG7" s="1" t="str">
        <f t="shared" si="31"/>
        <v/>
      </c>
      <c r="BH7" s="1" t="str">
        <f t="shared" si="32"/>
        <v/>
      </c>
      <c r="BI7" s="1" t="str">
        <f t="shared" si="33"/>
        <v/>
      </c>
      <c r="BJ7" s="1" t="str">
        <f t="shared" si="34"/>
        <v/>
      </c>
    </row>
    <row r="8" ht="14.25" customHeight="1" spans="1:62">
      <c r="A8" s="10">
        <v>4</v>
      </c>
      <c r="B8" s="36" t="s">
        <v>150</v>
      </c>
      <c r="C8" s="10">
        <v>2025</v>
      </c>
      <c r="D8" s="10">
        <f t="shared" si="0"/>
        <v>2020</v>
      </c>
      <c r="E8" s="36" t="s">
        <v>136</v>
      </c>
      <c r="F8" s="35" t="s">
        <v>151</v>
      </c>
      <c r="G8" s="36" t="s">
        <v>152</v>
      </c>
      <c r="H8" s="10" t="s">
        <v>140</v>
      </c>
      <c r="I8" s="10" t="s">
        <v>140</v>
      </c>
      <c r="J8" s="10"/>
      <c r="K8" s="10">
        <v>5</v>
      </c>
      <c r="L8" s="10">
        <v>5</v>
      </c>
      <c r="M8" s="10">
        <v>5</v>
      </c>
      <c r="N8" s="10">
        <v>5</v>
      </c>
      <c r="O8" s="10">
        <v>5</v>
      </c>
      <c r="P8" s="10">
        <v>5</v>
      </c>
      <c r="Q8" s="10">
        <v>2</v>
      </c>
      <c r="R8" s="10">
        <v>5</v>
      </c>
      <c r="S8" s="10">
        <f t="shared" si="1"/>
        <v>1</v>
      </c>
      <c r="T8" s="10">
        <f t="shared" si="2"/>
        <v>1</v>
      </c>
      <c r="U8" s="10">
        <f t="shared" si="3"/>
        <v>1</v>
      </c>
      <c r="V8" s="10">
        <f t="shared" si="4"/>
        <v>1</v>
      </c>
      <c r="W8" s="10">
        <f t="shared" si="5"/>
        <v>1</v>
      </c>
      <c r="X8" s="10">
        <f t="shared" si="6"/>
        <v>1</v>
      </c>
      <c r="Y8" s="10">
        <f t="shared" si="7"/>
        <v>0.25</v>
      </c>
      <c r="Z8" s="10">
        <f t="shared" si="8"/>
        <v>1</v>
      </c>
      <c r="AA8" s="10" t="str">
        <f t="shared" si="9"/>
        <v/>
      </c>
      <c r="AB8" s="10" t="str">
        <f t="shared" si="10"/>
        <v/>
      </c>
      <c r="AC8" s="10" t="str">
        <f t="shared" si="11"/>
        <v/>
      </c>
      <c r="AD8" s="10" t="str">
        <f t="shared" si="12"/>
        <v/>
      </c>
      <c r="AE8" s="10" t="str">
        <f t="shared" si="13"/>
        <v/>
      </c>
      <c r="AF8" s="10" t="str">
        <f t="shared" si="14"/>
        <v/>
      </c>
      <c r="AG8" s="10" t="str">
        <f t="shared" si="15"/>
        <v/>
      </c>
      <c r="AH8" s="10" t="str">
        <f t="shared" si="16"/>
        <v/>
      </c>
      <c r="AI8" s="10">
        <f>IF(OR(S8="",'4_BENCHMARK'!$C$4=""),"",ABS(S8-'4_BENCHMARK'!$C$4))</f>
        <v>0</v>
      </c>
      <c r="AJ8" s="10">
        <f>IF(OR(T8="",'4_BENCHMARK'!$C$5=""),"",ABS(T8-'4_BENCHMARK'!$C$5))</f>
        <v>0</v>
      </c>
      <c r="AK8" s="10">
        <f>IF(OR(U8="",'4_BENCHMARK'!$C$6=""),"",ABS(U8-'4_BENCHMARK'!$C$6))</f>
        <v>0</v>
      </c>
      <c r="AL8" s="10">
        <f>IF(OR(V8="",'4_BENCHMARK'!$C$7=""),"",ABS(V8-'4_BENCHMARK'!$C$7))</f>
        <v>0</v>
      </c>
      <c r="AM8" s="10">
        <f>IF(OR(W8="",'4_BENCHMARK'!$C$8=""),"",ABS(W8-'4_BENCHMARK'!$C$8))</f>
        <v>1</v>
      </c>
      <c r="AN8" s="10">
        <f>IF(OR(X8="",'4_BENCHMARK'!$C$9=""),"",ABS(X8-'4_BENCHMARK'!$C$9))</f>
        <v>1</v>
      </c>
      <c r="AO8" s="10">
        <f>IF(OR(Y8="",'4_BENCHMARK'!$C$10=""),"",ABS(Y8-'4_BENCHMARK'!$C$10))</f>
        <v>0.25</v>
      </c>
      <c r="AP8" s="10">
        <f>IF(OR(Z8="",'4_BENCHMARK'!$C$11=""),"",ABS(Z8-'4_BENCHMARK'!$C$11))</f>
        <v>0</v>
      </c>
      <c r="AQ8" s="13">
        <f t="shared" si="17"/>
        <v>0.71875</v>
      </c>
      <c r="AR8" s="10"/>
      <c r="AS8" s="10" t="s">
        <v>141</v>
      </c>
      <c r="AT8" s="13">
        <f t="shared" si="18"/>
        <v>0.958333333333333</v>
      </c>
      <c r="AU8" s="1" t="str">
        <f t="shared" si="19"/>
        <v/>
      </c>
      <c r="AV8" s="1" t="str">
        <f t="shared" si="20"/>
        <v/>
      </c>
      <c r="AW8" s="1" t="str">
        <f t="shared" si="21"/>
        <v/>
      </c>
      <c r="AX8" s="1" t="str">
        <f t="shared" si="22"/>
        <v/>
      </c>
      <c r="AY8" s="1" t="str">
        <f t="shared" si="23"/>
        <v/>
      </c>
      <c r="AZ8" s="1" t="str">
        <f t="shared" si="24"/>
        <v/>
      </c>
      <c r="BA8" s="1" t="str">
        <f t="shared" si="25"/>
        <v/>
      </c>
      <c r="BB8" s="1" t="str">
        <f t="shared" si="26"/>
        <v/>
      </c>
      <c r="BC8" s="1">
        <f t="shared" si="27"/>
        <v>5</v>
      </c>
      <c r="BD8" s="1">
        <f t="shared" si="28"/>
        <v>5</v>
      </c>
      <c r="BE8" s="1">
        <f t="shared" si="29"/>
        <v>5</v>
      </c>
      <c r="BF8" s="1">
        <f t="shared" si="30"/>
        <v>5</v>
      </c>
      <c r="BG8" s="1">
        <f t="shared" si="31"/>
        <v>5</v>
      </c>
      <c r="BH8" s="1">
        <f t="shared" si="32"/>
        <v>5</v>
      </c>
      <c r="BI8" s="1">
        <f t="shared" si="33"/>
        <v>2</v>
      </c>
      <c r="BJ8" s="1">
        <f t="shared" si="34"/>
        <v>5</v>
      </c>
    </row>
    <row r="9" ht="14.25" customHeight="1" spans="1:62">
      <c r="A9" s="10">
        <v>5</v>
      </c>
      <c r="B9" s="36" t="s">
        <v>153</v>
      </c>
      <c r="C9" s="10">
        <v>1892</v>
      </c>
      <c r="D9" s="10">
        <f t="shared" si="0"/>
        <v>1890</v>
      </c>
      <c r="E9" s="36" t="s">
        <v>136</v>
      </c>
      <c r="F9" s="35" t="s">
        <v>154</v>
      </c>
      <c r="G9" s="36" t="s">
        <v>155</v>
      </c>
      <c r="H9" s="10" t="s">
        <v>139</v>
      </c>
      <c r="I9" s="10" t="s">
        <v>140</v>
      </c>
      <c r="J9" s="10"/>
      <c r="K9" s="10">
        <v>5</v>
      </c>
      <c r="L9" s="10">
        <v>5</v>
      </c>
      <c r="M9" s="10">
        <v>5</v>
      </c>
      <c r="N9" s="10">
        <v>5</v>
      </c>
      <c r="O9" s="10">
        <v>1</v>
      </c>
      <c r="P9" s="10">
        <v>1</v>
      </c>
      <c r="Q9" s="10">
        <v>5</v>
      </c>
      <c r="R9" s="10">
        <v>5</v>
      </c>
      <c r="S9" s="10">
        <f t="shared" si="1"/>
        <v>1</v>
      </c>
      <c r="T9" s="10">
        <f t="shared" si="2"/>
        <v>1</v>
      </c>
      <c r="U9" s="10">
        <f t="shared" si="3"/>
        <v>1</v>
      </c>
      <c r="V9" s="10">
        <f t="shared" si="4"/>
        <v>1</v>
      </c>
      <c r="W9" s="10">
        <f t="shared" si="5"/>
        <v>0</v>
      </c>
      <c r="X9" s="10">
        <f t="shared" si="6"/>
        <v>0</v>
      </c>
      <c r="Y9" s="10">
        <f t="shared" si="7"/>
        <v>1</v>
      </c>
      <c r="Z9" s="10">
        <f t="shared" si="8"/>
        <v>1</v>
      </c>
      <c r="AA9" s="10">
        <f t="shared" si="9"/>
        <v>1</v>
      </c>
      <c r="AB9" s="10">
        <f t="shared" si="10"/>
        <v>1</v>
      </c>
      <c r="AC9" s="10">
        <f t="shared" si="11"/>
        <v>1</v>
      </c>
      <c r="AD9" s="10">
        <f t="shared" si="12"/>
        <v>1</v>
      </c>
      <c r="AE9" s="10">
        <f t="shared" si="13"/>
        <v>0</v>
      </c>
      <c r="AF9" s="10">
        <f t="shared" si="14"/>
        <v>0</v>
      </c>
      <c r="AG9" s="10">
        <f t="shared" si="15"/>
        <v>1</v>
      </c>
      <c r="AH9" s="10">
        <f t="shared" si="16"/>
        <v>1</v>
      </c>
      <c r="AI9" s="10">
        <f>IF(OR(S9="",'4_BENCHMARK'!$C$4=""),"",ABS(S9-'4_BENCHMARK'!$C$4))</f>
        <v>0</v>
      </c>
      <c r="AJ9" s="10">
        <f>IF(OR(T9="",'4_BENCHMARK'!$C$5=""),"",ABS(T9-'4_BENCHMARK'!$C$5))</f>
        <v>0</v>
      </c>
      <c r="AK9" s="10">
        <f>IF(OR(U9="",'4_BENCHMARK'!$C$6=""),"",ABS(U9-'4_BENCHMARK'!$C$6))</f>
        <v>0</v>
      </c>
      <c r="AL9" s="10">
        <f>IF(OR(V9="",'4_BENCHMARK'!$C$7=""),"",ABS(V9-'4_BENCHMARK'!$C$7))</f>
        <v>0</v>
      </c>
      <c r="AM9" s="10">
        <f>IF(OR(W9="",'4_BENCHMARK'!$C$8=""),"",ABS(W9-'4_BENCHMARK'!$C$8))</f>
        <v>0</v>
      </c>
      <c r="AN9" s="10">
        <f>IF(OR(X9="",'4_BENCHMARK'!$C$9=""),"",ABS(X9-'4_BENCHMARK'!$C$9))</f>
        <v>0</v>
      </c>
      <c r="AO9" s="10">
        <f>IF(OR(Y9="",'4_BENCHMARK'!$C$10=""),"",ABS(Y9-'4_BENCHMARK'!$C$10))</f>
        <v>0.5</v>
      </c>
      <c r="AP9" s="10">
        <f>IF(OR(Z9="",'4_BENCHMARK'!$C$11=""),"",ABS(Z9-'4_BENCHMARK'!$C$11))</f>
        <v>0</v>
      </c>
      <c r="AQ9" s="13">
        <f t="shared" si="17"/>
        <v>0.9375</v>
      </c>
      <c r="AR9" s="10"/>
      <c r="AS9" s="10" t="s">
        <v>141</v>
      </c>
      <c r="AT9" s="13">
        <f t="shared" si="18"/>
        <v>0.916666666666667</v>
      </c>
      <c r="AU9" s="1">
        <f t="shared" si="19"/>
        <v>5</v>
      </c>
      <c r="AV9" s="1">
        <f t="shared" si="20"/>
        <v>5</v>
      </c>
      <c r="AW9" s="1">
        <f t="shared" si="21"/>
        <v>5</v>
      </c>
      <c r="AX9" s="1">
        <f t="shared" si="22"/>
        <v>5</v>
      </c>
      <c r="AY9" s="1">
        <f t="shared" si="23"/>
        <v>1</v>
      </c>
      <c r="AZ9" s="1">
        <f t="shared" si="24"/>
        <v>1</v>
      </c>
      <c r="BA9" s="1">
        <f t="shared" si="25"/>
        <v>5</v>
      </c>
      <c r="BB9" s="1">
        <f t="shared" si="26"/>
        <v>5</v>
      </c>
      <c r="BC9" s="1" t="str">
        <f t="shared" si="27"/>
        <v/>
      </c>
      <c r="BD9" s="1" t="str">
        <f t="shared" si="28"/>
        <v/>
      </c>
      <c r="BE9" s="1" t="str">
        <f t="shared" si="29"/>
        <v/>
      </c>
      <c r="BF9" s="1" t="str">
        <f t="shared" si="30"/>
        <v/>
      </c>
      <c r="BG9" s="1" t="str">
        <f t="shared" si="31"/>
        <v/>
      </c>
      <c r="BH9" s="1" t="str">
        <f t="shared" si="32"/>
        <v/>
      </c>
      <c r="BI9" s="1" t="str">
        <f t="shared" si="33"/>
        <v/>
      </c>
      <c r="BJ9" s="1" t="str">
        <f t="shared" si="34"/>
        <v/>
      </c>
    </row>
    <row r="10" ht="14.25" customHeight="1" spans="1:62">
      <c r="A10" s="10">
        <v>6</v>
      </c>
      <c r="B10" s="36" t="s">
        <v>156</v>
      </c>
      <c r="C10" s="10">
        <v>2017</v>
      </c>
      <c r="D10" s="10">
        <f t="shared" si="0"/>
        <v>2010</v>
      </c>
      <c r="E10" s="36" t="s">
        <v>136</v>
      </c>
      <c r="F10" s="35" t="s">
        <v>157</v>
      </c>
      <c r="G10" s="36" t="s">
        <v>158</v>
      </c>
      <c r="H10" s="10" t="s">
        <v>140</v>
      </c>
      <c r="I10" s="10" t="s">
        <v>140</v>
      </c>
      <c r="J10" s="10"/>
      <c r="K10" s="10">
        <v>5</v>
      </c>
      <c r="L10" s="10">
        <v>5</v>
      </c>
      <c r="M10" s="10">
        <v>5</v>
      </c>
      <c r="N10" s="10">
        <v>4</v>
      </c>
      <c r="O10" s="10">
        <v>5</v>
      </c>
      <c r="P10" s="10">
        <v>3</v>
      </c>
      <c r="Q10" s="10">
        <v>4</v>
      </c>
      <c r="R10" s="10">
        <v>5</v>
      </c>
      <c r="S10" s="10">
        <f t="shared" si="1"/>
        <v>1</v>
      </c>
      <c r="T10" s="10">
        <f t="shared" si="2"/>
        <v>1</v>
      </c>
      <c r="U10" s="10">
        <f t="shared" si="3"/>
        <v>1</v>
      </c>
      <c r="V10" s="10">
        <f t="shared" si="4"/>
        <v>0.75</v>
      </c>
      <c r="W10" s="10">
        <f t="shared" si="5"/>
        <v>1</v>
      </c>
      <c r="X10" s="10">
        <f t="shared" si="6"/>
        <v>0.5</v>
      </c>
      <c r="Y10" s="10">
        <f t="shared" si="7"/>
        <v>0.75</v>
      </c>
      <c r="Z10" s="10">
        <f t="shared" si="8"/>
        <v>1</v>
      </c>
      <c r="AA10" s="10" t="str">
        <f t="shared" si="9"/>
        <v/>
      </c>
      <c r="AB10" s="10" t="str">
        <f t="shared" si="10"/>
        <v/>
      </c>
      <c r="AC10" s="10" t="str">
        <f t="shared" si="11"/>
        <v/>
      </c>
      <c r="AD10" s="10" t="str">
        <f t="shared" si="12"/>
        <v/>
      </c>
      <c r="AE10" s="10" t="str">
        <f t="shared" si="13"/>
        <v/>
      </c>
      <c r="AF10" s="10" t="str">
        <f t="shared" si="14"/>
        <v/>
      </c>
      <c r="AG10" s="10" t="str">
        <f t="shared" si="15"/>
        <v/>
      </c>
      <c r="AH10" s="10" t="str">
        <f t="shared" si="16"/>
        <v/>
      </c>
      <c r="AI10" s="10">
        <f>IF(OR(S10="",'4_BENCHMARK'!$C$4=""),"",ABS(S10-'4_BENCHMARK'!$C$4))</f>
        <v>0</v>
      </c>
      <c r="AJ10" s="10">
        <f>IF(OR(T10="",'4_BENCHMARK'!$C$5=""),"",ABS(T10-'4_BENCHMARK'!$C$5))</f>
        <v>0</v>
      </c>
      <c r="AK10" s="10">
        <f>IF(OR(U10="",'4_BENCHMARK'!$C$6=""),"",ABS(U10-'4_BENCHMARK'!$C$6))</f>
        <v>0</v>
      </c>
      <c r="AL10" s="10">
        <f>IF(OR(V10="",'4_BENCHMARK'!$C$7=""),"",ABS(V10-'4_BENCHMARK'!$C$7))</f>
        <v>0.25</v>
      </c>
      <c r="AM10" s="10">
        <f>IF(OR(W10="",'4_BENCHMARK'!$C$8=""),"",ABS(W10-'4_BENCHMARK'!$C$8))</f>
        <v>1</v>
      </c>
      <c r="AN10" s="10">
        <f>IF(OR(X10="",'4_BENCHMARK'!$C$9=""),"",ABS(X10-'4_BENCHMARK'!$C$9))</f>
        <v>0.5</v>
      </c>
      <c r="AO10" s="10">
        <f>IF(OR(Y10="",'4_BENCHMARK'!$C$10=""),"",ABS(Y10-'4_BENCHMARK'!$C$10))</f>
        <v>0.25</v>
      </c>
      <c r="AP10" s="10">
        <f>IF(OR(Z10="",'4_BENCHMARK'!$C$11=""),"",ABS(Z10-'4_BENCHMARK'!$C$11))</f>
        <v>0</v>
      </c>
      <c r="AQ10" s="13">
        <f t="shared" si="17"/>
        <v>0.75</v>
      </c>
      <c r="AR10" s="10"/>
      <c r="AS10" s="10" t="s">
        <v>141</v>
      </c>
      <c r="AT10" s="13">
        <f t="shared" si="18"/>
        <v>0.916666666666667</v>
      </c>
      <c r="AU10" s="1" t="str">
        <f t="shared" si="19"/>
        <v/>
      </c>
      <c r="AV10" s="1" t="str">
        <f t="shared" si="20"/>
        <v/>
      </c>
      <c r="AW10" s="1" t="str">
        <f t="shared" si="21"/>
        <v/>
      </c>
      <c r="AX10" s="1" t="str">
        <f t="shared" si="22"/>
        <v/>
      </c>
      <c r="AY10" s="1" t="str">
        <f t="shared" si="23"/>
        <v/>
      </c>
      <c r="AZ10" s="1" t="str">
        <f t="shared" si="24"/>
        <v/>
      </c>
      <c r="BA10" s="1" t="str">
        <f t="shared" si="25"/>
        <v/>
      </c>
      <c r="BB10" s="1" t="str">
        <f t="shared" si="26"/>
        <v/>
      </c>
      <c r="BC10" s="1">
        <f t="shared" si="27"/>
        <v>5</v>
      </c>
      <c r="BD10" s="1">
        <f t="shared" si="28"/>
        <v>5</v>
      </c>
      <c r="BE10" s="1">
        <f t="shared" si="29"/>
        <v>5</v>
      </c>
      <c r="BF10" s="1">
        <f t="shared" si="30"/>
        <v>4</v>
      </c>
      <c r="BG10" s="1">
        <f t="shared" si="31"/>
        <v>5</v>
      </c>
      <c r="BH10" s="1">
        <f t="shared" si="32"/>
        <v>3</v>
      </c>
      <c r="BI10" s="1">
        <f t="shared" si="33"/>
        <v>4</v>
      </c>
      <c r="BJ10" s="1">
        <f t="shared" si="34"/>
        <v>5</v>
      </c>
    </row>
    <row r="11" ht="14.25" customHeight="1" spans="1:62">
      <c r="A11" s="10">
        <v>7</v>
      </c>
      <c r="B11" s="36" t="s">
        <v>159</v>
      </c>
      <c r="C11" s="10">
        <v>1890</v>
      </c>
      <c r="D11" s="10">
        <f t="shared" si="0"/>
        <v>1890</v>
      </c>
      <c r="E11" s="36" t="s">
        <v>136</v>
      </c>
      <c r="F11" s="35" t="s">
        <v>160</v>
      </c>
      <c r="G11" s="36" t="s">
        <v>161</v>
      </c>
      <c r="H11" s="10" t="s">
        <v>139</v>
      </c>
      <c r="I11" s="10" t="s">
        <v>140</v>
      </c>
      <c r="J11" s="10"/>
      <c r="K11" s="10">
        <v>5</v>
      </c>
      <c r="L11" s="10">
        <v>5</v>
      </c>
      <c r="M11" s="10">
        <v>5</v>
      </c>
      <c r="N11" s="10">
        <v>5</v>
      </c>
      <c r="O11" s="10">
        <v>1</v>
      </c>
      <c r="P11" s="10">
        <v>1</v>
      </c>
      <c r="Q11" s="10">
        <v>5</v>
      </c>
      <c r="R11" s="10">
        <v>5</v>
      </c>
      <c r="S11" s="10">
        <f t="shared" si="1"/>
        <v>1</v>
      </c>
      <c r="T11" s="10">
        <f t="shared" si="2"/>
        <v>1</v>
      </c>
      <c r="U11" s="10">
        <f t="shared" si="3"/>
        <v>1</v>
      </c>
      <c r="V11" s="10">
        <f t="shared" si="4"/>
        <v>1</v>
      </c>
      <c r="W11" s="10">
        <f t="shared" si="5"/>
        <v>0</v>
      </c>
      <c r="X11" s="10">
        <f t="shared" si="6"/>
        <v>0</v>
      </c>
      <c r="Y11" s="10">
        <f t="shared" si="7"/>
        <v>1</v>
      </c>
      <c r="Z11" s="10">
        <f t="shared" si="8"/>
        <v>1</v>
      </c>
      <c r="AA11" s="10">
        <f t="shared" si="9"/>
        <v>1</v>
      </c>
      <c r="AB11" s="10">
        <f t="shared" si="10"/>
        <v>1</v>
      </c>
      <c r="AC11" s="10">
        <f t="shared" si="11"/>
        <v>1</v>
      </c>
      <c r="AD11" s="10">
        <f t="shared" si="12"/>
        <v>1</v>
      </c>
      <c r="AE11" s="10">
        <f t="shared" si="13"/>
        <v>0</v>
      </c>
      <c r="AF11" s="10">
        <f t="shared" si="14"/>
        <v>0</v>
      </c>
      <c r="AG11" s="10">
        <f t="shared" si="15"/>
        <v>1</v>
      </c>
      <c r="AH11" s="10">
        <f t="shared" si="16"/>
        <v>1</v>
      </c>
      <c r="AI11" s="10">
        <f>IF(OR(S11="",'4_BENCHMARK'!$C$4=""),"",ABS(S11-'4_BENCHMARK'!$C$4))</f>
        <v>0</v>
      </c>
      <c r="AJ11" s="10">
        <f>IF(OR(T11="",'4_BENCHMARK'!$C$5=""),"",ABS(T11-'4_BENCHMARK'!$C$5))</f>
        <v>0</v>
      </c>
      <c r="AK11" s="10">
        <f>IF(OR(U11="",'4_BENCHMARK'!$C$6=""),"",ABS(U11-'4_BENCHMARK'!$C$6))</f>
        <v>0</v>
      </c>
      <c r="AL11" s="10">
        <f>IF(OR(V11="",'4_BENCHMARK'!$C$7=""),"",ABS(V11-'4_BENCHMARK'!$C$7))</f>
        <v>0</v>
      </c>
      <c r="AM11" s="10">
        <f>IF(OR(W11="",'4_BENCHMARK'!$C$8=""),"",ABS(W11-'4_BENCHMARK'!$C$8))</f>
        <v>0</v>
      </c>
      <c r="AN11" s="10">
        <f>IF(OR(X11="",'4_BENCHMARK'!$C$9=""),"",ABS(X11-'4_BENCHMARK'!$C$9))</f>
        <v>0</v>
      </c>
      <c r="AO11" s="10">
        <f>IF(OR(Y11="",'4_BENCHMARK'!$C$10=""),"",ABS(Y11-'4_BENCHMARK'!$C$10))</f>
        <v>0.5</v>
      </c>
      <c r="AP11" s="10">
        <f>IF(OR(Z11="",'4_BENCHMARK'!$C$11=""),"",ABS(Z11-'4_BENCHMARK'!$C$11))</f>
        <v>0</v>
      </c>
      <c r="AQ11" s="13">
        <f t="shared" si="17"/>
        <v>0.9375</v>
      </c>
      <c r="AR11" s="10"/>
      <c r="AS11" s="10" t="s">
        <v>141</v>
      </c>
      <c r="AT11" s="13">
        <f t="shared" si="18"/>
        <v>0.916666666666667</v>
      </c>
      <c r="AU11" s="1">
        <f t="shared" si="19"/>
        <v>5</v>
      </c>
      <c r="AV11" s="1">
        <f t="shared" si="20"/>
        <v>5</v>
      </c>
      <c r="AW11" s="1">
        <f t="shared" si="21"/>
        <v>5</v>
      </c>
      <c r="AX11" s="1">
        <f t="shared" si="22"/>
        <v>5</v>
      </c>
      <c r="AY11" s="1">
        <f t="shared" si="23"/>
        <v>1</v>
      </c>
      <c r="AZ11" s="1">
        <f t="shared" si="24"/>
        <v>1</v>
      </c>
      <c r="BA11" s="1">
        <f t="shared" si="25"/>
        <v>5</v>
      </c>
      <c r="BB11" s="1">
        <f t="shared" si="26"/>
        <v>5</v>
      </c>
      <c r="BC11" s="1" t="str">
        <f t="shared" si="27"/>
        <v/>
      </c>
      <c r="BD11" s="1" t="str">
        <f t="shared" si="28"/>
        <v/>
      </c>
      <c r="BE11" s="1" t="str">
        <f t="shared" si="29"/>
        <v/>
      </c>
      <c r="BF11" s="1" t="str">
        <f t="shared" si="30"/>
        <v/>
      </c>
      <c r="BG11" s="1" t="str">
        <f t="shared" si="31"/>
        <v/>
      </c>
      <c r="BH11" s="1" t="str">
        <f t="shared" si="32"/>
        <v/>
      </c>
      <c r="BI11" s="1" t="str">
        <f t="shared" si="33"/>
        <v/>
      </c>
      <c r="BJ11" s="1" t="str">
        <f t="shared" si="34"/>
        <v/>
      </c>
    </row>
    <row r="12" ht="14.25" customHeight="1" spans="1:62">
      <c r="A12" s="10">
        <v>8</v>
      </c>
      <c r="B12" s="36" t="s">
        <v>162</v>
      </c>
      <c r="C12" s="10">
        <v>1888</v>
      </c>
      <c r="D12" s="10">
        <f t="shared" si="0"/>
        <v>1880</v>
      </c>
      <c r="E12" s="36" t="s">
        <v>136</v>
      </c>
      <c r="F12" s="35" t="s">
        <v>163</v>
      </c>
      <c r="G12" s="36" t="s">
        <v>164</v>
      </c>
      <c r="H12" s="10" t="s">
        <v>139</v>
      </c>
      <c r="I12" s="10" t="s">
        <v>140</v>
      </c>
      <c r="J12" s="10"/>
      <c r="K12" s="10">
        <v>5</v>
      </c>
      <c r="L12" s="10">
        <v>5</v>
      </c>
      <c r="M12" s="10">
        <v>5</v>
      </c>
      <c r="N12" s="10">
        <v>5</v>
      </c>
      <c r="O12" s="10">
        <v>1</v>
      </c>
      <c r="P12" s="10">
        <v>1</v>
      </c>
      <c r="Q12" s="10">
        <v>5</v>
      </c>
      <c r="R12" s="10">
        <v>5</v>
      </c>
      <c r="S12" s="10">
        <f t="shared" si="1"/>
        <v>1</v>
      </c>
      <c r="T12" s="10">
        <f t="shared" si="2"/>
        <v>1</v>
      </c>
      <c r="U12" s="10">
        <f t="shared" si="3"/>
        <v>1</v>
      </c>
      <c r="V12" s="10">
        <f t="shared" si="4"/>
        <v>1</v>
      </c>
      <c r="W12" s="10">
        <f t="shared" si="5"/>
        <v>0</v>
      </c>
      <c r="X12" s="10">
        <f t="shared" si="6"/>
        <v>0</v>
      </c>
      <c r="Y12" s="10">
        <f t="shared" si="7"/>
        <v>1</v>
      </c>
      <c r="Z12" s="10">
        <f t="shared" si="8"/>
        <v>1</v>
      </c>
      <c r="AA12" s="10">
        <f t="shared" si="9"/>
        <v>1</v>
      </c>
      <c r="AB12" s="10">
        <f t="shared" si="10"/>
        <v>1</v>
      </c>
      <c r="AC12" s="10">
        <f t="shared" si="11"/>
        <v>1</v>
      </c>
      <c r="AD12" s="10">
        <f t="shared" si="12"/>
        <v>1</v>
      </c>
      <c r="AE12" s="10">
        <f t="shared" si="13"/>
        <v>0</v>
      </c>
      <c r="AF12" s="10">
        <f t="shared" si="14"/>
        <v>0</v>
      </c>
      <c r="AG12" s="10">
        <f t="shared" si="15"/>
        <v>1</v>
      </c>
      <c r="AH12" s="10">
        <f t="shared" si="16"/>
        <v>1</v>
      </c>
      <c r="AI12" s="10">
        <f>IF(OR(S12="",'4_BENCHMARK'!$C$4=""),"",ABS(S12-'4_BENCHMARK'!$C$4))</f>
        <v>0</v>
      </c>
      <c r="AJ12" s="10">
        <f>IF(OR(T12="",'4_BENCHMARK'!$C$5=""),"",ABS(T12-'4_BENCHMARK'!$C$5))</f>
        <v>0</v>
      </c>
      <c r="AK12" s="10">
        <f>IF(OR(U12="",'4_BENCHMARK'!$C$6=""),"",ABS(U12-'4_BENCHMARK'!$C$6))</f>
        <v>0</v>
      </c>
      <c r="AL12" s="10">
        <f>IF(OR(V12="",'4_BENCHMARK'!$C$7=""),"",ABS(V12-'4_BENCHMARK'!$C$7))</f>
        <v>0</v>
      </c>
      <c r="AM12" s="10">
        <f>IF(OR(W12="",'4_BENCHMARK'!$C$8=""),"",ABS(W12-'4_BENCHMARK'!$C$8))</f>
        <v>0</v>
      </c>
      <c r="AN12" s="10">
        <f>IF(OR(X12="",'4_BENCHMARK'!$C$9=""),"",ABS(X12-'4_BENCHMARK'!$C$9))</f>
        <v>0</v>
      </c>
      <c r="AO12" s="10">
        <f>IF(OR(Y12="",'4_BENCHMARK'!$C$10=""),"",ABS(Y12-'4_BENCHMARK'!$C$10))</f>
        <v>0.5</v>
      </c>
      <c r="AP12" s="10">
        <f>IF(OR(Z12="",'4_BENCHMARK'!$C$11=""),"",ABS(Z12-'4_BENCHMARK'!$C$11))</f>
        <v>0</v>
      </c>
      <c r="AQ12" s="13">
        <f t="shared" si="17"/>
        <v>0.9375</v>
      </c>
      <c r="AR12" s="10"/>
      <c r="AS12" s="10" t="s">
        <v>141</v>
      </c>
      <c r="AT12" s="13">
        <f t="shared" si="18"/>
        <v>0.916666666666667</v>
      </c>
      <c r="AU12" s="1">
        <f t="shared" si="19"/>
        <v>5</v>
      </c>
      <c r="AV12" s="1">
        <f t="shared" si="20"/>
        <v>5</v>
      </c>
      <c r="AW12" s="1">
        <f t="shared" si="21"/>
        <v>5</v>
      </c>
      <c r="AX12" s="1">
        <f t="shared" si="22"/>
        <v>5</v>
      </c>
      <c r="AY12" s="1">
        <f t="shared" si="23"/>
        <v>1</v>
      </c>
      <c r="AZ12" s="1">
        <f t="shared" si="24"/>
        <v>1</v>
      </c>
      <c r="BA12" s="1">
        <f t="shared" si="25"/>
        <v>5</v>
      </c>
      <c r="BB12" s="1">
        <f t="shared" si="26"/>
        <v>5</v>
      </c>
      <c r="BC12" s="1" t="str">
        <f t="shared" si="27"/>
        <v/>
      </c>
      <c r="BD12" s="1" t="str">
        <f t="shared" si="28"/>
        <v/>
      </c>
      <c r="BE12" s="1" t="str">
        <f t="shared" si="29"/>
        <v/>
      </c>
      <c r="BF12" s="1" t="str">
        <f t="shared" si="30"/>
        <v/>
      </c>
      <c r="BG12" s="1" t="str">
        <f t="shared" si="31"/>
        <v/>
      </c>
      <c r="BH12" s="1" t="str">
        <f t="shared" si="32"/>
        <v/>
      </c>
      <c r="BI12" s="1" t="str">
        <f t="shared" si="33"/>
        <v/>
      </c>
      <c r="BJ12" s="1" t="str">
        <f t="shared" si="34"/>
        <v/>
      </c>
    </row>
    <row r="13" ht="14.25" customHeight="1" spans="1:62">
      <c r="A13" s="10">
        <v>9</v>
      </c>
      <c r="B13" s="36" t="s">
        <v>159</v>
      </c>
      <c r="C13" s="10">
        <v>1889</v>
      </c>
      <c r="D13" s="10">
        <f t="shared" si="0"/>
        <v>1880</v>
      </c>
      <c r="E13" s="36" t="s">
        <v>136</v>
      </c>
      <c r="F13" s="35" t="s">
        <v>165</v>
      </c>
      <c r="G13" s="36" t="s">
        <v>166</v>
      </c>
      <c r="H13" s="10" t="s">
        <v>139</v>
      </c>
      <c r="I13" s="10" t="s">
        <v>140</v>
      </c>
      <c r="J13" s="10"/>
      <c r="K13" s="10">
        <v>5</v>
      </c>
      <c r="L13" s="10">
        <v>5</v>
      </c>
      <c r="M13" s="10">
        <v>5</v>
      </c>
      <c r="N13" s="10">
        <v>5</v>
      </c>
      <c r="O13" s="10">
        <v>1</v>
      </c>
      <c r="P13" s="10">
        <v>1</v>
      </c>
      <c r="Q13" s="10">
        <v>5</v>
      </c>
      <c r="R13" s="10">
        <v>5</v>
      </c>
      <c r="S13" s="10">
        <f t="shared" si="1"/>
        <v>1</v>
      </c>
      <c r="T13" s="10">
        <f t="shared" si="2"/>
        <v>1</v>
      </c>
      <c r="U13" s="10">
        <f t="shared" si="3"/>
        <v>1</v>
      </c>
      <c r="V13" s="10">
        <f t="shared" si="4"/>
        <v>1</v>
      </c>
      <c r="W13" s="10">
        <f t="shared" si="5"/>
        <v>0</v>
      </c>
      <c r="X13" s="10">
        <f t="shared" si="6"/>
        <v>0</v>
      </c>
      <c r="Y13" s="10">
        <f t="shared" si="7"/>
        <v>1</v>
      </c>
      <c r="Z13" s="10">
        <f t="shared" si="8"/>
        <v>1</v>
      </c>
      <c r="AA13" s="10">
        <f t="shared" si="9"/>
        <v>1</v>
      </c>
      <c r="AB13" s="10">
        <f t="shared" si="10"/>
        <v>1</v>
      </c>
      <c r="AC13" s="10">
        <f t="shared" si="11"/>
        <v>1</v>
      </c>
      <c r="AD13" s="10">
        <f t="shared" si="12"/>
        <v>1</v>
      </c>
      <c r="AE13" s="10">
        <f t="shared" si="13"/>
        <v>0</v>
      </c>
      <c r="AF13" s="10">
        <f t="shared" si="14"/>
        <v>0</v>
      </c>
      <c r="AG13" s="10">
        <f t="shared" si="15"/>
        <v>1</v>
      </c>
      <c r="AH13" s="10">
        <f t="shared" si="16"/>
        <v>1</v>
      </c>
      <c r="AI13" s="10">
        <f>IF(OR(S13="",'4_BENCHMARK'!$C$4=""),"",ABS(S13-'4_BENCHMARK'!$C$4))</f>
        <v>0</v>
      </c>
      <c r="AJ13" s="10">
        <f>IF(OR(T13="",'4_BENCHMARK'!$C$5=""),"",ABS(T13-'4_BENCHMARK'!$C$5))</f>
        <v>0</v>
      </c>
      <c r="AK13" s="10">
        <f>IF(OR(U13="",'4_BENCHMARK'!$C$6=""),"",ABS(U13-'4_BENCHMARK'!$C$6))</f>
        <v>0</v>
      </c>
      <c r="AL13" s="10">
        <f>IF(OR(V13="",'4_BENCHMARK'!$C$7=""),"",ABS(V13-'4_BENCHMARK'!$C$7))</f>
        <v>0</v>
      </c>
      <c r="AM13" s="10">
        <f>IF(OR(W13="",'4_BENCHMARK'!$C$8=""),"",ABS(W13-'4_BENCHMARK'!$C$8))</f>
        <v>0</v>
      </c>
      <c r="AN13" s="10">
        <f>IF(OR(X13="",'4_BENCHMARK'!$C$9=""),"",ABS(X13-'4_BENCHMARK'!$C$9))</f>
        <v>0</v>
      </c>
      <c r="AO13" s="10">
        <f>IF(OR(Y13="",'4_BENCHMARK'!$C$10=""),"",ABS(Y13-'4_BENCHMARK'!$C$10))</f>
        <v>0.5</v>
      </c>
      <c r="AP13" s="10">
        <f>IF(OR(Z13="",'4_BENCHMARK'!$C$11=""),"",ABS(Z13-'4_BENCHMARK'!$C$11))</f>
        <v>0</v>
      </c>
      <c r="AQ13" s="13">
        <f t="shared" si="17"/>
        <v>0.9375</v>
      </c>
      <c r="AR13" s="10"/>
      <c r="AS13" s="10" t="s">
        <v>141</v>
      </c>
      <c r="AT13" s="13">
        <f t="shared" si="18"/>
        <v>0.916666666666667</v>
      </c>
      <c r="AU13" s="1">
        <f t="shared" si="19"/>
        <v>5</v>
      </c>
      <c r="AV13" s="1">
        <f t="shared" si="20"/>
        <v>5</v>
      </c>
      <c r="AW13" s="1">
        <f t="shared" si="21"/>
        <v>5</v>
      </c>
      <c r="AX13" s="1">
        <f t="shared" si="22"/>
        <v>5</v>
      </c>
      <c r="AY13" s="1">
        <f t="shared" si="23"/>
        <v>1</v>
      </c>
      <c r="AZ13" s="1">
        <f t="shared" si="24"/>
        <v>1</v>
      </c>
      <c r="BA13" s="1">
        <f t="shared" si="25"/>
        <v>5</v>
      </c>
      <c r="BB13" s="1">
        <f t="shared" si="26"/>
        <v>5</v>
      </c>
      <c r="BC13" s="1" t="str">
        <f t="shared" si="27"/>
        <v/>
      </c>
      <c r="BD13" s="1" t="str">
        <f t="shared" si="28"/>
        <v/>
      </c>
      <c r="BE13" s="1" t="str">
        <f t="shared" si="29"/>
        <v/>
      </c>
      <c r="BF13" s="1" t="str">
        <f t="shared" si="30"/>
        <v/>
      </c>
      <c r="BG13" s="1" t="str">
        <f t="shared" si="31"/>
        <v/>
      </c>
      <c r="BH13" s="1" t="str">
        <f t="shared" si="32"/>
        <v/>
      </c>
      <c r="BI13" s="1" t="str">
        <f t="shared" si="33"/>
        <v/>
      </c>
      <c r="BJ13" s="1" t="str">
        <f t="shared" si="34"/>
        <v/>
      </c>
    </row>
    <row r="14" ht="14.25" customHeight="1" spans="1:62">
      <c r="A14" s="10">
        <v>10</v>
      </c>
      <c r="B14" s="36" t="s">
        <v>167</v>
      </c>
      <c r="C14" s="10">
        <v>1926</v>
      </c>
      <c r="D14" s="10">
        <f t="shared" si="0"/>
        <v>1920</v>
      </c>
      <c r="E14" s="36" t="s">
        <v>136</v>
      </c>
      <c r="F14" s="35" t="s">
        <v>168</v>
      </c>
      <c r="G14" s="36" t="s">
        <v>169</v>
      </c>
      <c r="H14" s="10" t="s">
        <v>139</v>
      </c>
      <c r="I14" s="10" t="s">
        <v>140</v>
      </c>
      <c r="J14" s="10"/>
      <c r="K14" s="10">
        <v>5</v>
      </c>
      <c r="L14" s="10">
        <v>5</v>
      </c>
      <c r="M14" s="10">
        <v>5</v>
      </c>
      <c r="N14" s="10">
        <v>5</v>
      </c>
      <c r="O14" s="10">
        <v>1</v>
      </c>
      <c r="P14" s="10">
        <v>1</v>
      </c>
      <c r="Q14" s="10">
        <v>3</v>
      </c>
      <c r="R14" s="10">
        <v>5</v>
      </c>
      <c r="S14" s="10">
        <f t="shared" si="1"/>
        <v>1</v>
      </c>
      <c r="T14" s="10">
        <f t="shared" si="2"/>
        <v>1</v>
      </c>
      <c r="U14" s="10">
        <f t="shared" si="3"/>
        <v>1</v>
      </c>
      <c r="V14" s="10">
        <f t="shared" si="4"/>
        <v>1</v>
      </c>
      <c r="W14" s="10">
        <f t="shared" si="5"/>
        <v>0</v>
      </c>
      <c r="X14" s="10">
        <f t="shared" si="6"/>
        <v>0</v>
      </c>
      <c r="Y14" s="10">
        <f t="shared" si="7"/>
        <v>0.5</v>
      </c>
      <c r="Z14" s="10">
        <f t="shared" si="8"/>
        <v>1</v>
      </c>
      <c r="AA14" s="10">
        <f t="shared" si="9"/>
        <v>1</v>
      </c>
      <c r="AB14" s="10">
        <f t="shared" si="10"/>
        <v>1</v>
      </c>
      <c r="AC14" s="10">
        <f t="shared" si="11"/>
        <v>1</v>
      </c>
      <c r="AD14" s="10">
        <f t="shared" si="12"/>
        <v>1</v>
      </c>
      <c r="AE14" s="10">
        <f t="shared" si="13"/>
        <v>0</v>
      </c>
      <c r="AF14" s="10">
        <f t="shared" si="14"/>
        <v>0</v>
      </c>
      <c r="AG14" s="10">
        <f t="shared" si="15"/>
        <v>0.5</v>
      </c>
      <c r="AH14" s="10">
        <f t="shared" si="16"/>
        <v>1</v>
      </c>
      <c r="AI14" s="10">
        <f>IF(OR(S14="",'4_BENCHMARK'!$C$4=""),"",ABS(S14-'4_BENCHMARK'!$C$4))</f>
        <v>0</v>
      </c>
      <c r="AJ14" s="10">
        <f>IF(OR(T14="",'4_BENCHMARK'!$C$5=""),"",ABS(T14-'4_BENCHMARK'!$C$5))</f>
        <v>0</v>
      </c>
      <c r="AK14" s="10">
        <f>IF(OR(U14="",'4_BENCHMARK'!$C$6=""),"",ABS(U14-'4_BENCHMARK'!$C$6))</f>
        <v>0</v>
      </c>
      <c r="AL14" s="10">
        <f>IF(OR(V14="",'4_BENCHMARK'!$C$7=""),"",ABS(V14-'4_BENCHMARK'!$C$7))</f>
        <v>0</v>
      </c>
      <c r="AM14" s="10">
        <f>IF(OR(W14="",'4_BENCHMARK'!$C$8=""),"",ABS(W14-'4_BENCHMARK'!$C$8))</f>
        <v>0</v>
      </c>
      <c r="AN14" s="10">
        <f>IF(OR(X14="",'4_BENCHMARK'!$C$9=""),"",ABS(X14-'4_BENCHMARK'!$C$9))</f>
        <v>0</v>
      </c>
      <c r="AO14" s="10">
        <f>IF(OR(Y14="",'4_BENCHMARK'!$C$10=""),"",ABS(Y14-'4_BENCHMARK'!$C$10))</f>
        <v>0</v>
      </c>
      <c r="AP14" s="10">
        <f>IF(OR(Z14="",'4_BENCHMARK'!$C$11=""),"",ABS(Z14-'4_BENCHMARK'!$C$11))</f>
        <v>0</v>
      </c>
      <c r="AQ14" s="13">
        <f t="shared" si="17"/>
        <v>1</v>
      </c>
      <c r="AR14" s="10"/>
      <c r="AS14" s="10" t="s">
        <v>141</v>
      </c>
      <c r="AT14" s="13">
        <f t="shared" si="18"/>
        <v>1</v>
      </c>
      <c r="AU14" s="1">
        <f t="shared" si="19"/>
        <v>5</v>
      </c>
      <c r="AV14" s="1">
        <f t="shared" si="20"/>
        <v>5</v>
      </c>
      <c r="AW14" s="1">
        <f t="shared" si="21"/>
        <v>5</v>
      </c>
      <c r="AX14" s="1">
        <f t="shared" si="22"/>
        <v>5</v>
      </c>
      <c r="AY14" s="1">
        <f t="shared" si="23"/>
        <v>1</v>
      </c>
      <c r="AZ14" s="1">
        <f t="shared" si="24"/>
        <v>1</v>
      </c>
      <c r="BA14" s="1">
        <f t="shared" si="25"/>
        <v>3</v>
      </c>
      <c r="BB14" s="1">
        <f t="shared" si="26"/>
        <v>5</v>
      </c>
      <c r="BC14" s="1" t="str">
        <f t="shared" si="27"/>
        <v/>
      </c>
      <c r="BD14" s="1" t="str">
        <f t="shared" si="28"/>
        <v/>
      </c>
      <c r="BE14" s="1" t="str">
        <f t="shared" si="29"/>
        <v/>
      </c>
      <c r="BF14" s="1" t="str">
        <f t="shared" si="30"/>
        <v/>
      </c>
      <c r="BG14" s="1" t="str">
        <f t="shared" si="31"/>
        <v/>
      </c>
      <c r="BH14" s="1" t="str">
        <f t="shared" si="32"/>
        <v/>
      </c>
      <c r="BI14" s="1" t="str">
        <f t="shared" si="33"/>
        <v/>
      </c>
      <c r="BJ14" s="1" t="str">
        <f t="shared" si="34"/>
        <v/>
      </c>
    </row>
    <row r="15" ht="14.25" customHeight="1" spans="1:62">
      <c r="A15" s="10">
        <v>11</v>
      </c>
      <c r="B15" s="36" t="s">
        <v>170</v>
      </c>
      <c r="C15" s="10">
        <v>1929</v>
      </c>
      <c r="D15" s="10">
        <f t="shared" si="0"/>
        <v>1920</v>
      </c>
      <c r="E15" s="36" t="s">
        <v>136</v>
      </c>
      <c r="F15" s="35" t="s">
        <v>171</v>
      </c>
      <c r="G15" s="36" t="s">
        <v>172</v>
      </c>
      <c r="H15" s="10" t="s">
        <v>139</v>
      </c>
      <c r="I15" s="10" t="s">
        <v>140</v>
      </c>
      <c r="J15" s="10"/>
      <c r="K15" s="10">
        <v>5</v>
      </c>
      <c r="L15" s="10">
        <v>5</v>
      </c>
      <c r="M15" s="10">
        <v>5</v>
      </c>
      <c r="N15" s="10">
        <v>5</v>
      </c>
      <c r="O15" s="10">
        <v>5</v>
      </c>
      <c r="P15" s="10">
        <v>5</v>
      </c>
      <c r="Q15" s="10">
        <v>2</v>
      </c>
      <c r="R15" s="10">
        <v>5</v>
      </c>
      <c r="S15" s="10">
        <f t="shared" si="1"/>
        <v>1</v>
      </c>
      <c r="T15" s="10">
        <f t="shared" si="2"/>
        <v>1</v>
      </c>
      <c r="U15" s="10">
        <f t="shared" si="3"/>
        <v>1</v>
      </c>
      <c r="V15" s="10">
        <f t="shared" si="4"/>
        <v>1</v>
      </c>
      <c r="W15" s="10">
        <f t="shared" si="5"/>
        <v>1</v>
      </c>
      <c r="X15" s="10">
        <f t="shared" si="6"/>
        <v>1</v>
      </c>
      <c r="Y15" s="10">
        <f t="shared" si="7"/>
        <v>0.25</v>
      </c>
      <c r="Z15" s="10">
        <f t="shared" si="8"/>
        <v>1</v>
      </c>
      <c r="AA15" s="10">
        <f t="shared" si="9"/>
        <v>1</v>
      </c>
      <c r="AB15" s="10">
        <f t="shared" si="10"/>
        <v>1</v>
      </c>
      <c r="AC15" s="10">
        <f t="shared" si="11"/>
        <v>1</v>
      </c>
      <c r="AD15" s="10">
        <f t="shared" si="12"/>
        <v>1</v>
      </c>
      <c r="AE15" s="10">
        <f t="shared" si="13"/>
        <v>1</v>
      </c>
      <c r="AF15" s="10">
        <f t="shared" si="14"/>
        <v>1</v>
      </c>
      <c r="AG15" s="10">
        <f t="shared" si="15"/>
        <v>0.25</v>
      </c>
      <c r="AH15" s="10">
        <f t="shared" si="16"/>
        <v>1</v>
      </c>
      <c r="AI15" s="10">
        <f>IF(OR(S15="",'4_BENCHMARK'!$C$4=""),"",ABS(S15-'4_BENCHMARK'!$C$4))</f>
        <v>0</v>
      </c>
      <c r="AJ15" s="10">
        <f>IF(OR(T15="",'4_BENCHMARK'!$C$5=""),"",ABS(T15-'4_BENCHMARK'!$C$5))</f>
        <v>0</v>
      </c>
      <c r="AK15" s="10">
        <f>IF(OR(U15="",'4_BENCHMARK'!$C$6=""),"",ABS(U15-'4_BENCHMARK'!$C$6))</f>
        <v>0</v>
      </c>
      <c r="AL15" s="10">
        <f>IF(OR(V15="",'4_BENCHMARK'!$C$7=""),"",ABS(V15-'4_BENCHMARK'!$C$7))</f>
        <v>0</v>
      </c>
      <c r="AM15" s="10">
        <f>IF(OR(W15="",'4_BENCHMARK'!$C$8=""),"",ABS(W15-'4_BENCHMARK'!$C$8))</f>
        <v>1</v>
      </c>
      <c r="AN15" s="10">
        <f>IF(OR(X15="",'4_BENCHMARK'!$C$9=""),"",ABS(X15-'4_BENCHMARK'!$C$9))</f>
        <v>1</v>
      </c>
      <c r="AO15" s="10">
        <f>IF(OR(Y15="",'4_BENCHMARK'!$C$10=""),"",ABS(Y15-'4_BENCHMARK'!$C$10))</f>
        <v>0.25</v>
      </c>
      <c r="AP15" s="10">
        <f>IF(OR(Z15="",'4_BENCHMARK'!$C$11=""),"",ABS(Z15-'4_BENCHMARK'!$C$11))</f>
        <v>0</v>
      </c>
      <c r="AQ15" s="13">
        <f t="shared" si="17"/>
        <v>0.71875</v>
      </c>
      <c r="AR15" s="10"/>
      <c r="AS15" s="10" t="s">
        <v>141</v>
      </c>
      <c r="AT15" s="13">
        <f t="shared" si="18"/>
        <v>0.958333333333333</v>
      </c>
      <c r="AU15" s="1">
        <f t="shared" si="19"/>
        <v>5</v>
      </c>
      <c r="AV15" s="1">
        <f t="shared" si="20"/>
        <v>5</v>
      </c>
      <c r="AW15" s="1">
        <f t="shared" si="21"/>
        <v>5</v>
      </c>
      <c r="AX15" s="1">
        <f t="shared" si="22"/>
        <v>5</v>
      </c>
      <c r="AY15" s="1">
        <f t="shared" si="23"/>
        <v>5</v>
      </c>
      <c r="AZ15" s="1">
        <f t="shared" si="24"/>
        <v>5</v>
      </c>
      <c r="BA15" s="1">
        <f t="shared" si="25"/>
        <v>2</v>
      </c>
      <c r="BB15" s="1">
        <f t="shared" si="26"/>
        <v>5</v>
      </c>
      <c r="BC15" s="1" t="str">
        <f t="shared" si="27"/>
        <v/>
      </c>
      <c r="BD15" s="1" t="str">
        <f t="shared" si="28"/>
        <v/>
      </c>
      <c r="BE15" s="1" t="str">
        <f t="shared" si="29"/>
        <v/>
      </c>
      <c r="BF15" s="1" t="str">
        <f t="shared" si="30"/>
        <v/>
      </c>
      <c r="BG15" s="1" t="str">
        <f t="shared" si="31"/>
        <v/>
      </c>
      <c r="BH15" s="1" t="str">
        <f t="shared" si="32"/>
        <v/>
      </c>
      <c r="BI15" s="1" t="str">
        <f t="shared" si="33"/>
        <v/>
      </c>
      <c r="BJ15" s="1" t="str">
        <f t="shared" si="34"/>
        <v/>
      </c>
    </row>
    <row r="16" ht="14.25" customHeight="1" spans="1:62">
      <c r="A16" s="10">
        <v>12</v>
      </c>
      <c r="B16" s="36" t="s">
        <v>173</v>
      </c>
      <c r="C16" s="10">
        <v>1932</v>
      </c>
      <c r="D16" s="10">
        <f t="shared" si="0"/>
        <v>1930</v>
      </c>
      <c r="E16" s="36" t="s">
        <v>136</v>
      </c>
      <c r="F16" s="35" t="s">
        <v>174</v>
      </c>
      <c r="G16" s="36" t="s">
        <v>175</v>
      </c>
      <c r="H16" s="10" t="s">
        <v>139</v>
      </c>
      <c r="I16" s="10" t="s">
        <v>140</v>
      </c>
      <c r="J16" s="10"/>
      <c r="K16" s="10">
        <v>5</v>
      </c>
      <c r="L16" s="10">
        <v>5</v>
      </c>
      <c r="M16" s="10">
        <v>5</v>
      </c>
      <c r="N16" s="10">
        <v>5</v>
      </c>
      <c r="O16" s="10">
        <v>5</v>
      </c>
      <c r="P16" s="10">
        <v>5</v>
      </c>
      <c r="Q16" s="10">
        <v>2</v>
      </c>
      <c r="R16" s="10">
        <v>5</v>
      </c>
      <c r="S16" s="10">
        <f t="shared" si="1"/>
        <v>1</v>
      </c>
      <c r="T16" s="10">
        <f t="shared" si="2"/>
        <v>1</v>
      </c>
      <c r="U16" s="10">
        <f t="shared" si="3"/>
        <v>1</v>
      </c>
      <c r="V16" s="10">
        <f t="shared" si="4"/>
        <v>1</v>
      </c>
      <c r="W16" s="10">
        <f t="shared" si="5"/>
        <v>1</v>
      </c>
      <c r="X16" s="10">
        <f t="shared" si="6"/>
        <v>1</v>
      </c>
      <c r="Y16" s="10">
        <f t="shared" si="7"/>
        <v>0.25</v>
      </c>
      <c r="Z16" s="10">
        <f t="shared" si="8"/>
        <v>1</v>
      </c>
      <c r="AA16" s="10">
        <f t="shared" si="9"/>
        <v>1</v>
      </c>
      <c r="AB16" s="10">
        <f t="shared" si="10"/>
        <v>1</v>
      </c>
      <c r="AC16" s="10">
        <f t="shared" si="11"/>
        <v>1</v>
      </c>
      <c r="AD16" s="10">
        <f t="shared" si="12"/>
        <v>1</v>
      </c>
      <c r="AE16" s="10">
        <f t="shared" si="13"/>
        <v>1</v>
      </c>
      <c r="AF16" s="10">
        <f t="shared" si="14"/>
        <v>1</v>
      </c>
      <c r="AG16" s="10">
        <f t="shared" si="15"/>
        <v>0.25</v>
      </c>
      <c r="AH16" s="10">
        <f t="shared" si="16"/>
        <v>1</v>
      </c>
      <c r="AI16" s="10">
        <f>IF(OR(S16="",'4_BENCHMARK'!$C$4=""),"",ABS(S16-'4_BENCHMARK'!$C$4))</f>
        <v>0</v>
      </c>
      <c r="AJ16" s="10">
        <f>IF(OR(T16="",'4_BENCHMARK'!$C$5=""),"",ABS(T16-'4_BENCHMARK'!$C$5))</f>
        <v>0</v>
      </c>
      <c r="AK16" s="10">
        <f>IF(OR(U16="",'4_BENCHMARK'!$C$6=""),"",ABS(U16-'4_BENCHMARK'!$C$6))</f>
        <v>0</v>
      </c>
      <c r="AL16" s="10">
        <f>IF(OR(V16="",'4_BENCHMARK'!$C$7=""),"",ABS(V16-'4_BENCHMARK'!$C$7))</f>
        <v>0</v>
      </c>
      <c r="AM16" s="10">
        <f>IF(OR(W16="",'4_BENCHMARK'!$C$8=""),"",ABS(W16-'4_BENCHMARK'!$C$8))</f>
        <v>1</v>
      </c>
      <c r="AN16" s="10">
        <f>IF(OR(X16="",'4_BENCHMARK'!$C$9=""),"",ABS(X16-'4_BENCHMARK'!$C$9))</f>
        <v>1</v>
      </c>
      <c r="AO16" s="10">
        <f>IF(OR(Y16="",'4_BENCHMARK'!$C$10=""),"",ABS(Y16-'4_BENCHMARK'!$C$10))</f>
        <v>0.25</v>
      </c>
      <c r="AP16" s="10">
        <f>IF(OR(Z16="",'4_BENCHMARK'!$C$11=""),"",ABS(Z16-'4_BENCHMARK'!$C$11))</f>
        <v>0</v>
      </c>
      <c r="AQ16" s="13">
        <f t="shared" si="17"/>
        <v>0.71875</v>
      </c>
      <c r="AR16" s="10"/>
      <c r="AS16" s="10" t="s">
        <v>141</v>
      </c>
      <c r="AT16" s="13">
        <f t="shared" si="18"/>
        <v>0.958333333333333</v>
      </c>
      <c r="AU16" s="1">
        <f t="shared" si="19"/>
        <v>5</v>
      </c>
      <c r="AV16" s="1">
        <f t="shared" si="20"/>
        <v>5</v>
      </c>
      <c r="AW16" s="1">
        <f t="shared" si="21"/>
        <v>5</v>
      </c>
      <c r="AX16" s="1">
        <f t="shared" si="22"/>
        <v>5</v>
      </c>
      <c r="AY16" s="1">
        <f t="shared" si="23"/>
        <v>5</v>
      </c>
      <c r="AZ16" s="1">
        <f t="shared" si="24"/>
        <v>5</v>
      </c>
      <c r="BA16" s="1">
        <f t="shared" si="25"/>
        <v>2</v>
      </c>
      <c r="BB16" s="1">
        <f t="shared" si="26"/>
        <v>5</v>
      </c>
      <c r="BC16" s="1" t="str">
        <f t="shared" si="27"/>
        <v/>
      </c>
      <c r="BD16" s="1" t="str">
        <f t="shared" si="28"/>
        <v/>
      </c>
      <c r="BE16" s="1" t="str">
        <f t="shared" si="29"/>
        <v/>
      </c>
      <c r="BF16" s="1" t="str">
        <f t="shared" si="30"/>
        <v/>
      </c>
      <c r="BG16" s="1" t="str">
        <f t="shared" si="31"/>
        <v/>
      </c>
      <c r="BH16" s="1" t="str">
        <f t="shared" si="32"/>
        <v/>
      </c>
      <c r="BI16" s="1" t="str">
        <f t="shared" si="33"/>
        <v/>
      </c>
      <c r="BJ16" s="1" t="str">
        <f t="shared" si="34"/>
        <v/>
      </c>
    </row>
    <row r="17" ht="14.25" customHeight="1" spans="1:62">
      <c r="A17" s="10">
        <v>13</v>
      </c>
      <c r="B17" s="10" t="s">
        <v>176</v>
      </c>
      <c r="C17" s="10">
        <v>2021</v>
      </c>
      <c r="D17" s="10">
        <f t="shared" si="0"/>
        <v>2020</v>
      </c>
      <c r="E17" s="10" t="s">
        <v>136</v>
      </c>
      <c r="F17" s="35" t="s">
        <v>177</v>
      </c>
      <c r="G17" s="10" t="s">
        <v>178</v>
      </c>
      <c r="H17" s="10" t="s">
        <v>140</v>
      </c>
      <c r="I17" s="10" t="s">
        <v>140</v>
      </c>
      <c r="J17" s="10"/>
      <c r="K17" s="10">
        <v>5</v>
      </c>
      <c r="L17" s="10">
        <v>5</v>
      </c>
      <c r="M17" s="10">
        <v>5</v>
      </c>
      <c r="N17" s="10">
        <v>4</v>
      </c>
      <c r="O17" s="10">
        <v>5</v>
      </c>
      <c r="P17" s="10">
        <v>3</v>
      </c>
      <c r="Q17" s="10">
        <v>5</v>
      </c>
      <c r="R17" s="10">
        <v>5</v>
      </c>
      <c r="S17" s="10">
        <f t="shared" si="1"/>
        <v>1</v>
      </c>
      <c r="T17" s="10">
        <f t="shared" si="2"/>
        <v>1</v>
      </c>
      <c r="U17" s="10">
        <f t="shared" si="3"/>
        <v>1</v>
      </c>
      <c r="V17" s="10">
        <f t="shared" si="4"/>
        <v>0.75</v>
      </c>
      <c r="W17" s="10">
        <f t="shared" si="5"/>
        <v>1</v>
      </c>
      <c r="X17" s="10">
        <f t="shared" si="6"/>
        <v>0.5</v>
      </c>
      <c r="Y17" s="10">
        <f t="shared" si="7"/>
        <v>1</v>
      </c>
      <c r="Z17" s="10">
        <f t="shared" si="8"/>
        <v>1</v>
      </c>
      <c r="AA17" s="10" t="str">
        <f t="shared" si="9"/>
        <v/>
      </c>
      <c r="AB17" s="10" t="str">
        <f t="shared" si="10"/>
        <v/>
      </c>
      <c r="AC17" s="10" t="str">
        <f t="shared" si="11"/>
        <v/>
      </c>
      <c r="AD17" s="10" t="str">
        <f t="shared" si="12"/>
        <v/>
      </c>
      <c r="AE17" s="10" t="str">
        <f t="shared" si="13"/>
        <v/>
      </c>
      <c r="AF17" s="10" t="str">
        <f t="shared" si="14"/>
        <v/>
      </c>
      <c r="AG17" s="10" t="str">
        <f t="shared" si="15"/>
        <v/>
      </c>
      <c r="AH17" s="10" t="str">
        <f t="shared" si="16"/>
        <v/>
      </c>
      <c r="AI17" s="10">
        <f>IF(OR(S17="",'4_BENCHMARK'!$C$4=""),"",ABS(S17-'4_BENCHMARK'!$C$4))</f>
        <v>0</v>
      </c>
      <c r="AJ17" s="10">
        <f>IF(OR(T17="",'4_BENCHMARK'!$C$5=""),"",ABS(T17-'4_BENCHMARK'!$C$5))</f>
        <v>0</v>
      </c>
      <c r="AK17" s="10">
        <f>IF(OR(U17="",'4_BENCHMARK'!$C$6=""),"",ABS(U17-'4_BENCHMARK'!$C$6))</f>
        <v>0</v>
      </c>
      <c r="AL17" s="10">
        <f>IF(OR(V17="",'4_BENCHMARK'!$C$7=""),"",ABS(V17-'4_BENCHMARK'!$C$7))</f>
        <v>0.25</v>
      </c>
      <c r="AM17" s="10">
        <f>IF(OR(W17="",'4_BENCHMARK'!$C$8=""),"",ABS(W17-'4_BENCHMARK'!$C$8))</f>
        <v>1</v>
      </c>
      <c r="AN17" s="10">
        <f>IF(OR(X17="",'4_BENCHMARK'!$C$9=""),"",ABS(X17-'4_BENCHMARK'!$C$9))</f>
        <v>0.5</v>
      </c>
      <c r="AO17" s="10">
        <f>IF(OR(Y17="",'4_BENCHMARK'!$C$10=""),"",ABS(Y17-'4_BENCHMARK'!$C$10))</f>
        <v>0.5</v>
      </c>
      <c r="AP17" s="10">
        <f>IF(OR(Z17="",'4_BENCHMARK'!$C$11=""),"",ABS(Z17-'4_BENCHMARK'!$C$11))</f>
        <v>0</v>
      </c>
      <c r="AQ17" s="13">
        <f t="shared" si="17"/>
        <v>0.71875</v>
      </c>
      <c r="AR17" s="10"/>
      <c r="AS17" s="10" t="s">
        <v>141</v>
      </c>
      <c r="AT17" s="13">
        <f t="shared" si="18"/>
        <v>0.875</v>
      </c>
      <c r="AU17" s="1" t="str">
        <f t="shared" si="19"/>
        <v/>
      </c>
      <c r="AV17" s="1" t="str">
        <f t="shared" si="20"/>
        <v/>
      </c>
      <c r="AW17" s="1" t="str">
        <f t="shared" si="21"/>
        <v/>
      </c>
      <c r="AX17" s="1" t="str">
        <f t="shared" si="22"/>
        <v/>
      </c>
      <c r="AY17" s="1" t="str">
        <f t="shared" si="23"/>
        <v/>
      </c>
      <c r="AZ17" s="1" t="str">
        <f t="shared" si="24"/>
        <v/>
      </c>
      <c r="BA17" s="1" t="str">
        <f t="shared" si="25"/>
        <v/>
      </c>
      <c r="BB17" s="1" t="str">
        <f t="shared" si="26"/>
        <v/>
      </c>
      <c r="BC17" s="1">
        <f t="shared" si="27"/>
        <v>5</v>
      </c>
      <c r="BD17" s="1">
        <f t="shared" si="28"/>
        <v>5</v>
      </c>
      <c r="BE17" s="1">
        <f t="shared" si="29"/>
        <v>5</v>
      </c>
      <c r="BF17" s="1">
        <f t="shared" si="30"/>
        <v>4</v>
      </c>
      <c r="BG17" s="1">
        <f t="shared" si="31"/>
        <v>5</v>
      </c>
      <c r="BH17" s="1">
        <f t="shared" si="32"/>
        <v>3</v>
      </c>
      <c r="BI17" s="1">
        <f t="shared" si="33"/>
        <v>5</v>
      </c>
      <c r="BJ17" s="1">
        <f t="shared" si="34"/>
        <v>5</v>
      </c>
    </row>
    <row r="18" ht="14.25" customHeight="1" spans="1:62">
      <c r="A18" s="10">
        <v>14</v>
      </c>
      <c r="B18" s="10" t="s">
        <v>179</v>
      </c>
      <c r="C18" s="10">
        <v>1934</v>
      </c>
      <c r="D18" s="10">
        <f t="shared" si="0"/>
        <v>1930</v>
      </c>
      <c r="E18" s="10" t="s">
        <v>136</v>
      </c>
      <c r="F18" s="35" t="s">
        <v>180</v>
      </c>
      <c r="G18" s="10" t="s">
        <v>181</v>
      </c>
      <c r="H18" s="10" t="s">
        <v>139</v>
      </c>
      <c r="I18" s="10" t="s">
        <v>140</v>
      </c>
      <c r="J18" s="10"/>
      <c r="K18" s="10">
        <v>5</v>
      </c>
      <c r="L18" s="10">
        <v>5</v>
      </c>
      <c r="M18" s="10">
        <v>5</v>
      </c>
      <c r="N18" s="10">
        <v>5</v>
      </c>
      <c r="O18" s="10">
        <v>5</v>
      </c>
      <c r="P18" s="10">
        <v>5</v>
      </c>
      <c r="Q18" s="10">
        <v>3</v>
      </c>
      <c r="R18" s="10">
        <v>5</v>
      </c>
      <c r="S18" s="10">
        <f t="shared" si="1"/>
        <v>1</v>
      </c>
      <c r="T18" s="10">
        <f t="shared" si="2"/>
        <v>1</v>
      </c>
      <c r="U18" s="10">
        <f t="shared" si="3"/>
        <v>1</v>
      </c>
      <c r="V18" s="10">
        <f t="shared" si="4"/>
        <v>1</v>
      </c>
      <c r="W18" s="10">
        <f t="shared" si="5"/>
        <v>1</v>
      </c>
      <c r="X18" s="10">
        <f t="shared" si="6"/>
        <v>1</v>
      </c>
      <c r="Y18" s="10">
        <f t="shared" si="7"/>
        <v>0.5</v>
      </c>
      <c r="Z18" s="10">
        <f t="shared" si="8"/>
        <v>1</v>
      </c>
      <c r="AA18" s="10">
        <f t="shared" si="9"/>
        <v>1</v>
      </c>
      <c r="AB18" s="10">
        <f t="shared" si="10"/>
        <v>1</v>
      </c>
      <c r="AC18" s="10">
        <f t="shared" si="11"/>
        <v>1</v>
      </c>
      <c r="AD18" s="10">
        <f t="shared" si="12"/>
        <v>1</v>
      </c>
      <c r="AE18" s="10">
        <f t="shared" si="13"/>
        <v>1</v>
      </c>
      <c r="AF18" s="10">
        <f t="shared" si="14"/>
        <v>1</v>
      </c>
      <c r="AG18" s="10">
        <f t="shared" si="15"/>
        <v>0.5</v>
      </c>
      <c r="AH18" s="10">
        <f t="shared" si="16"/>
        <v>1</v>
      </c>
      <c r="AI18" s="10">
        <f>IF(OR(S18="",'4_BENCHMARK'!$C$4=""),"",ABS(S18-'4_BENCHMARK'!$C$4))</f>
        <v>0</v>
      </c>
      <c r="AJ18" s="10">
        <f>IF(OR(T18="",'4_BENCHMARK'!$C$5=""),"",ABS(T18-'4_BENCHMARK'!$C$5))</f>
        <v>0</v>
      </c>
      <c r="AK18" s="10">
        <f>IF(OR(U18="",'4_BENCHMARK'!$C$6=""),"",ABS(U18-'4_BENCHMARK'!$C$6))</f>
        <v>0</v>
      </c>
      <c r="AL18" s="10">
        <f>IF(OR(V18="",'4_BENCHMARK'!$C$7=""),"",ABS(V18-'4_BENCHMARK'!$C$7))</f>
        <v>0</v>
      </c>
      <c r="AM18" s="10">
        <f>IF(OR(W18="",'4_BENCHMARK'!$C$8=""),"",ABS(W18-'4_BENCHMARK'!$C$8))</f>
        <v>1</v>
      </c>
      <c r="AN18" s="10">
        <f>IF(OR(X18="",'4_BENCHMARK'!$C$9=""),"",ABS(X18-'4_BENCHMARK'!$C$9))</f>
        <v>1</v>
      </c>
      <c r="AO18" s="10">
        <f>IF(OR(Y18="",'4_BENCHMARK'!$C$10=""),"",ABS(Y18-'4_BENCHMARK'!$C$10))</f>
        <v>0</v>
      </c>
      <c r="AP18" s="10">
        <f>IF(OR(Z18="",'4_BENCHMARK'!$C$11=""),"",ABS(Z18-'4_BENCHMARK'!$C$11))</f>
        <v>0</v>
      </c>
      <c r="AQ18" s="13">
        <f t="shared" si="17"/>
        <v>0.75</v>
      </c>
      <c r="AR18" s="10"/>
      <c r="AS18" s="10" t="s">
        <v>141</v>
      </c>
      <c r="AT18" s="13">
        <f t="shared" si="18"/>
        <v>1</v>
      </c>
      <c r="AU18" s="1">
        <f t="shared" si="19"/>
        <v>5</v>
      </c>
      <c r="AV18" s="1">
        <f t="shared" si="20"/>
        <v>5</v>
      </c>
      <c r="AW18" s="1">
        <f t="shared" si="21"/>
        <v>5</v>
      </c>
      <c r="AX18" s="1">
        <f t="shared" si="22"/>
        <v>5</v>
      </c>
      <c r="AY18" s="1">
        <f t="shared" si="23"/>
        <v>5</v>
      </c>
      <c r="AZ18" s="1">
        <f t="shared" si="24"/>
        <v>5</v>
      </c>
      <c r="BA18" s="1">
        <f t="shared" si="25"/>
        <v>3</v>
      </c>
      <c r="BB18" s="1">
        <f t="shared" si="26"/>
        <v>5</v>
      </c>
      <c r="BC18" s="1" t="str">
        <f t="shared" si="27"/>
        <v/>
      </c>
      <c r="BD18" s="1" t="str">
        <f t="shared" si="28"/>
        <v/>
      </c>
      <c r="BE18" s="1" t="str">
        <f t="shared" si="29"/>
        <v/>
      </c>
      <c r="BF18" s="1" t="str">
        <f t="shared" si="30"/>
        <v/>
      </c>
      <c r="BG18" s="1" t="str">
        <f t="shared" si="31"/>
        <v/>
      </c>
      <c r="BH18" s="1" t="str">
        <f t="shared" si="32"/>
        <v/>
      </c>
      <c r="BI18" s="1" t="str">
        <f t="shared" si="33"/>
        <v/>
      </c>
      <c r="BJ18" s="1" t="str">
        <f t="shared" si="34"/>
        <v/>
      </c>
    </row>
    <row r="19" ht="14.25" customHeight="1" spans="1:62">
      <c r="A19" s="10">
        <v>15</v>
      </c>
      <c r="B19" s="36" t="s">
        <v>182</v>
      </c>
      <c r="C19" s="10">
        <v>1870</v>
      </c>
      <c r="D19" s="10">
        <f t="shared" si="0"/>
        <v>1870</v>
      </c>
      <c r="E19" s="10" t="s">
        <v>136</v>
      </c>
      <c r="F19" s="35" t="s">
        <v>183</v>
      </c>
      <c r="G19" s="10" t="s">
        <v>184</v>
      </c>
      <c r="H19" s="10" t="s">
        <v>139</v>
      </c>
      <c r="I19" s="10" t="s">
        <v>140</v>
      </c>
      <c r="J19" s="10"/>
      <c r="K19" s="10">
        <v>5</v>
      </c>
      <c r="L19" s="10">
        <v>5</v>
      </c>
      <c r="M19" s="10">
        <v>5</v>
      </c>
      <c r="N19" s="10">
        <v>5</v>
      </c>
      <c r="O19" s="10">
        <v>1</v>
      </c>
      <c r="P19" s="10">
        <v>1</v>
      </c>
      <c r="Q19" s="10">
        <v>4</v>
      </c>
      <c r="R19" s="10">
        <v>5</v>
      </c>
      <c r="S19" s="10">
        <f t="shared" si="1"/>
        <v>1</v>
      </c>
      <c r="T19" s="10">
        <f t="shared" si="2"/>
        <v>1</v>
      </c>
      <c r="U19" s="10">
        <f t="shared" si="3"/>
        <v>1</v>
      </c>
      <c r="V19" s="10">
        <f t="shared" si="4"/>
        <v>1</v>
      </c>
      <c r="W19" s="10">
        <f t="shared" si="5"/>
        <v>0</v>
      </c>
      <c r="X19" s="10">
        <f t="shared" si="6"/>
        <v>0</v>
      </c>
      <c r="Y19" s="10">
        <f t="shared" si="7"/>
        <v>0.75</v>
      </c>
      <c r="Z19" s="10">
        <f t="shared" si="8"/>
        <v>1</v>
      </c>
      <c r="AA19" s="10">
        <f t="shared" si="9"/>
        <v>1</v>
      </c>
      <c r="AB19" s="10">
        <f t="shared" si="10"/>
        <v>1</v>
      </c>
      <c r="AC19" s="10">
        <f t="shared" si="11"/>
        <v>1</v>
      </c>
      <c r="AD19" s="10">
        <f t="shared" si="12"/>
        <v>1</v>
      </c>
      <c r="AE19" s="10">
        <f t="shared" si="13"/>
        <v>0</v>
      </c>
      <c r="AF19" s="10">
        <f t="shared" si="14"/>
        <v>0</v>
      </c>
      <c r="AG19" s="10">
        <f t="shared" si="15"/>
        <v>0.75</v>
      </c>
      <c r="AH19" s="10">
        <f t="shared" si="16"/>
        <v>1</v>
      </c>
      <c r="AI19" s="10">
        <f>IF(OR(S19="",'4_BENCHMARK'!$C$4=""),"",ABS(S19-'4_BENCHMARK'!$C$4))</f>
        <v>0</v>
      </c>
      <c r="AJ19" s="10">
        <f>IF(OR(T19="",'4_BENCHMARK'!$C$5=""),"",ABS(T19-'4_BENCHMARK'!$C$5))</f>
        <v>0</v>
      </c>
      <c r="AK19" s="10">
        <f>IF(OR(U19="",'4_BENCHMARK'!$C$6=""),"",ABS(U19-'4_BENCHMARK'!$C$6))</f>
        <v>0</v>
      </c>
      <c r="AL19" s="10">
        <f>IF(OR(V19="",'4_BENCHMARK'!$C$7=""),"",ABS(V19-'4_BENCHMARK'!$C$7))</f>
        <v>0</v>
      </c>
      <c r="AM19" s="10">
        <f>IF(OR(W19="",'4_BENCHMARK'!$C$8=""),"",ABS(W19-'4_BENCHMARK'!$C$8))</f>
        <v>0</v>
      </c>
      <c r="AN19" s="10">
        <f>IF(OR(X19="",'4_BENCHMARK'!$C$9=""),"",ABS(X19-'4_BENCHMARK'!$C$9))</f>
        <v>0</v>
      </c>
      <c r="AO19" s="10">
        <f>IF(OR(Y19="",'4_BENCHMARK'!$C$10=""),"",ABS(Y19-'4_BENCHMARK'!$C$10))</f>
        <v>0.25</v>
      </c>
      <c r="AP19" s="10">
        <f>IF(OR(Z19="",'4_BENCHMARK'!$C$11=""),"",ABS(Z19-'4_BENCHMARK'!$C$11))</f>
        <v>0</v>
      </c>
      <c r="AQ19" s="13">
        <f t="shared" si="17"/>
        <v>0.96875</v>
      </c>
      <c r="AR19" s="10"/>
      <c r="AS19" s="10" t="s">
        <v>141</v>
      </c>
      <c r="AT19" s="13">
        <f t="shared" si="18"/>
        <v>0.958333333333333</v>
      </c>
      <c r="AU19" s="1">
        <f t="shared" si="19"/>
        <v>5</v>
      </c>
      <c r="AV19" s="1">
        <f t="shared" si="20"/>
        <v>5</v>
      </c>
      <c r="AW19" s="1">
        <f t="shared" si="21"/>
        <v>5</v>
      </c>
      <c r="AX19" s="1">
        <f t="shared" si="22"/>
        <v>5</v>
      </c>
      <c r="AY19" s="1">
        <f t="shared" si="23"/>
        <v>1</v>
      </c>
      <c r="AZ19" s="1">
        <f t="shared" si="24"/>
        <v>1</v>
      </c>
      <c r="BA19" s="1">
        <f t="shared" si="25"/>
        <v>4</v>
      </c>
      <c r="BB19" s="1">
        <f t="shared" si="26"/>
        <v>5</v>
      </c>
      <c r="BC19" s="1" t="str">
        <f t="shared" si="27"/>
        <v/>
      </c>
      <c r="BD19" s="1" t="str">
        <f t="shared" si="28"/>
        <v/>
      </c>
      <c r="BE19" s="1" t="str">
        <f t="shared" si="29"/>
        <v/>
      </c>
      <c r="BF19" s="1" t="str">
        <f t="shared" si="30"/>
        <v/>
      </c>
      <c r="BG19" s="1" t="str">
        <f t="shared" si="31"/>
        <v/>
      </c>
      <c r="BH19" s="1" t="str">
        <f t="shared" si="32"/>
        <v/>
      </c>
      <c r="BI19" s="1" t="str">
        <f t="shared" si="33"/>
        <v/>
      </c>
      <c r="BJ19" s="1" t="str">
        <f t="shared" si="34"/>
        <v/>
      </c>
    </row>
    <row r="20" ht="14.25" customHeight="1" spans="1:62">
      <c r="A20" s="10">
        <v>16</v>
      </c>
      <c r="B20" s="10" t="s">
        <v>185</v>
      </c>
      <c r="C20" s="10">
        <v>2009</v>
      </c>
      <c r="D20" s="10">
        <f t="shared" si="0"/>
        <v>2000</v>
      </c>
      <c r="E20" s="10" t="s">
        <v>136</v>
      </c>
      <c r="F20" s="35" t="s">
        <v>186</v>
      </c>
      <c r="G20" s="10" t="s">
        <v>187</v>
      </c>
      <c r="H20" s="10" t="s">
        <v>140</v>
      </c>
      <c r="I20" s="10" t="s">
        <v>140</v>
      </c>
      <c r="J20" s="10"/>
      <c r="K20" s="10">
        <v>5</v>
      </c>
      <c r="L20" s="10">
        <v>5</v>
      </c>
      <c r="M20" s="10">
        <v>5</v>
      </c>
      <c r="N20" s="10">
        <v>5</v>
      </c>
      <c r="O20" s="10">
        <v>5</v>
      </c>
      <c r="P20" s="10">
        <v>5</v>
      </c>
      <c r="Q20" s="10">
        <v>2</v>
      </c>
      <c r="R20" s="10">
        <v>5</v>
      </c>
      <c r="S20" s="10">
        <f t="shared" si="1"/>
        <v>1</v>
      </c>
      <c r="T20" s="10">
        <f t="shared" si="2"/>
        <v>1</v>
      </c>
      <c r="U20" s="10">
        <f t="shared" si="3"/>
        <v>1</v>
      </c>
      <c r="V20" s="10">
        <f t="shared" si="4"/>
        <v>1</v>
      </c>
      <c r="W20" s="10">
        <f t="shared" si="5"/>
        <v>1</v>
      </c>
      <c r="X20" s="10">
        <f t="shared" si="6"/>
        <v>1</v>
      </c>
      <c r="Y20" s="10">
        <f t="shared" si="7"/>
        <v>0.25</v>
      </c>
      <c r="Z20" s="10">
        <f t="shared" si="8"/>
        <v>1</v>
      </c>
      <c r="AA20" s="10" t="str">
        <f t="shared" si="9"/>
        <v/>
      </c>
      <c r="AB20" s="10" t="str">
        <f t="shared" si="10"/>
        <v/>
      </c>
      <c r="AC20" s="10" t="str">
        <f t="shared" si="11"/>
        <v/>
      </c>
      <c r="AD20" s="10" t="str">
        <f t="shared" si="12"/>
        <v/>
      </c>
      <c r="AE20" s="10" t="str">
        <f t="shared" si="13"/>
        <v/>
      </c>
      <c r="AF20" s="10" t="str">
        <f t="shared" si="14"/>
        <v/>
      </c>
      <c r="AG20" s="10" t="str">
        <f t="shared" si="15"/>
        <v/>
      </c>
      <c r="AH20" s="10" t="str">
        <f t="shared" si="16"/>
        <v/>
      </c>
      <c r="AI20" s="10">
        <f>IF(OR(S20="",'4_BENCHMARK'!$C$4=""),"",ABS(S20-'4_BENCHMARK'!$C$4))</f>
        <v>0</v>
      </c>
      <c r="AJ20" s="10">
        <f>IF(OR(T20="",'4_BENCHMARK'!$C$5=""),"",ABS(T20-'4_BENCHMARK'!$C$5))</f>
        <v>0</v>
      </c>
      <c r="AK20" s="10">
        <f>IF(OR(U20="",'4_BENCHMARK'!$C$6=""),"",ABS(U20-'4_BENCHMARK'!$C$6))</f>
        <v>0</v>
      </c>
      <c r="AL20" s="10">
        <f>IF(OR(V20="",'4_BENCHMARK'!$C$7=""),"",ABS(V20-'4_BENCHMARK'!$C$7))</f>
        <v>0</v>
      </c>
      <c r="AM20" s="10">
        <f>IF(OR(W20="",'4_BENCHMARK'!$C$8=""),"",ABS(W20-'4_BENCHMARK'!$C$8))</f>
        <v>1</v>
      </c>
      <c r="AN20" s="10">
        <f>IF(OR(X20="",'4_BENCHMARK'!$C$9=""),"",ABS(X20-'4_BENCHMARK'!$C$9))</f>
        <v>1</v>
      </c>
      <c r="AO20" s="10">
        <f>IF(OR(Y20="",'4_BENCHMARK'!$C$10=""),"",ABS(Y20-'4_BENCHMARK'!$C$10))</f>
        <v>0.25</v>
      </c>
      <c r="AP20" s="10">
        <f>IF(OR(Z20="",'4_BENCHMARK'!$C$11=""),"",ABS(Z20-'4_BENCHMARK'!$C$11))</f>
        <v>0</v>
      </c>
      <c r="AQ20" s="13">
        <f t="shared" si="17"/>
        <v>0.71875</v>
      </c>
      <c r="AR20" s="10"/>
      <c r="AS20" s="10" t="s">
        <v>141</v>
      </c>
      <c r="AT20" s="13">
        <f t="shared" si="18"/>
        <v>0.958333333333333</v>
      </c>
      <c r="AU20" s="1" t="str">
        <f t="shared" si="19"/>
        <v/>
      </c>
      <c r="AV20" s="1" t="str">
        <f t="shared" si="20"/>
        <v/>
      </c>
      <c r="AW20" s="1" t="str">
        <f t="shared" si="21"/>
        <v/>
      </c>
      <c r="AX20" s="1" t="str">
        <f t="shared" si="22"/>
        <v/>
      </c>
      <c r="AY20" s="1" t="str">
        <f t="shared" si="23"/>
        <v/>
      </c>
      <c r="AZ20" s="1" t="str">
        <f t="shared" si="24"/>
        <v/>
      </c>
      <c r="BA20" s="1" t="str">
        <f t="shared" si="25"/>
        <v/>
      </c>
      <c r="BB20" s="1" t="str">
        <f t="shared" si="26"/>
        <v/>
      </c>
      <c r="BC20" s="1">
        <f t="shared" si="27"/>
        <v>5</v>
      </c>
      <c r="BD20" s="1">
        <f t="shared" si="28"/>
        <v>5</v>
      </c>
      <c r="BE20" s="1">
        <f t="shared" si="29"/>
        <v>5</v>
      </c>
      <c r="BF20" s="1">
        <f t="shared" si="30"/>
        <v>5</v>
      </c>
      <c r="BG20" s="1">
        <f t="shared" si="31"/>
        <v>5</v>
      </c>
      <c r="BH20" s="1">
        <f t="shared" si="32"/>
        <v>5</v>
      </c>
      <c r="BI20" s="1">
        <f t="shared" si="33"/>
        <v>2</v>
      </c>
      <c r="BJ20" s="1">
        <f t="shared" si="34"/>
        <v>5</v>
      </c>
    </row>
    <row r="21" ht="14.25" customHeight="1" spans="1:62">
      <c r="A21" s="10">
        <v>17</v>
      </c>
      <c r="B21" s="10" t="s">
        <v>188</v>
      </c>
      <c r="C21" s="10">
        <v>1942</v>
      </c>
      <c r="D21" s="10">
        <f t="shared" si="0"/>
        <v>1940</v>
      </c>
      <c r="E21" s="10" t="s">
        <v>136</v>
      </c>
      <c r="F21" s="35" t="s">
        <v>189</v>
      </c>
      <c r="G21" s="10" t="s">
        <v>190</v>
      </c>
      <c r="H21" s="10" t="s">
        <v>140</v>
      </c>
      <c r="I21" s="10" t="s">
        <v>140</v>
      </c>
      <c r="J21" s="10"/>
      <c r="K21" s="10">
        <v>4</v>
      </c>
      <c r="L21" s="10">
        <v>5</v>
      </c>
      <c r="M21" s="10">
        <v>5</v>
      </c>
      <c r="N21" s="10">
        <v>5</v>
      </c>
      <c r="O21" s="10">
        <v>1</v>
      </c>
      <c r="P21" s="10">
        <v>1</v>
      </c>
      <c r="Q21" s="10">
        <v>2</v>
      </c>
      <c r="R21" s="10">
        <v>5</v>
      </c>
      <c r="S21" s="10">
        <f t="shared" si="1"/>
        <v>0.75</v>
      </c>
      <c r="T21" s="10">
        <f t="shared" si="2"/>
        <v>1</v>
      </c>
      <c r="U21" s="10">
        <f t="shared" si="3"/>
        <v>1</v>
      </c>
      <c r="V21" s="10">
        <f t="shared" si="4"/>
        <v>1</v>
      </c>
      <c r="W21" s="10">
        <f t="shared" si="5"/>
        <v>0</v>
      </c>
      <c r="X21" s="10">
        <f t="shared" si="6"/>
        <v>0</v>
      </c>
      <c r="Y21" s="10">
        <f t="shared" si="7"/>
        <v>0.25</v>
      </c>
      <c r="Z21" s="10">
        <f t="shared" si="8"/>
        <v>1</v>
      </c>
      <c r="AA21" s="10">
        <f t="shared" si="9"/>
        <v>0.75</v>
      </c>
      <c r="AB21" s="10">
        <f t="shared" si="10"/>
        <v>1</v>
      </c>
      <c r="AC21" s="10">
        <f t="shared" si="11"/>
        <v>1</v>
      </c>
      <c r="AD21" s="10">
        <f t="shared" si="12"/>
        <v>1</v>
      </c>
      <c r="AE21" s="10">
        <f t="shared" si="13"/>
        <v>0</v>
      </c>
      <c r="AF21" s="10">
        <f t="shared" si="14"/>
        <v>0</v>
      </c>
      <c r="AG21" s="10">
        <f t="shared" si="15"/>
        <v>0.25</v>
      </c>
      <c r="AH21" s="10">
        <f t="shared" si="16"/>
        <v>1</v>
      </c>
      <c r="AI21" s="10">
        <f>IF(OR(S21="",'4_BENCHMARK'!$C$4=""),"",ABS(S21-'4_BENCHMARK'!$C$4))</f>
        <v>0.25</v>
      </c>
      <c r="AJ21" s="10">
        <f>IF(OR(T21="",'4_BENCHMARK'!$C$5=""),"",ABS(T21-'4_BENCHMARK'!$C$5))</f>
        <v>0</v>
      </c>
      <c r="AK21" s="10">
        <f>IF(OR(U21="",'4_BENCHMARK'!$C$6=""),"",ABS(U21-'4_BENCHMARK'!$C$6))</f>
        <v>0</v>
      </c>
      <c r="AL21" s="10">
        <f>IF(OR(V21="",'4_BENCHMARK'!$C$7=""),"",ABS(V21-'4_BENCHMARK'!$C$7))</f>
        <v>0</v>
      </c>
      <c r="AM21" s="10">
        <f>IF(OR(W21="",'4_BENCHMARK'!$C$8=""),"",ABS(W21-'4_BENCHMARK'!$C$8))</f>
        <v>0</v>
      </c>
      <c r="AN21" s="10">
        <f>IF(OR(X21="",'4_BENCHMARK'!$C$9=""),"",ABS(X21-'4_BENCHMARK'!$C$9))</f>
        <v>0</v>
      </c>
      <c r="AO21" s="10">
        <f>IF(OR(Y21="",'4_BENCHMARK'!$C$10=""),"",ABS(Y21-'4_BENCHMARK'!$C$10))</f>
        <v>0.25</v>
      </c>
      <c r="AP21" s="10">
        <f>IF(OR(Z21="",'4_BENCHMARK'!$C$11=""),"",ABS(Z21-'4_BENCHMARK'!$C$11))</f>
        <v>0</v>
      </c>
      <c r="AQ21" s="13">
        <f t="shared" si="17"/>
        <v>0.9375</v>
      </c>
      <c r="AR21" s="10"/>
      <c r="AS21" s="10" t="s">
        <v>149</v>
      </c>
      <c r="AT21" s="13">
        <f t="shared" si="18"/>
        <v>0.916666666666667</v>
      </c>
      <c r="AU21" s="1">
        <f t="shared" si="19"/>
        <v>4</v>
      </c>
      <c r="AV21" s="1">
        <f t="shared" si="20"/>
        <v>5</v>
      </c>
      <c r="AW21" s="1">
        <f t="shared" si="21"/>
        <v>5</v>
      </c>
      <c r="AX21" s="1">
        <f t="shared" si="22"/>
        <v>5</v>
      </c>
      <c r="AY21" s="1">
        <f t="shared" si="23"/>
        <v>1</v>
      </c>
      <c r="AZ21" s="1">
        <f t="shared" si="24"/>
        <v>1</v>
      </c>
      <c r="BA21" s="1">
        <f t="shared" si="25"/>
        <v>2</v>
      </c>
      <c r="BB21" s="1">
        <f t="shared" si="26"/>
        <v>5</v>
      </c>
      <c r="BC21" s="1" t="str">
        <f t="shared" si="27"/>
        <v/>
      </c>
      <c r="BD21" s="1" t="str">
        <f t="shared" si="28"/>
        <v/>
      </c>
      <c r="BE21" s="1" t="str">
        <f t="shared" si="29"/>
        <v/>
      </c>
      <c r="BF21" s="1" t="str">
        <f t="shared" si="30"/>
        <v/>
      </c>
      <c r="BG21" s="1" t="str">
        <f t="shared" si="31"/>
        <v/>
      </c>
      <c r="BH21" s="1" t="str">
        <f t="shared" si="32"/>
        <v/>
      </c>
      <c r="BI21" s="1" t="str">
        <f t="shared" si="33"/>
        <v/>
      </c>
      <c r="BJ21" s="1" t="str">
        <f t="shared" si="34"/>
        <v/>
      </c>
    </row>
    <row r="22" ht="14.25" customHeight="1" spans="1:62">
      <c r="A22" s="10">
        <v>18</v>
      </c>
      <c r="B22" s="10" t="s">
        <v>191</v>
      </c>
      <c r="C22" s="10">
        <v>2023</v>
      </c>
      <c r="D22" s="10">
        <f t="shared" si="0"/>
        <v>2020</v>
      </c>
      <c r="E22" s="10" t="s">
        <v>136</v>
      </c>
      <c r="F22" s="35" t="s">
        <v>192</v>
      </c>
      <c r="G22" s="10" t="s">
        <v>193</v>
      </c>
      <c r="H22" s="10" t="s">
        <v>140</v>
      </c>
      <c r="I22" s="10" t="s">
        <v>140</v>
      </c>
      <c r="J22" s="10"/>
      <c r="K22" s="10">
        <v>5</v>
      </c>
      <c r="L22" s="10">
        <v>5</v>
      </c>
      <c r="M22" s="10">
        <v>5</v>
      </c>
      <c r="N22" s="10">
        <v>4</v>
      </c>
      <c r="O22" s="10">
        <v>5</v>
      </c>
      <c r="P22" s="10">
        <v>3</v>
      </c>
      <c r="Q22" s="10">
        <v>2</v>
      </c>
      <c r="R22" s="10">
        <v>5</v>
      </c>
      <c r="S22" s="10">
        <f t="shared" si="1"/>
        <v>1</v>
      </c>
      <c r="T22" s="10">
        <f t="shared" si="2"/>
        <v>1</v>
      </c>
      <c r="U22" s="10">
        <f t="shared" si="3"/>
        <v>1</v>
      </c>
      <c r="V22" s="10">
        <f t="shared" si="4"/>
        <v>0.75</v>
      </c>
      <c r="W22" s="10">
        <f t="shared" si="5"/>
        <v>1</v>
      </c>
      <c r="X22" s="10">
        <f t="shared" si="6"/>
        <v>0.5</v>
      </c>
      <c r="Y22" s="10">
        <f t="shared" si="7"/>
        <v>0.25</v>
      </c>
      <c r="Z22" s="10">
        <f t="shared" si="8"/>
        <v>1</v>
      </c>
      <c r="AA22" s="10" t="str">
        <f t="shared" si="9"/>
        <v/>
      </c>
      <c r="AB22" s="10" t="str">
        <f t="shared" si="10"/>
        <v/>
      </c>
      <c r="AC22" s="10" t="str">
        <f t="shared" si="11"/>
        <v/>
      </c>
      <c r="AD22" s="10" t="str">
        <f t="shared" si="12"/>
        <v/>
      </c>
      <c r="AE22" s="10" t="str">
        <f t="shared" si="13"/>
        <v/>
      </c>
      <c r="AF22" s="10" t="str">
        <f t="shared" si="14"/>
        <v/>
      </c>
      <c r="AG22" s="10" t="str">
        <f t="shared" si="15"/>
        <v/>
      </c>
      <c r="AH22" s="10" t="str">
        <f t="shared" si="16"/>
        <v/>
      </c>
      <c r="AI22" s="10">
        <f>IF(OR(S22="",'4_BENCHMARK'!$C$4=""),"",ABS(S22-'4_BENCHMARK'!$C$4))</f>
        <v>0</v>
      </c>
      <c r="AJ22" s="10">
        <f>IF(OR(T22="",'4_BENCHMARK'!$C$5=""),"",ABS(T22-'4_BENCHMARK'!$C$5))</f>
        <v>0</v>
      </c>
      <c r="AK22" s="10">
        <f>IF(OR(U22="",'4_BENCHMARK'!$C$6=""),"",ABS(U22-'4_BENCHMARK'!$C$6))</f>
        <v>0</v>
      </c>
      <c r="AL22" s="10">
        <f>IF(OR(V22="",'4_BENCHMARK'!$C$7=""),"",ABS(V22-'4_BENCHMARK'!$C$7))</f>
        <v>0.25</v>
      </c>
      <c r="AM22" s="10">
        <f>IF(OR(W22="",'4_BENCHMARK'!$C$8=""),"",ABS(W22-'4_BENCHMARK'!$C$8))</f>
        <v>1</v>
      </c>
      <c r="AN22" s="10">
        <f>IF(OR(X22="",'4_BENCHMARK'!$C$9=""),"",ABS(X22-'4_BENCHMARK'!$C$9))</f>
        <v>0.5</v>
      </c>
      <c r="AO22" s="10">
        <f>IF(OR(Y22="",'4_BENCHMARK'!$C$10=""),"",ABS(Y22-'4_BENCHMARK'!$C$10))</f>
        <v>0.25</v>
      </c>
      <c r="AP22" s="10">
        <f>IF(OR(Z22="",'4_BENCHMARK'!$C$11=""),"",ABS(Z22-'4_BENCHMARK'!$C$11))</f>
        <v>0</v>
      </c>
      <c r="AQ22" s="13">
        <f t="shared" si="17"/>
        <v>0.75</v>
      </c>
      <c r="AR22" s="10"/>
      <c r="AS22" s="10" t="s">
        <v>149</v>
      </c>
      <c r="AT22" s="13">
        <f t="shared" si="18"/>
        <v>0.916666666666667</v>
      </c>
      <c r="AU22" s="1" t="str">
        <f t="shared" si="19"/>
        <v/>
      </c>
      <c r="AV22" s="1" t="str">
        <f t="shared" si="20"/>
        <v/>
      </c>
      <c r="AW22" s="1" t="str">
        <f t="shared" si="21"/>
        <v/>
      </c>
      <c r="AX22" s="1" t="str">
        <f t="shared" si="22"/>
        <v/>
      </c>
      <c r="AY22" s="1" t="str">
        <f t="shared" si="23"/>
        <v/>
      </c>
      <c r="AZ22" s="1" t="str">
        <f t="shared" si="24"/>
        <v/>
      </c>
      <c r="BA22" s="1" t="str">
        <f t="shared" si="25"/>
        <v/>
      </c>
      <c r="BB22" s="1" t="str">
        <f t="shared" si="26"/>
        <v/>
      </c>
      <c r="BC22" s="1">
        <f t="shared" si="27"/>
        <v>5</v>
      </c>
      <c r="BD22" s="1">
        <f t="shared" si="28"/>
        <v>5</v>
      </c>
      <c r="BE22" s="1">
        <f t="shared" si="29"/>
        <v>5</v>
      </c>
      <c r="BF22" s="1">
        <f t="shared" si="30"/>
        <v>4</v>
      </c>
      <c r="BG22" s="1">
        <f t="shared" si="31"/>
        <v>5</v>
      </c>
      <c r="BH22" s="1">
        <f t="shared" si="32"/>
        <v>3</v>
      </c>
      <c r="BI22" s="1">
        <f t="shared" si="33"/>
        <v>2</v>
      </c>
      <c r="BJ22" s="1">
        <f t="shared" si="34"/>
        <v>5</v>
      </c>
    </row>
    <row r="23" ht="14.25" customHeight="1" spans="1:62">
      <c r="A23" s="10">
        <v>19</v>
      </c>
      <c r="B23" s="10" t="s">
        <v>194</v>
      </c>
      <c r="C23" s="10">
        <v>2021</v>
      </c>
      <c r="D23" s="10">
        <f t="shared" si="0"/>
        <v>2020</v>
      </c>
      <c r="E23" s="10" t="s">
        <v>136</v>
      </c>
      <c r="F23" s="35" t="s">
        <v>195</v>
      </c>
      <c r="G23" s="10" t="s">
        <v>196</v>
      </c>
      <c r="H23" s="10" t="s">
        <v>140</v>
      </c>
      <c r="I23" s="10" t="s">
        <v>140</v>
      </c>
      <c r="J23" s="10"/>
      <c r="K23" s="10">
        <v>5</v>
      </c>
      <c r="L23" s="10">
        <v>5</v>
      </c>
      <c r="M23" s="10">
        <v>5</v>
      </c>
      <c r="N23" s="10">
        <v>1</v>
      </c>
      <c r="O23" s="10">
        <v>5</v>
      </c>
      <c r="P23" s="10">
        <v>2</v>
      </c>
      <c r="Q23" s="10">
        <v>1</v>
      </c>
      <c r="R23" s="10">
        <v>5</v>
      </c>
      <c r="S23" s="10">
        <f t="shared" si="1"/>
        <v>1</v>
      </c>
      <c r="T23" s="10">
        <f t="shared" si="2"/>
        <v>1</v>
      </c>
      <c r="U23" s="10">
        <f t="shared" si="3"/>
        <v>1</v>
      </c>
      <c r="V23" s="10">
        <f t="shared" si="4"/>
        <v>0</v>
      </c>
      <c r="W23" s="10">
        <f t="shared" si="5"/>
        <v>1</v>
      </c>
      <c r="X23" s="10">
        <f t="shared" si="6"/>
        <v>0.25</v>
      </c>
      <c r="Y23" s="10">
        <f t="shared" si="7"/>
        <v>0</v>
      </c>
      <c r="Z23" s="10">
        <f t="shared" si="8"/>
        <v>1</v>
      </c>
      <c r="AA23" s="10" t="str">
        <f t="shared" si="9"/>
        <v/>
      </c>
      <c r="AB23" s="10" t="str">
        <f t="shared" si="10"/>
        <v/>
      </c>
      <c r="AC23" s="10" t="str">
        <f t="shared" si="11"/>
        <v/>
      </c>
      <c r="AD23" s="10" t="str">
        <f t="shared" si="12"/>
        <v/>
      </c>
      <c r="AE23" s="10" t="str">
        <f t="shared" si="13"/>
        <v/>
      </c>
      <c r="AF23" s="10" t="str">
        <f t="shared" si="14"/>
        <v/>
      </c>
      <c r="AG23" s="10" t="str">
        <f t="shared" si="15"/>
        <v/>
      </c>
      <c r="AH23" s="10" t="str">
        <f t="shared" si="16"/>
        <v/>
      </c>
      <c r="AI23" s="10">
        <f>IF(OR(S23="",'4_BENCHMARK'!$C$4=""),"",ABS(S23-'4_BENCHMARK'!$C$4))</f>
        <v>0</v>
      </c>
      <c r="AJ23" s="10">
        <f>IF(OR(T23="",'4_BENCHMARK'!$C$5=""),"",ABS(T23-'4_BENCHMARK'!$C$5))</f>
        <v>0</v>
      </c>
      <c r="AK23" s="10">
        <f>IF(OR(U23="",'4_BENCHMARK'!$C$6=""),"",ABS(U23-'4_BENCHMARK'!$C$6))</f>
        <v>0</v>
      </c>
      <c r="AL23" s="10">
        <f>IF(OR(V23="",'4_BENCHMARK'!$C$7=""),"",ABS(V23-'4_BENCHMARK'!$C$7))</f>
        <v>1</v>
      </c>
      <c r="AM23" s="10">
        <f>IF(OR(W23="",'4_BENCHMARK'!$C$8=""),"",ABS(W23-'4_BENCHMARK'!$C$8))</f>
        <v>1</v>
      </c>
      <c r="AN23" s="10">
        <f>IF(OR(X23="",'4_BENCHMARK'!$C$9=""),"",ABS(X23-'4_BENCHMARK'!$C$9))</f>
        <v>0.25</v>
      </c>
      <c r="AO23" s="10">
        <f>IF(OR(Y23="",'4_BENCHMARK'!$C$10=""),"",ABS(Y23-'4_BENCHMARK'!$C$10))</f>
        <v>0.5</v>
      </c>
      <c r="AP23" s="10">
        <f>IF(OR(Z23="",'4_BENCHMARK'!$C$11=""),"",ABS(Z23-'4_BENCHMARK'!$C$11))</f>
        <v>0</v>
      </c>
      <c r="AQ23" s="13">
        <f t="shared" si="17"/>
        <v>0.65625</v>
      </c>
      <c r="AR23" s="10"/>
      <c r="AS23" s="10" t="s">
        <v>141</v>
      </c>
      <c r="AT23" s="13">
        <f t="shared" si="18"/>
        <v>0.75</v>
      </c>
      <c r="AU23" s="1" t="str">
        <f t="shared" si="19"/>
        <v/>
      </c>
      <c r="AV23" s="1" t="str">
        <f t="shared" si="20"/>
        <v/>
      </c>
      <c r="AW23" s="1" t="str">
        <f t="shared" si="21"/>
        <v/>
      </c>
      <c r="AX23" s="1" t="str">
        <f t="shared" si="22"/>
        <v/>
      </c>
      <c r="AY23" s="1" t="str">
        <f t="shared" si="23"/>
        <v/>
      </c>
      <c r="AZ23" s="1" t="str">
        <f t="shared" si="24"/>
        <v/>
      </c>
      <c r="BA23" s="1" t="str">
        <f t="shared" si="25"/>
        <v/>
      </c>
      <c r="BB23" s="1" t="str">
        <f t="shared" si="26"/>
        <v/>
      </c>
      <c r="BC23" s="1">
        <f t="shared" si="27"/>
        <v>5</v>
      </c>
      <c r="BD23" s="1">
        <f t="shared" si="28"/>
        <v>5</v>
      </c>
      <c r="BE23" s="1">
        <f t="shared" si="29"/>
        <v>5</v>
      </c>
      <c r="BF23" s="1">
        <f t="shared" si="30"/>
        <v>1</v>
      </c>
      <c r="BG23" s="1">
        <f t="shared" si="31"/>
        <v>5</v>
      </c>
      <c r="BH23" s="1">
        <f t="shared" si="32"/>
        <v>2</v>
      </c>
      <c r="BI23" s="1">
        <f t="shared" si="33"/>
        <v>1</v>
      </c>
      <c r="BJ23" s="1">
        <f t="shared" si="34"/>
        <v>5</v>
      </c>
    </row>
    <row r="24" ht="14.25" customHeight="1" spans="1:62">
      <c r="A24" s="10">
        <v>20</v>
      </c>
      <c r="B24" s="10" t="s">
        <v>197</v>
      </c>
      <c r="C24" s="10">
        <v>2010</v>
      </c>
      <c r="D24" s="10">
        <f t="shared" si="0"/>
        <v>2010</v>
      </c>
      <c r="E24" s="10" t="s">
        <v>136</v>
      </c>
      <c r="F24" s="35" t="s">
        <v>198</v>
      </c>
      <c r="G24" s="10" t="s">
        <v>199</v>
      </c>
      <c r="H24" s="10" t="s">
        <v>140</v>
      </c>
      <c r="I24" s="10" t="s">
        <v>140</v>
      </c>
      <c r="J24" s="10"/>
      <c r="K24" s="10">
        <v>5</v>
      </c>
      <c r="L24" s="10">
        <v>5</v>
      </c>
      <c r="M24" s="10">
        <v>5</v>
      </c>
      <c r="N24" s="10">
        <v>5</v>
      </c>
      <c r="O24" s="10">
        <v>5</v>
      </c>
      <c r="P24" s="10">
        <v>5</v>
      </c>
      <c r="Q24" s="10">
        <v>2</v>
      </c>
      <c r="R24" s="10">
        <v>5</v>
      </c>
      <c r="S24" s="10">
        <f t="shared" si="1"/>
        <v>1</v>
      </c>
      <c r="T24" s="10">
        <f t="shared" si="2"/>
        <v>1</v>
      </c>
      <c r="U24" s="10">
        <f t="shared" si="3"/>
        <v>1</v>
      </c>
      <c r="V24" s="10">
        <f t="shared" si="4"/>
        <v>1</v>
      </c>
      <c r="W24" s="10">
        <f t="shared" si="5"/>
        <v>1</v>
      </c>
      <c r="X24" s="10">
        <f t="shared" si="6"/>
        <v>1</v>
      </c>
      <c r="Y24" s="10">
        <f t="shared" si="7"/>
        <v>0.25</v>
      </c>
      <c r="Z24" s="10">
        <f t="shared" si="8"/>
        <v>1</v>
      </c>
      <c r="AA24" s="10" t="str">
        <f t="shared" si="9"/>
        <v/>
      </c>
      <c r="AB24" s="10" t="str">
        <f t="shared" si="10"/>
        <v/>
      </c>
      <c r="AC24" s="10" t="str">
        <f t="shared" si="11"/>
        <v/>
      </c>
      <c r="AD24" s="10" t="str">
        <f t="shared" si="12"/>
        <v/>
      </c>
      <c r="AE24" s="10" t="str">
        <f t="shared" si="13"/>
        <v/>
      </c>
      <c r="AF24" s="10" t="str">
        <f t="shared" si="14"/>
        <v/>
      </c>
      <c r="AG24" s="10" t="str">
        <f t="shared" si="15"/>
        <v/>
      </c>
      <c r="AH24" s="10" t="str">
        <f t="shared" si="16"/>
        <v/>
      </c>
      <c r="AI24" s="10">
        <f>IF(OR(S24="",'4_BENCHMARK'!$C$4=""),"",ABS(S24-'4_BENCHMARK'!$C$4))</f>
        <v>0</v>
      </c>
      <c r="AJ24" s="10">
        <f>IF(OR(T24="",'4_BENCHMARK'!$C$5=""),"",ABS(T24-'4_BENCHMARK'!$C$5))</f>
        <v>0</v>
      </c>
      <c r="AK24" s="10">
        <f>IF(OR(U24="",'4_BENCHMARK'!$C$6=""),"",ABS(U24-'4_BENCHMARK'!$C$6))</f>
        <v>0</v>
      </c>
      <c r="AL24" s="10">
        <f>IF(OR(V24="",'4_BENCHMARK'!$C$7=""),"",ABS(V24-'4_BENCHMARK'!$C$7))</f>
        <v>0</v>
      </c>
      <c r="AM24" s="10">
        <f>IF(OR(W24="",'4_BENCHMARK'!$C$8=""),"",ABS(W24-'4_BENCHMARK'!$C$8))</f>
        <v>1</v>
      </c>
      <c r="AN24" s="10">
        <f>IF(OR(X24="",'4_BENCHMARK'!$C$9=""),"",ABS(X24-'4_BENCHMARK'!$C$9))</f>
        <v>1</v>
      </c>
      <c r="AO24" s="10">
        <f>IF(OR(Y24="",'4_BENCHMARK'!$C$10=""),"",ABS(Y24-'4_BENCHMARK'!$C$10))</f>
        <v>0.25</v>
      </c>
      <c r="AP24" s="10">
        <f>IF(OR(Z24="",'4_BENCHMARK'!$C$11=""),"",ABS(Z24-'4_BENCHMARK'!$C$11))</f>
        <v>0</v>
      </c>
      <c r="AQ24" s="13">
        <f t="shared" si="17"/>
        <v>0.71875</v>
      </c>
      <c r="AR24" s="10"/>
      <c r="AS24" s="10" t="s">
        <v>141</v>
      </c>
      <c r="AT24" s="13">
        <f t="shared" si="18"/>
        <v>0.958333333333333</v>
      </c>
      <c r="AU24" s="1" t="str">
        <f t="shared" si="19"/>
        <v/>
      </c>
      <c r="AV24" s="1" t="str">
        <f t="shared" si="20"/>
        <v/>
      </c>
      <c r="AW24" s="1" t="str">
        <f t="shared" si="21"/>
        <v/>
      </c>
      <c r="AX24" s="1" t="str">
        <f t="shared" si="22"/>
        <v/>
      </c>
      <c r="AY24" s="1" t="str">
        <f t="shared" si="23"/>
        <v/>
      </c>
      <c r="AZ24" s="1" t="str">
        <f t="shared" si="24"/>
        <v/>
      </c>
      <c r="BA24" s="1" t="str">
        <f t="shared" si="25"/>
        <v/>
      </c>
      <c r="BB24" s="1" t="str">
        <f t="shared" si="26"/>
        <v/>
      </c>
      <c r="BC24" s="1">
        <f t="shared" si="27"/>
        <v>5</v>
      </c>
      <c r="BD24" s="1">
        <f t="shared" si="28"/>
        <v>5</v>
      </c>
      <c r="BE24" s="1">
        <f t="shared" si="29"/>
        <v>5</v>
      </c>
      <c r="BF24" s="1">
        <f t="shared" si="30"/>
        <v>5</v>
      </c>
      <c r="BG24" s="1">
        <f t="shared" si="31"/>
        <v>5</v>
      </c>
      <c r="BH24" s="1">
        <f t="shared" si="32"/>
        <v>5</v>
      </c>
      <c r="BI24" s="1">
        <f t="shared" si="33"/>
        <v>2</v>
      </c>
      <c r="BJ24" s="1">
        <f t="shared" si="34"/>
        <v>5</v>
      </c>
    </row>
    <row r="25" ht="14.25" customHeight="1" spans="1:62">
      <c r="A25" s="10">
        <v>21</v>
      </c>
      <c r="B25" s="10" t="s">
        <v>200</v>
      </c>
      <c r="C25" s="10">
        <v>1910</v>
      </c>
      <c r="D25" s="10">
        <f t="shared" si="0"/>
        <v>1910</v>
      </c>
      <c r="E25" s="10" t="s">
        <v>136</v>
      </c>
      <c r="F25" s="35" t="s">
        <v>201</v>
      </c>
      <c r="G25" s="10" t="s">
        <v>202</v>
      </c>
      <c r="H25" s="10" t="s">
        <v>140</v>
      </c>
      <c r="I25" s="10" t="s">
        <v>140</v>
      </c>
      <c r="J25" s="10"/>
      <c r="K25" s="10">
        <v>5</v>
      </c>
      <c r="L25" s="10">
        <v>5</v>
      </c>
      <c r="M25" s="10">
        <v>5</v>
      </c>
      <c r="N25" s="10">
        <v>4</v>
      </c>
      <c r="O25" s="10">
        <v>5</v>
      </c>
      <c r="P25" s="10">
        <v>5</v>
      </c>
      <c r="Q25" s="10">
        <v>3</v>
      </c>
      <c r="R25" s="10">
        <v>5</v>
      </c>
      <c r="S25" s="10">
        <f t="shared" si="1"/>
        <v>1</v>
      </c>
      <c r="T25" s="10">
        <f t="shared" si="2"/>
        <v>1</v>
      </c>
      <c r="U25" s="10">
        <f t="shared" si="3"/>
        <v>1</v>
      </c>
      <c r="V25" s="10">
        <f t="shared" si="4"/>
        <v>0.75</v>
      </c>
      <c r="W25" s="10">
        <f t="shared" si="5"/>
        <v>1</v>
      </c>
      <c r="X25" s="10">
        <f t="shared" si="6"/>
        <v>1</v>
      </c>
      <c r="Y25" s="10">
        <f t="shared" si="7"/>
        <v>0.5</v>
      </c>
      <c r="Z25" s="10">
        <f t="shared" si="8"/>
        <v>1</v>
      </c>
      <c r="AA25" s="10">
        <f t="shared" si="9"/>
        <v>1</v>
      </c>
      <c r="AB25" s="10">
        <f t="shared" si="10"/>
        <v>1</v>
      </c>
      <c r="AC25" s="10">
        <f t="shared" si="11"/>
        <v>1</v>
      </c>
      <c r="AD25" s="10">
        <f t="shared" si="12"/>
        <v>0.75</v>
      </c>
      <c r="AE25" s="10">
        <f t="shared" si="13"/>
        <v>1</v>
      </c>
      <c r="AF25" s="10">
        <f t="shared" si="14"/>
        <v>1</v>
      </c>
      <c r="AG25" s="10">
        <f t="shared" si="15"/>
        <v>0.5</v>
      </c>
      <c r="AH25" s="10">
        <f t="shared" si="16"/>
        <v>1</v>
      </c>
      <c r="AI25" s="10">
        <f>IF(OR(S25="",'4_BENCHMARK'!$C$4=""),"",ABS(S25-'4_BENCHMARK'!$C$4))</f>
        <v>0</v>
      </c>
      <c r="AJ25" s="10">
        <f>IF(OR(T25="",'4_BENCHMARK'!$C$5=""),"",ABS(T25-'4_BENCHMARK'!$C$5))</f>
        <v>0</v>
      </c>
      <c r="AK25" s="10">
        <f>IF(OR(U25="",'4_BENCHMARK'!$C$6=""),"",ABS(U25-'4_BENCHMARK'!$C$6))</f>
        <v>0</v>
      </c>
      <c r="AL25" s="10">
        <f>IF(OR(V25="",'4_BENCHMARK'!$C$7=""),"",ABS(V25-'4_BENCHMARK'!$C$7))</f>
        <v>0.25</v>
      </c>
      <c r="AM25" s="10">
        <f>IF(OR(W25="",'4_BENCHMARK'!$C$8=""),"",ABS(W25-'4_BENCHMARK'!$C$8))</f>
        <v>1</v>
      </c>
      <c r="AN25" s="10">
        <f>IF(OR(X25="",'4_BENCHMARK'!$C$9=""),"",ABS(X25-'4_BENCHMARK'!$C$9))</f>
        <v>1</v>
      </c>
      <c r="AO25" s="10">
        <f>IF(OR(Y25="",'4_BENCHMARK'!$C$10=""),"",ABS(Y25-'4_BENCHMARK'!$C$10))</f>
        <v>0</v>
      </c>
      <c r="AP25" s="10">
        <f>IF(OR(Z25="",'4_BENCHMARK'!$C$11=""),"",ABS(Z25-'4_BENCHMARK'!$C$11))</f>
        <v>0</v>
      </c>
      <c r="AQ25" s="13">
        <f t="shared" si="17"/>
        <v>0.71875</v>
      </c>
      <c r="AR25" s="10"/>
      <c r="AS25" s="10" t="s">
        <v>141</v>
      </c>
      <c r="AT25" s="13">
        <f t="shared" si="18"/>
        <v>0.958333333333333</v>
      </c>
      <c r="AU25" s="1">
        <f t="shared" si="19"/>
        <v>5</v>
      </c>
      <c r="AV25" s="1">
        <f t="shared" si="20"/>
        <v>5</v>
      </c>
      <c r="AW25" s="1">
        <f t="shared" si="21"/>
        <v>5</v>
      </c>
      <c r="AX25" s="1">
        <f t="shared" si="22"/>
        <v>4</v>
      </c>
      <c r="AY25" s="1">
        <f t="shared" si="23"/>
        <v>5</v>
      </c>
      <c r="AZ25" s="1">
        <f t="shared" si="24"/>
        <v>5</v>
      </c>
      <c r="BA25" s="1">
        <f t="shared" si="25"/>
        <v>3</v>
      </c>
      <c r="BB25" s="1">
        <f t="shared" si="26"/>
        <v>5</v>
      </c>
      <c r="BC25" s="1" t="str">
        <f t="shared" si="27"/>
        <v/>
      </c>
      <c r="BD25" s="1" t="str">
        <f t="shared" si="28"/>
        <v/>
      </c>
      <c r="BE25" s="1" t="str">
        <f t="shared" si="29"/>
        <v/>
      </c>
      <c r="BF25" s="1" t="str">
        <f t="shared" si="30"/>
        <v/>
      </c>
      <c r="BG25" s="1" t="str">
        <f t="shared" si="31"/>
        <v/>
      </c>
      <c r="BH25" s="1" t="str">
        <f t="shared" si="32"/>
        <v/>
      </c>
      <c r="BI25" s="1" t="str">
        <f t="shared" si="33"/>
        <v/>
      </c>
      <c r="BJ25" s="1" t="str">
        <f t="shared" si="34"/>
        <v/>
      </c>
    </row>
    <row r="26" ht="14.25" customHeight="1" spans="1:62">
      <c r="A26" s="10">
        <v>22</v>
      </c>
      <c r="B26" s="10" t="s">
        <v>203</v>
      </c>
      <c r="C26" s="10">
        <v>2008</v>
      </c>
      <c r="D26" s="10">
        <f t="shared" si="0"/>
        <v>2000</v>
      </c>
      <c r="E26" s="10" t="s">
        <v>136</v>
      </c>
      <c r="F26" s="35" t="s">
        <v>204</v>
      </c>
      <c r="G26" s="10" t="s">
        <v>205</v>
      </c>
      <c r="H26" s="10" t="s">
        <v>139</v>
      </c>
      <c r="I26" s="10" t="s">
        <v>140</v>
      </c>
      <c r="J26" s="10"/>
      <c r="K26" s="10">
        <v>5</v>
      </c>
      <c r="L26" s="10">
        <v>5</v>
      </c>
      <c r="M26" s="10">
        <v>5</v>
      </c>
      <c r="N26" s="10">
        <v>5</v>
      </c>
      <c r="O26" s="10">
        <v>5</v>
      </c>
      <c r="P26" s="10">
        <v>5</v>
      </c>
      <c r="Q26" s="10">
        <v>2</v>
      </c>
      <c r="R26" s="10">
        <v>5</v>
      </c>
      <c r="S26" s="10">
        <f t="shared" si="1"/>
        <v>1</v>
      </c>
      <c r="T26" s="10">
        <f t="shared" si="2"/>
        <v>1</v>
      </c>
      <c r="U26" s="10">
        <f t="shared" si="3"/>
        <v>1</v>
      </c>
      <c r="V26" s="10">
        <f t="shared" si="4"/>
        <v>1</v>
      </c>
      <c r="W26" s="10">
        <f t="shared" si="5"/>
        <v>1</v>
      </c>
      <c r="X26" s="10">
        <f t="shared" si="6"/>
        <v>1</v>
      </c>
      <c r="Y26" s="10">
        <f t="shared" si="7"/>
        <v>0.25</v>
      </c>
      <c r="Z26" s="10">
        <f t="shared" si="8"/>
        <v>1</v>
      </c>
      <c r="AA26" s="10" t="str">
        <f t="shared" si="9"/>
        <v/>
      </c>
      <c r="AB26" s="10" t="str">
        <f t="shared" si="10"/>
        <v/>
      </c>
      <c r="AC26" s="10" t="str">
        <f t="shared" si="11"/>
        <v/>
      </c>
      <c r="AD26" s="10" t="str">
        <f t="shared" si="12"/>
        <v/>
      </c>
      <c r="AE26" s="10" t="str">
        <f t="shared" si="13"/>
        <v/>
      </c>
      <c r="AF26" s="10" t="str">
        <f t="shared" si="14"/>
        <v/>
      </c>
      <c r="AG26" s="10" t="str">
        <f t="shared" si="15"/>
        <v/>
      </c>
      <c r="AH26" s="10" t="str">
        <f t="shared" si="16"/>
        <v/>
      </c>
      <c r="AI26" s="10">
        <f>IF(OR(S26="",'4_BENCHMARK'!$C$4=""),"",ABS(S26-'4_BENCHMARK'!$C$4))</f>
        <v>0</v>
      </c>
      <c r="AJ26" s="10">
        <f>IF(OR(T26="",'4_BENCHMARK'!$C$5=""),"",ABS(T26-'4_BENCHMARK'!$C$5))</f>
        <v>0</v>
      </c>
      <c r="AK26" s="10">
        <f>IF(OR(U26="",'4_BENCHMARK'!$C$6=""),"",ABS(U26-'4_BENCHMARK'!$C$6))</f>
        <v>0</v>
      </c>
      <c r="AL26" s="10">
        <f>IF(OR(V26="",'4_BENCHMARK'!$C$7=""),"",ABS(V26-'4_BENCHMARK'!$C$7))</f>
        <v>0</v>
      </c>
      <c r="AM26" s="10">
        <f>IF(OR(W26="",'4_BENCHMARK'!$C$8=""),"",ABS(W26-'4_BENCHMARK'!$C$8))</f>
        <v>1</v>
      </c>
      <c r="AN26" s="10">
        <f>IF(OR(X26="",'4_BENCHMARK'!$C$9=""),"",ABS(X26-'4_BENCHMARK'!$C$9))</f>
        <v>1</v>
      </c>
      <c r="AO26" s="10">
        <f>IF(OR(Y26="",'4_BENCHMARK'!$C$10=""),"",ABS(Y26-'4_BENCHMARK'!$C$10))</f>
        <v>0.25</v>
      </c>
      <c r="AP26" s="10">
        <f>IF(OR(Z26="",'4_BENCHMARK'!$C$11=""),"",ABS(Z26-'4_BENCHMARK'!$C$11))</f>
        <v>0</v>
      </c>
      <c r="AQ26" s="13">
        <f t="shared" si="17"/>
        <v>0.71875</v>
      </c>
      <c r="AR26" s="10"/>
      <c r="AS26" s="10" t="s">
        <v>141</v>
      </c>
      <c r="AT26" s="13">
        <f t="shared" si="18"/>
        <v>0.958333333333333</v>
      </c>
      <c r="AU26" s="1" t="str">
        <f t="shared" si="19"/>
        <v/>
      </c>
      <c r="AV26" s="1" t="str">
        <f t="shared" si="20"/>
        <v/>
      </c>
      <c r="AW26" s="1" t="str">
        <f t="shared" si="21"/>
        <v/>
      </c>
      <c r="AX26" s="1" t="str">
        <f t="shared" si="22"/>
        <v/>
      </c>
      <c r="AY26" s="1" t="str">
        <f t="shared" si="23"/>
        <v/>
      </c>
      <c r="AZ26" s="1" t="str">
        <f t="shared" si="24"/>
        <v/>
      </c>
      <c r="BA26" s="1" t="str">
        <f t="shared" si="25"/>
        <v/>
      </c>
      <c r="BB26" s="1" t="str">
        <f t="shared" si="26"/>
        <v/>
      </c>
      <c r="BC26" s="1">
        <f t="shared" si="27"/>
        <v>5</v>
      </c>
      <c r="BD26" s="1">
        <f t="shared" si="28"/>
        <v>5</v>
      </c>
      <c r="BE26" s="1">
        <f t="shared" si="29"/>
        <v>5</v>
      </c>
      <c r="BF26" s="1">
        <f t="shared" si="30"/>
        <v>5</v>
      </c>
      <c r="BG26" s="1">
        <f t="shared" si="31"/>
        <v>5</v>
      </c>
      <c r="BH26" s="1">
        <f t="shared" si="32"/>
        <v>5</v>
      </c>
      <c r="BI26" s="1">
        <f t="shared" si="33"/>
        <v>2</v>
      </c>
      <c r="BJ26" s="1">
        <f t="shared" si="34"/>
        <v>5</v>
      </c>
    </row>
    <row r="27" ht="14.25" customHeight="1" spans="1:62">
      <c r="A27" s="10">
        <v>23</v>
      </c>
      <c r="B27" s="10" t="s">
        <v>206</v>
      </c>
      <c r="C27" s="10">
        <v>2006</v>
      </c>
      <c r="D27" s="10">
        <f t="shared" si="0"/>
        <v>2000</v>
      </c>
      <c r="E27" s="10" t="s">
        <v>136</v>
      </c>
      <c r="F27" s="35" t="s">
        <v>207</v>
      </c>
      <c r="G27" s="10" t="s">
        <v>208</v>
      </c>
      <c r="H27" s="10" t="s">
        <v>140</v>
      </c>
      <c r="I27" s="10" t="s">
        <v>140</v>
      </c>
      <c r="J27" s="10"/>
      <c r="K27" s="10">
        <v>5</v>
      </c>
      <c r="L27" s="10">
        <v>5</v>
      </c>
      <c r="M27" s="10">
        <v>5</v>
      </c>
      <c r="N27" s="10">
        <v>5</v>
      </c>
      <c r="O27" s="10">
        <v>5</v>
      </c>
      <c r="P27" s="10">
        <v>5</v>
      </c>
      <c r="Q27" s="10">
        <v>2</v>
      </c>
      <c r="R27" s="10">
        <v>5</v>
      </c>
      <c r="S27" s="10">
        <f t="shared" si="1"/>
        <v>1</v>
      </c>
      <c r="T27" s="10">
        <f t="shared" si="2"/>
        <v>1</v>
      </c>
      <c r="U27" s="10">
        <f t="shared" si="3"/>
        <v>1</v>
      </c>
      <c r="V27" s="10">
        <f t="shared" si="4"/>
        <v>1</v>
      </c>
      <c r="W27" s="10">
        <f t="shared" si="5"/>
        <v>1</v>
      </c>
      <c r="X27" s="10">
        <f t="shared" si="6"/>
        <v>1</v>
      </c>
      <c r="Y27" s="10">
        <f t="shared" si="7"/>
        <v>0.25</v>
      </c>
      <c r="Z27" s="10">
        <f t="shared" si="8"/>
        <v>1</v>
      </c>
      <c r="AA27" s="10" t="str">
        <f t="shared" si="9"/>
        <v/>
      </c>
      <c r="AB27" s="10" t="str">
        <f t="shared" si="10"/>
        <v/>
      </c>
      <c r="AC27" s="10" t="str">
        <f t="shared" si="11"/>
        <v/>
      </c>
      <c r="AD27" s="10" t="str">
        <f t="shared" si="12"/>
        <v/>
      </c>
      <c r="AE27" s="10" t="str">
        <f t="shared" si="13"/>
        <v/>
      </c>
      <c r="AF27" s="10" t="str">
        <f t="shared" si="14"/>
        <v/>
      </c>
      <c r="AG27" s="10" t="str">
        <f t="shared" si="15"/>
        <v/>
      </c>
      <c r="AH27" s="10" t="str">
        <f t="shared" si="16"/>
        <v/>
      </c>
      <c r="AI27" s="10">
        <f>IF(OR(S27="",'4_BENCHMARK'!$C$4=""),"",ABS(S27-'4_BENCHMARK'!$C$4))</f>
        <v>0</v>
      </c>
      <c r="AJ27" s="10">
        <f>IF(OR(T27="",'4_BENCHMARK'!$C$5=""),"",ABS(T27-'4_BENCHMARK'!$C$5))</f>
        <v>0</v>
      </c>
      <c r="AK27" s="10">
        <f>IF(OR(U27="",'4_BENCHMARK'!$C$6=""),"",ABS(U27-'4_BENCHMARK'!$C$6))</f>
        <v>0</v>
      </c>
      <c r="AL27" s="10">
        <f>IF(OR(V27="",'4_BENCHMARK'!$C$7=""),"",ABS(V27-'4_BENCHMARK'!$C$7))</f>
        <v>0</v>
      </c>
      <c r="AM27" s="10">
        <f>IF(OR(W27="",'4_BENCHMARK'!$C$8=""),"",ABS(W27-'4_BENCHMARK'!$C$8))</f>
        <v>1</v>
      </c>
      <c r="AN27" s="10">
        <f>IF(OR(X27="",'4_BENCHMARK'!$C$9=""),"",ABS(X27-'4_BENCHMARK'!$C$9))</f>
        <v>1</v>
      </c>
      <c r="AO27" s="10">
        <f>IF(OR(Y27="",'4_BENCHMARK'!$C$10=""),"",ABS(Y27-'4_BENCHMARK'!$C$10))</f>
        <v>0.25</v>
      </c>
      <c r="AP27" s="10">
        <f>IF(OR(Z27="",'4_BENCHMARK'!$C$11=""),"",ABS(Z27-'4_BENCHMARK'!$C$11))</f>
        <v>0</v>
      </c>
      <c r="AQ27" s="13">
        <f t="shared" si="17"/>
        <v>0.71875</v>
      </c>
      <c r="AR27" s="10"/>
      <c r="AS27" s="10" t="s">
        <v>141</v>
      </c>
      <c r="AT27" s="13">
        <f t="shared" si="18"/>
        <v>0.958333333333333</v>
      </c>
      <c r="AU27" s="1" t="str">
        <f t="shared" si="19"/>
        <v/>
      </c>
      <c r="AV27" s="1" t="str">
        <f t="shared" si="20"/>
        <v/>
      </c>
      <c r="AW27" s="1" t="str">
        <f t="shared" si="21"/>
        <v/>
      </c>
      <c r="AX27" s="1" t="str">
        <f t="shared" si="22"/>
        <v/>
      </c>
      <c r="AY27" s="1" t="str">
        <f t="shared" si="23"/>
        <v/>
      </c>
      <c r="AZ27" s="1" t="str">
        <f t="shared" si="24"/>
        <v/>
      </c>
      <c r="BA27" s="1" t="str">
        <f t="shared" si="25"/>
        <v/>
      </c>
      <c r="BB27" s="1" t="str">
        <f t="shared" si="26"/>
        <v/>
      </c>
      <c r="BC27" s="1">
        <f t="shared" si="27"/>
        <v>5</v>
      </c>
      <c r="BD27" s="1">
        <f t="shared" si="28"/>
        <v>5</v>
      </c>
      <c r="BE27" s="1">
        <f t="shared" si="29"/>
        <v>5</v>
      </c>
      <c r="BF27" s="1">
        <f t="shared" si="30"/>
        <v>5</v>
      </c>
      <c r="BG27" s="1">
        <f t="shared" si="31"/>
        <v>5</v>
      </c>
      <c r="BH27" s="1">
        <f t="shared" si="32"/>
        <v>5</v>
      </c>
      <c r="BI27" s="1">
        <f t="shared" si="33"/>
        <v>2</v>
      </c>
      <c r="BJ27" s="1">
        <f t="shared" si="34"/>
        <v>5</v>
      </c>
    </row>
    <row r="28" ht="14.25" customHeight="1" spans="1:62">
      <c r="A28" s="10">
        <v>24</v>
      </c>
      <c r="B28" s="10" t="s">
        <v>209</v>
      </c>
      <c r="C28" s="10">
        <v>2023</v>
      </c>
      <c r="D28" s="10">
        <f t="shared" si="0"/>
        <v>2020</v>
      </c>
      <c r="E28" s="10" t="s">
        <v>136</v>
      </c>
      <c r="F28" s="35" t="s">
        <v>210</v>
      </c>
      <c r="G28" s="10" t="s">
        <v>211</v>
      </c>
      <c r="H28" s="10" t="s">
        <v>140</v>
      </c>
      <c r="I28" s="10" t="s">
        <v>140</v>
      </c>
      <c r="J28" s="10"/>
      <c r="K28" s="10">
        <v>5</v>
      </c>
      <c r="L28" s="10">
        <v>5</v>
      </c>
      <c r="M28" s="10">
        <v>5</v>
      </c>
      <c r="N28" s="10">
        <v>3</v>
      </c>
      <c r="O28" s="10">
        <v>5</v>
      </c>
      <c r="P28" s="10">
        <v>3</v>
      </c>
      <c r="Q28" s="10">
        <v>3</v>
      </c>
      <c r="R28" s="10">
        <v>5</v>
      </c>
      <c r="S28" s="10">
        <f t="shared" si="1"/>
        <v>1</v>
      </c>
      <c r="T28" s="10">
        <f t="shared" si="2"/>
        <v>1</v>
      </c>
      <c r="U28" s="10">
        <f t="shared" si="3"/>
        <v>1</v>
      </c>
      <c r="V28" s="10">
        <f t="shared" si="4"/>
        <v>0.5</v>
      </c>
      <c r="W28" s="10">
        <f t="shared" si="5"/>
        <v>1</v>
      </c>
      <c r="X28" s="10">
        <f t="shared" si="6"/>
        <v>0.5</v>
      </c>
      <c r="Y28" s="10">
        <f t="shared" si="7"/>
        <v>0.5</v>
      </c>
      <c r="Z28" s="10">
        <f t="shared" si="8"/>
        <v>1</v>
      </c>
      <c r="AA28" s="10" t="str">
        <f t="shared" si="9"/>
        <v/>
      </c>
      <c r="AB28" s="10" t="str">
        <f t="shared" si="10"/>
        <v/>
      </c>
      <c r="AC28" s="10" t="str">
        <f t="shared" si="11"/>
        <v/>
      </c>
      <c r="AD28" s="10" t="str">
        <f t="shared" si="12"/>
        <v/>
      </c>
      <c r="AE28" s="10" t="str">
        <f t="shared" si="13"/>
        <v/>
      </c>
      <c r="AF28" s="10" t="str">
        <f t="shared" si="14"/>
        <v/>
      </c>
      <c r="AG28" s="10" t="str">
        <f t="shared" si="15"/>
        <v/>
      </c>
      <c r="AH28" s="10" t="str">
        <f t="shared" si="16"/>
        <v/>
      </c>
      <c r="AI28" s="10">
        <f>IF(OR(S28="",'4_BENCHMARK'!$C$4=""),"",ABS(S28-'4_BENCHMARK'!$C$4))</f>
        <v>0</v>
      </c>
      <c r="AJ28" s="10">
        <f>IF(OR(T28="",'4_BENCHMARK'!$C$5=""),"",ABS(T28-'4_BENCHMARK'!$C$5))</f>
        <v>0</v>
      </c>
      <c r="AK28" s="10">
        <f>IF(OR(U28="",'4_BENCHMARK'!$C$6=""),"",ABS(U28-'4_BENCHMARK'!$C$6))</f>
        <v>0</v>
      </c>
      <c r="AL28" s="10">
        <f>IF(OR(V28="",'4_BENCHMARK'!$C$7=""),"",ABS(V28-'4_BENCHMARK'!$C$7))</f>
        <v>0.5</v>
      </c>
      <c r="AM28" s="10">
        <f>IF(OR(W28="",'4_BENCHMARK'!$C$8=""),"",ABS(W28-'4_BENCHMARK'!$C$8))</f>
        <v>1</v>
      </c>
      <c r="AN28" s="10">
        <f>IF(OR(X28="",'4_BENCHMARK'!$C$9=""),"",ABS(X28-'4_BENCHMARK'!$C$9))</f>
        <v>0.5</v>
      </c>
      <c r="AO28" s="10">
        <f>IF(OR(Y28="",'4_BENCHMARK'!$C$10=""),"",ABS(Y28-'4_BENCHMARK'!$C$10))</f>
        <v>0</v>
      </c>
      <c r="AP28" s="10">
        <f>IF(OR(Z28="",'4_BENCHMARK'!$C$11=""),"",ABS(Z28-'4_BENCHMARK'!$C$11))</f>
        <v>0</v>
      </c>
      <c r="AQ28" s="13">
        <f t="shared" si="17"/>
        <v>0.75</v>
      </c>
      <c r="AR28" s="10"/>
      <c r="AS28" s="10" t="s">
        <v>141</v>
      </c>
      <c r="AT28" s="13">
        <f t="shared" si="18"/>
        <v>0.916666666666667</v>
      </c>
      <c r="AU28" s="1" t="str">
        <f t="shared" si="19"/>
        <v/>
      </c>
      <c r="AV28" s="1" t="str">
        <f t="shared" si="20"/>
        <v/>
      </c>
      <c r="AW28" s="1" t="str">
        <f t="shared" si="21"/>
        <v/>
      </c>
      <c r="AX28" s="1" t="str">
        <f t="shared" si="22"/>
        <v/>
      </c>
      <c r="AY28" s="1" t="str">
        <f t="shared" si="23"/>
        <v/>
      </c>
      <c r="AZ28" s="1" t="str">
        <f t="shared" si="24"/>
        <v/>
      </c>
      <c r="BA28" s="1" t="str">
        <f t="shared" si="25"/>
        <v/>
      </c>
      <c r="BB28" s="1" t="str">
        <f t="shared" si="26"/>
        <v/>
      </c>
      <c r="BC28" s="1">
        <f t="shared" si="27"/>
        <v>5</v>
      </c>
      <c r="BD28" s="1">
        <f t="shared" si="28"/>
        <v>5</v>
      </c>
      <c r="BE28" s="1">
        <f t="shared" si="29"/>
        <v>5</v>
      </c>
      <c r="BF28" s="1">
        <f t="shared" si="30"/>
        <v>3</v>
      </c>
      <c r="BG28" s="1">
        <f t="shared" si="31"/>
        <v>5</v>
      </c>
      <c r="BH28" s="1">
        <f t="shared" si="32"/>
        <v>3</v>
      </c>
      <c r="BI28" s="1">
        <f t="shared" si="33"/>
        <v>3</v>
      </c>
      <c r="BJ28" s="1">
        <f t="shared" si="34"/>
        <v>5</v>
      </c>
    </row>
    <row r="29" ht="14.25" customHeight="1" spans="1:62">
      <c r="A29" s="10">
        <v>25</v>
      </c>
      <c r="B29" s="10" t="s">
        <v>212</v>
      </c>
      <c r="C29" s="10">
        <v>1906</v>
      </c>
      <c r="D29" s="10">
        <f t="shared" si="0"/>
        <v>1900</v>
      </c>
      <c r="E29" s="10" t="s">
        <v>136</v>
      </c>
      <c r="F29" s="35" t="s">
        <v>213</v>
      </c>
      <c r="G29" s="10" t="s">
        <v>214</v>
      </c>
      <c r="H29" s="10" t="s">
        <v>139</v>
      </c>
      <c r="I29" s="10" t="s">
        <v>140</v>
      </c>
      <c r="J29" s="10"/>
      <c r="K29" s="10">
        <v>5</v>
      </c>
      <c r="L29" s="10">
        <v>5</v>
      </c>
      <c r="M29" s="10">
        <v>5</v>
      </c>
      <c r="N29" s="10">
        <v>5</v>
      </c>
      <c r="O29" s="10">
        <v>5</v>
      </c>
      <c r="P29" s="10">
        <v>5</v>
      </c>
      <c r="Q29" s="10">
        <v>3</v>
      </c>
      <c r="R29" s="10">
        <v>5</v>
      </c>
      <c r="S29" s="10">
        <f t="shared" si="1"/>
        <v>1</v>
      </c>
      <c r="T29" s="10">
        <f t="shared" si="2"/>
        <v>1</v>
      </c>
      <c r="U29" s="10">
        <f t="shared" si="3"/>
        <v>1</v>
      </c>
      <c r="V29" s="10">
        <f t="shared" si="4"/>
        <v>1</v>
      </c>
      <c r="W29" s="10">
        <f t="shared" si="5"/>
        <v>1</v>
      </c>
      <c r="X29" s="10">
        <f t="shared" si="6"/>
        <v>1</v>
      </c>
      <c r="Y29" s="10">
        <f t="shared" si="7"/>
        <v>0.5</v>
      </c>
      <c r="Z29" s="10">
        <f t="shared" si="8"/>
        <v>1</v>
      </c>
      <c r="AA29" s="10">
        <f t="shared" si="9"/>
        <v>1</v>
      </c>
      <c r="AB29" s="10">
        <f t="shared" si="10"/>
        <v>1</v>
      </c>
      <c r="AC29" s="10">
        <f t="shared" si="11"/>
        <v>1</v>
      </c>
      <c r="AD29" s="10">
        <f t="shared" si="12"/>
        <v>1</v>
      </c>
      <c r="AE29" s="10">
        <f t="shared" si="13"/>
        <v>1</v>
      </c>
      <c r="AF29" s="10">
        <f t="shared" si="14"/>
        <v>1</v>
      </c>
      <c r="AG29" s="10">
        <f t="shared" si="15"/>
        <v>0.5</v>
      </c>
      <c r="AH29" s="10">
        <f t="shared" si="16"/>
        <v>1</v>
      </c>
      <c r="AI29" s="10">
        <f>IF(OR(S29="",'4_BENCHMARK'!$C$4=""),"",ABS(S29-'4_BENCHMARK'!$C$4))</f>
        <v>0</v>
      </c>
      <c r="AJ29" s="10">
        <f>IF(OR(T29="",'4_BENCHMARK'!$C$5=""),"",ABS(T29-'4_BENCHMARK'!$C$5))</f>
        <v>0</v>
      </c>
      <c r="AK29" s="10">
        <f>IF(OR(U29="",'4_BENCHMARK'!$C$6=""),"",ABS(U29-'4_BENCHMARK'!$C$6))</f>
        <v>0</v>
      </c>
      <c r="AL29" s="10">
        <f>IF(OR(V29="",'4_BENCHMARK'!$C$7=""),"",ABS(V29-'4_BENCHMARK'!$C$7))</f>
        <v>0</v>
      </c>
      <c r="AM29" s="10">
        <f>IF(OR(W29="",'4_BENCHMARK'!$C$8=""),"",ABS(W29-'4_BENCHMARK'!$C$8))</f>
        <v>1</v>
      </c>
      <c r="AN29" s="10">
        <f>IF(OR(X29="",'4_BENCHMARK'!$C$9=""),"",ABS(X29-'4_BENCHMARK'!$C$9))</f>
        <v>1</v>
      </c>
      <c r="AO29" s="10">
        <f>IF(OR(Y29="",'4_BENCHMARK'!$C$10=""),"",ABS(Y29-'4_BENCHMARK'!$C$10))</f>
        <v>0</v>
      </c>
      <c r="AP29" s="10">
        <f>IF(OR(Z29="",'4_BENCHMARK'!$C$11=""),"",ABS(Z29-'4_BENCHMARK'!$C$11))</f>
        <v>0</v>
      </c>
      <c r="AQ29" s="13">
        <f t="shared" si="17"/>
        <v>0.75</v>
      </c>
      <c r="AR29" s="10"/>
      <c r="AS29" s="10" t="s">
        <v>141</v>
      </c>
      <c r="AT29" s="13">
        <f t="shared" si="18"/>
        <v>1</v>
      </c>
      <c r="AU29" s="1">
        <f t="shared" si="19"/>
        <v>5</v>
      </c>
      <c r="AV29" s="1">
        <f t="shared" si="20"/>
        <v>5</v>
      </c>
      <c r="AW29" s="1">
        <f t="shared" si="21"/>
        <v>5</v>
      </c>
      <c r="AX29" s="1">
        <f t="shared" si="22"/>
        <v>5</v>
      </c>
      <c r="AY29" s="1">
        <f t="shared" si="23"/>
        <v>5</v>
      </c>
      <c r="AZ29" s="1">
        <f t="shared" si="24"/>
        <v>5</v>
      </c>
      <c r="BA29" s="1">
        <f t="shared" si="25"/>
        <v>3</v>
      </c>
      <c r="BB29" s="1">
        <f t="shared" si="26"/>
        <v>5</v>
      </c>
      <c r="BC29" s="1" t="str">
        <f t="shared" si="27"/>
        <v/>
      </c>
      <c r="BD29" s="1" t="str">
        <f t="shared" si="28"/>
        <v/>
      </c>
      <c r="BE29" s="1" t="str">
        <f t="shared" si="29"/>
        <v/>
      </c>
      <c r="BF29" s="1" t="str">
        <f t="shared" si="30"/>
        <v/>
      </c>
      <c r="BG29" s="1" t="str">
        <f t="shared" si="31"/>
        <v/>
      </c>
      <c r="BH29" s="1" t="str">
        <f t="shared" si="32"/>
        <v/>
      </c>
      <c r="BI29" s="1" t="str">
        <f t="shared" si="33"/>
        <v/>
      </c>
      <c r="BJ29" s="1" t="str">
        <f t="shared" si="34"/>
        <v/>
      </c>
    </row>
    <row r="30" ht="14.25" customHeight="1" spans="1:62">
      <c r="A30" s="10">
        <v>26</v>
      </c>
      <c r="B30" s="10" t="s">
        <v>215</v>
      </c>
      <c r="C30" s="10">
        <v>1924</v>
      </c>
      <c r="D30" s="10">
        <f t="shared" si="0"/>
        <v>1920</v>
      </c>
      <c r="E30" s="10" t="s">
        <v>136</v>
      </c>
      <c r="F30" s="35" t="s">
        <v>216</v>
      </c>
      <c r="G30" s="10" t="s">
        <v>217</v>
      </c>
      <c r="H30" s="10" t="s">
        <v>139</v>
      </c>
      <c r="I30" s="10" t="s">
        <v>140</v>
      </c>
      <c r="J30" s="10"/>
      <c r="K30" s="10">
        <v>5</v>
      </c>
      <c r="L30" s="10">
        <v>5</v>
      </c>
      <c r="M30" s="10">
        <v>5</v>
      </c>
      <c r="N30" s="10">
        <v>5</v>
      </c>
      <c r="O30" s="10">
        <v>5</v>
      </c>
      <c r="P30" s="10">
        <v>5</v>
      </c>
      <c r="Q30" s="10">
        <v>2</v>
      </c>
      <c r="R30" s="10">
        <v>5</v>
      </c>
      <c r="S30" s="10">
        <f t="shared" si="1"/>
        <v>1</v>
      </c>
      <c r="T30" s="10">
        <f t="shared" si="2"/>
        <v>1</v>
      </c>
      <c r="U30" s="10">
        <f t="shared" si="3"/>
        <v>1</v>
      </c>
      <c r="V30" s="10">
        <f t="shared" si="4"/>
        <v>1</v>
      </c>
      <c r="W30" s="10">
        <f t="shared" si="5"/>
        <v>1</v>
      </c>
      <c r="X30" s="10">
        <f t="shared" si="6"/>
        <v>1</v>
      </c>
      <c r="Y30" s="10">
        <f t="shared" si="7"/>
        <v>0.25</v>
      </c>
      <c r="Z30" s="10">
        <f t="shared" si="8"/>
        <v>1</v>
      </c>
      <c r="AA30" s="10">
        <f t="shared" si="9"/>
        <v>1</v>
      </c>
      <c r="AB30" s="10">
        <f t="shared" si="10"/>
        <v>1</v>
      </c>
      <c r="AC30" s="10">
        <f t="shared" si="11"/>
        <v>1</v>
      </c>
      <c r="AD30" s="10">
        <f t="shared" si="12"/>
        <v>1</v>
      </c>
      <c r="AE30" s="10">
        <f t="shared" si="13"/>
        <v>1</v>
      </c>
      <c r="AF30" s="10">
        <f t="shared" si="14"/>
        <v>1</v>
      </c>
      <c r="AG30" s="10">
        <f t="shared" si="15"/>
        <v>0.25</v>
      </c>
      <c r="AH30" s="10">
        <f t="shared" si="16"/>
        <v>1</v>
      </c>
      <c r="AI30" s="10">
        <f>IF(OR(S30="",'4_BENCHMARK'!$C$4=""),"",ABS(S30-'4_BENCHMARK'!$C$4))</f>
        <v>0</v>
      </c>
      <c r="AJ30" s="10">
        <f>IF(OR(T30="",'4_BENCHMARK'!$C$5=""),"",ABS(T30-'4_BENCHMARK'!$C$5))</f>
        <v>0</v>
      </c>
      <c r="AK30" s="10">
        <f>IF(OR(U30="",'4_BENCHMARK'!$C$6=""),"",ABS(U30-'4_BENCHMARK'!$C$6))</f>
        <v>0</v>
      </c>
      <c r="AL30" s="10">
        <f>IF(OR(V30="",'4_BENCHMARK'!$C$7=""),"",ABS(V30-'4_BENCHMARK'!$C$7))</f>
        <v>0</v>
      </c>
      <c r="AM30" s="10">
        <f>IF(OR(W30="",'4_BENCHMARK'!$C$8=""),"",ABS(W30-'4_BENCHMARK'!$C$8))</f>
        <v>1</v>
      </c>
      <c r="AN30" s="10">
        <f>IF(OR(X30="",'4_BENCHMARK'!$C$9=""),"",ABS(X30-'4_BENCHMARK'!$C$9))</f>
        <v>1</v>
      </c>
      <c r="AO30" s="10">
        <f>IF(OR(Y30="",'4_BENCHMARK'!$C$10=""),"",ABS(Y30-'4_BENCHMARK'!$C$10))</f>
        <v>0.25</v>
      </c>
      <c r="AP30" s="10">
        <f>IF(OR(Z30="",'4_BENCHMARK'!$C$11=""),"",ABS(Z30-'4_BENCHMARK'!$C$11))</f>
        <v>0</v>
      </c>
      <c r="AQ30" s="13">
        <f t="shared" si="17"/>
        <v>0.71875</v>
      </c>
      <c r="AR30" s="10"/>
      <c r="AS30" s="10" t="s">
        <v>149</v>
      </c>
      <c r="AT30" s="13">
        <f t="shared" si="18"/>
        <v>0.958333333333333</v>
      </c>
      <c r="AU30" s="1">
        <f t="shared" si="19"/>
        <v>5</v>
      </c>
      <c r="AV30" s="1">
        <f t="shared" si="20"/>
        <v>5</v>
      </c>
      <c r="AW30" s="1">
        <f t="shared" si="21"/>
        <v>5</v>
      </c>
      <c r="AX30" s="1">
        <f t="shared" si="22"/>
        <v>5</v>
      </c>
      <c r="AY30" s="1">
        <f t="shared" si="23"/>
        <v>5</v>
      </c>
      <c r="AZ30" s="1">
        <f t="shared" si="24"/>
        <v>5</v>
      </c>
      <c r="BA30" s="1">
        <f t="shared" si="25"/>
        <v>2</v>
      </c>
      <c r="BB30" s="1">
        <f t="shared" si="26"/>
        <v>5</v>
      </c>
      <c r="BC30" s="1" t="str">
        <f t="shared" si="27"/>
        <v/>
      </c>
      <c r="BD30" s="1" t="str">
        <f t="shared" si="28"/>
        <v/>
      </c>
      <c r="BE30" s="1" t="str">
        <f t="shared" si="29"/>
        <v/>
      </c>
      <c r="BF30" s="1" t="str">
        <f t="shared" si="30"/>
        <v/>
      </c>
      <c r="BG30" s="1" t="str">
        <f t="shared" si="31"/>
        <v/>
      </c>
      <c r="BH30" s="1" t="str">
        <f t="shared" si="32"/>
        <v/>
      </c>
      <c r="BI30" s="1" t="str">
        <f t="shared" si="33"/>
        <v/>
      </c>
      <c r="BJ30" s="1" t="str">
        <f t="shared" si="34"/>
        <v/>
      </c>
    </row>
    <row r="31" ht="14.25" customHeight="1" spans="1:62">
      <c r="A31" s="10">
        <v>27</v>
      </c>
      <c r="B31" s="10" t="s">
        <v>218</v>
      </c>
      <c r="C31" s="10">
        <v>1909</v>
      </c>
      <c r="D31" s="10">
        <f t="shared" si="0"/>
        <v>1900</v>
      </c>
      <c r="E31" s="10" t="s">
        <v>136</v>
      </c>
      <c r="F31" s="35" t="s">
        <v>219</v>
      </c>
      <c r="G31" s="10" t="s">
        <v>220</v>
      </c>
      <c r="H31" s="10" t="s">
        <v>139</v>
      </c>
      <c r="I31" s="10" t="s">
        <v>140</v>
      </c>
      <c r="J31" s="10"/>
      <c r="K31" s="10">
        <v>5</v>
      </c>
      <c r="L31" s="10">
        <v>5</v>
      </c>
      <c r="M31" s="10">
        <v>5</v>
      </c>
      <c r="N31" s="10">
        <v>5</v>
      </c>
      <c r="O31" s="10">
        <v>1</v>
      </c>
      <c r="P31" s="10">
        <v>1</v>
      </c>
      <c r="Q31" s="10">
        <v>3</v>
      </c>
      <c r="R31" s="10">
        <v>5</v>
      </c>
      <c r="S31" s="10">
        <f t="shared" si="1"/>
        <v>1</v>
      </c>
      <c r="T31" s="10">
        <f t="shared" si="2"/>
        <v>1</v>
      </c>
      <c r="U31" s="10">
        <f t="shared" si="3"/>
        <v>1</v>
      </c>
      <c r="V31" s="10">
        <f t="shared" si="4"/>
        <v>1</v>
      </c>
      <c r="W31" s="10">
        <f t="shared" si="5"/>
        <v>0</v>
      </c>
      <c r="X31" s="10">
        <f t="shared" si="6"/>
        <v>0</v>
      </c>
      <c r="Y31" s="10">
        <f t="shared" si="7"/>
        <v>0.5</v>
      </c>
      <c r="Z31" s="10">
        <f t="shared" si="8"/>
        <v>1</v>
      </c>
      <c r="AA31" s="10">
        <f t="shared" si="9"/>
        <v>1</v>
      </c>
      <c r="AB31" s="10">
        <f t="shared" si="10"/>
        <v>1</v>
      </c>
      <c r="AC31" s="10">
        <f t="shared" si="11"/>
        <v>1</v>
      </c>
      <c r="AD31" s="10">
        <f t="shared" si="12"/>
        <v>1</v>
      </c>
      <c r="AE31" s="10">
        <f t="shared" si="13"/>
        <v>0</v>
      </c>
      <c r="AF31" s="10">
        <f t="shared" si="14"/>
        <v>0</v>
      </c>
      <c r="AG31" s="10">
        <f t="shared" si="15"/>
        <v>0.5</v>
      </c>
      <c r="AH31" s="10">
        <f t="shared" si="16"/>
        <v>1</v>
      </c>
      <c r="AI31" s="10">
        <f>IF(OR(S31="",'4_BENCHMARK'!$C$4=""),"",ABS(S31-'4_BENCHMARK'!$C$4))</f>
        <v>0</v>
      </c>
      <c r="AJ31" s="10">
        <f>IF(OR(T31="",'4_BENCHMARK'!$C$5=""),"",ABS(T31-'4_BENCHMARK'!$C$5))</f>
        <v>0</v>
      </c>
      <c r="AK31" s="10">
        <f>IF(OR(U31="",'4_BENCHMARK'!$C$6=""),"",ABS(U31-'4_BENCHMARK'!$C$6))</f>
        <v>0</v>
      </c>
      <c r="AL31" s="10">
        <f>IF(OR(V31="",'4_BENCHMARK'!$C$7=""),"",ABS(V31-'4_BENCHMARK'!$C$7))</f>
        <v>0</v>
      </c>
      <c r="AM31" s="10">
        <f>IF(OR(W31="",'4_BENCHMARK'!$C$8=""),"",ABS(W31-'4_BENCHMARK'!$C$8))</f>
        <v>0</v>
      </c>
      <c r="AN31" s="10">
        <f>IF(OR(X31="",'4_BENCHMARK'!$C$9=""),"",ABS(X31-'4_BENCHMARK'!$C$9))</f>
        <v>0</v>
      </c>
      <c r="AO31" s="10">
        <f>IF(OR(Y31="",'4_BENCHMARK'!$C$10=""),"",ABS(Y31-'4_BENCHMARK'!$C$10))</f>
        <v>0</v>
      </c>
      <c r="AP31" s="10">
        <f>IF(OR(Z31="",'4_BENCHMARK'!$C$11=""),"",ABS(Z31-'4_BENCHMARK'!$C$11))</f>
        <v>0</v>
      </c>
      <c r="AQ31" s="13">
        <f t="shared" si="17"/>
        <v>1</v>
      </c>
      <c r="AR31" s="10"/>
      <c r="AS31" s="10" t="s">
        <v>141</v>
      </c>
      <c r="AT31" s="13">
        <f t="shared" si="18"/>
        <v>1</v>
      </c>
      <c r="AU31" s="1">
        <f t="shared" si="19"/>
        <v>5</v>
      </c>
      <c r="AV31" s="1">
        <f t="shared" si="20"/>
        <v>5</v>
      </c>
      <c r="AW31" s="1">
        <f t="shared" si="21"/>
        <v>5</v>
      </c>
      <c r="AX31" s="1">
        <f t="shared" si="22"/>
        <v>5</v>
      </c>
      <c r="AY31" s="1">
        <f t="shared" si="23"/>
        <v>1</v>
      </c>
      <c r="AZ31" s="1">
        <f t="shared" si="24"/>
        <v>1</v>
      </c>
      <c r="BA31" s="1">
        <f t="shared" si="25"/>
        <v>3</v>
      </c>
      <c r="BB31" s="1">
        <f t="shared" si="26"/>
        <v>5</v>
      </c>
      <c r="BC31" s="1" t="str">
        <f t="shared" si="27"/>
        <v/>
      </c>
      <c r="BD31" s="1" t="str">
        <f t="shared" si="28"/>
        <v/>
      </c>
      <c r="BE31" s="1" t="str">
        <f t="shared" si="29"/>
        <v/>
      </c>
      <c r="BF31" s="1" t="str">
        <f t="shared" si="30"/>
        <v/>
      </c>
      <c r="BG31" s="1" t="str">
        <f t="shared" si="31"/>
        <v/>
      </c>
      <c r="BH31" s="1" t="str">
        <f t="shared" si="32"/>
        <v/>
      </c>
      <c r="BI31" s="1" t="str">
        <f t="shared" si="33"/>
        <v/>
      </c>
      <c r="BJ31" s="1" t="str">
        <f t="shared" si="34"/>
        <v/>
      </c>
    </row>
    <row r="32" ht="14.25" customHeight="1" spans="1:62">
      <c r="A32" s="10">
        <v>28</v>
      </c>
      <c r="B32" s="10" t="s">
        <v>221</v>
      </c>
      <c r="C32" s="10">
        <v>1925</v>
      </c>
      <c r="D32" s="10">
        <f t="shared" si="0"/>
        <v>1920</v>
      </c>
      <c r="E32" s="10" t="s">
        <v>136</v>
      </c>
      <c r="F32" s="35" t="s">
        <v>222</v>
      </c>
      <c r="G32" s="10" t="s">
        <v>223</v>
      </c>
      <c r="H32" s="10" t="s">
        <v>139</v>
      </c>
      <c r="I32" s="10" t="s">
        <v>140</v>
      </c>
      <c r="J32" s="10"/>
      <c r="K32" s="10">
        <v>4</v>
      </c>
      <c r="L32" s="10">
        <v>5</v>
      </c>
      <c r="M32" s="10">
        <v>5</v>
      </c>
      <c r="N32" s="10">
        <v>4</v>
      </c>
      <c r="O32" s="10">
        <v>1</v>
      </c>
      <c r="P32" s="10">
        <v>1</v>
      </c>
      <c r="Q32" s="10">
        <v>2</v>
      </c>
      <c r="R32" s="10">
        <v>5</v>
      </c>
      <c r="S32" s="10">
        <f t="shared" si="1"/>
        <v>0.75</v>
      </c>
      <c r="T32" s="10">
        <f t="shared" si="2"/>
        <v>1</v>
      </c>
      <c r="U32" s="10">
        <f t="shared" si="3"/>
        <v>1</v>
      </c>
      <c r="V32" s="10">
        <f t="shared" si="4"/>
        <v>0.75</v>
      </c>
      <c r="W32" s="10">
        <f t="shared" si="5"/>
        <v>0</v>
      </c>
      <c r="X32" s="10">
        <f t="shared" si="6"/>
        <v>0</v>
      </c>
      <c r="Y32" s="10">
        <f t="shared" si="7"/>
        <v>0.25</v>
      </c>
      <c r="Z32" s="10">
        <f t="shared" si="8"/>
        <v>1</v>
      </c>
      <c r="AA32" s="10">
        <f t="shared" si="9"/>
        <v>0.75</v>
      </c>
      <c r="AB32" s="10">
        <f t="shared" si="10"/>
        <v>1</v>
      </c>
      <c r="AC32" s="10">
        <f t="shared" si="11"/>
        <v>1</v>
      </c>
      <c r="AD32" s="10">
        <f t="shared" si="12"/>
        <v>0.75</v>
      </c>
      <c r="AE32" s="10">
        <f t="shared" si="13"/>
        <v>0</v>
      </c>
      <c r="AF32" s="10">
        <f t="shared" si="14"/>
        <v>0</v>
      </c>
      <c r="AG32" s="10">
        <f t="shared" si="15"/>
        <v>0.25</v>
      </c>
      <c r="AH32" s="10">
        <f t="shared" si="16"/>
        <v>1</v>
      </c>
      <c r="AI32" s="10">
        <f>IF(OR(S32="",'4_BENCHMARK'!$C$4=""),"",ABS(S32-'4_BENCHMARK'!$C$4))</f>
        <v>0.25</v>
      </c>
      <c r="AJ32" s="10">
        <f>IF(OR(T32="",'4_BENCHMARK'!$C$5=""),"",ABS(T32-'4_BENCHMARK'!$C$5))</f>
        <v>0</v>
      </c>
      <c r="AK32" s="10">
        <f>IF(OR(U32="",'4_BENCHMARK'!$C$6=""),"",ABS(U32-'4_BENCHMARK'!$C$6))</f>
        <v>0</v>
      </c>
      <c r="AL32" s="10">
        <f>IF(OR(V32="",'4_BENCHMARK'!$C$7=""),"",ABS(V32-'4_BENCHMARK'!$C$7))</f>
        <v>0.25</v>
      </c>
      <c r="AM32" s="10">
        <f>IF(OR(W32="",'4_BENCHMARK'!$C$8=""),"",ABS(W32-'4_BENCHMARK'!$C$8))</f>
        <v>0</v>
      </c>
      <c r="AN32" s="10">
        <f>IF(OR(X32="",'4_BENCHMARK'!$C$9=""),"",ABS(X32-'4_BENCHMARK'!$C$9))</f>
        <v>0</v>
      </c>
      <c r="AO32" s="10">
        <f>IF(OR(Y32="",'4_BENCHMARK'!$C$10=""),"",ABS(Y32-'4_BENCHMARK'!$C$10))</f>
        <v>0.25</v>
      </c>
      <c r="AP32" s="10">
        <f>IF(OR(Z32="",'4_BENCHMARK'!$C$11=""),"",ABS(Z32-'4_BENCHMARK'!$C$11))</f>
        <v>0</v>
      </c>
      <c r="AQ32" s="13">
        <f t="shared" si="17"/>
        <v>0.90625</v>
      </c>
      <c r="AR32" s="10"/>
      <c r="AS32" s="10" t="s">
        <v>141</v>
      </c>
      <c r="AT32" s="13">
        <f t="shared" si="18"/>
        <v>0.875</v>
      </c>
      <c r="AU32" s="1">
        <f t="shared" si="19"/>
        <v>4</v>
      </c>
      <c r="AV32" s="1">
        <f t="shared" si="20"/>
        <v>5</v>
      </c>
      <c r="AW32" s="1">
        <f t="shared" si="21"/>
        <v>5</v>
      </c>
      <c r="AX32" s="1">
        <f t="shared" si="22"/>
        <v>4</v>
      </c>
      <c r="AY32" s="1">
        <f t="shared" si="23"/>
        <v>1</v>
      </c>
      <c r="AZ32" s="1">
        <f t="shared" si="24"/>
        <v>1</v>
      </c>
      <c r="BA32" s="1">
        <f t="shared" si="25"/>
        <v>2</v>
      </c>
      <c r="BB32" s="1">
        <f t="shared" si="26"/>
        <v>5</v>
      </c>
      <c r="BC32" s="1" t="str">
        <f t="shared" si="27"/>
        <v/>
      </c>
      <c r="BD32" s="1" t="str">
        <f t="shared" si="28"/>
        <v/>
      </c>
      <c r="BE32" s="1" t="str">
        <f t="shared" si="29"/>
        <v/>
      </c>
      <c r="BF32" s="1" t="str">
        <f t="shared" si="30"/>
        <v/>
      </c>
      <c r="BG32" s="1" t="str">
        <f t="shared" si="31"/>
        <v/>
      </c>
      <c r="BH32" s="1" t="str">
        <f t="shared" si="32"/>
        <v/>
      </c>
      <c r="BI32" s="1" t="str">
        <f t="shared" si="33"/>
        <v/>
      </c>
      <c r="BJ32" s="1" t="str">
        <f t="shared" si="34"/>
        <v/>
      </c>
    </row>
    <row r="33" ht="14.25" customHeight="1" spans="1:62">
      <c r="A33" s="10">
        <v>29</v>
      </c>
      <c r="B33" s="36" t="s">
        <v>224</v>
      </c>
      <c r="C33" s="10">
        <v>2019</v>
      </c>
      <c r="D33" s="10">
        <f t="shared" si="0"/>
        <v>2010</v>
      </c>
      <c r="E33" s="36" t="s">
        <v>136</v>
      </c>
      <c r="F33" s="35" t="s">
        <v>225</v>
      </c>
      <c r="G33" s="36" t="s">
        <v>226</v>
      </c>
      <c r="H33" s="10" t="s">
        <v>140</v>
      </c>
      <c r="I33" s="10" t="s">
        <v>140</v>
      </c>
      <c r="J33" s="10"/>
      <c r="K33" s="10">
        <v>5</v>
      </c>
      <c r="L33" s="10">
        <v>5</v>
      </c>
      <c r="M33" s="10">
        <v>5</v>
      </c>
      <c r="N33" s="10">
        <v>4</v>
      </c>
      <c r="O33" s="10">
        <v>5</v>
      </c>
      <c r="P33" s="10">
        <v>3</v>
      </c>
      <c r="Q33" s="10">
        <v>3</v>
      </c>
      <c r="R33" s="10">
        <v>5</v>
      </c>
      <c r="S33" s="10">
        <f t="shared" si="1"/>
        <v>1</v>
      </c>
      <c r="T33" s="10">
        <f t="shared" si="2"/>
        <v>1</v>
      </c>
      <c r="U33" s="10">
        <f t="shared" si="3"/>
        <v>1</v>
      </c>
      <c r="V33" s="10">
        <f t="shared" si="4"/>
        <v>0.75</v>
      </c>
      <c r="W33" s="10">
        <f t="shared" si="5"/>
        <v>1</v>
      </c>
      <c r="X33" s="10">
        <f t="shared" si="6"/>
        <v>0.5</v>
      </c>
      <c r="Y33" s="10">
        <f t="shared" si="7"/>
        <v>0.5</v>
      </c>
      <c r="Z33" s="10">
        <f t="shared" si="8"/>
        <v>1</v>
      </c>
      <c r="AA33" s="10" t="str">
        <f t="shared" si="9"/>
        <v/>
      </c>
      <c r="AB33" s="10" t="str">
        <f t="shared" si="10"/>
        <v/>
      </c>
      <c r="AC33" s="10" t="str">
        <f t="shared" si="11"/>
        <v/>
      </c>
      <c r="AD33" s="10" t="str">
        <f t="shared" si="12"/>
        <v/>
      </c>
      <c r="AE33" s="10" t="str">
        <f t="shared" si="13"/>
        <v/>
      </c>
      <c r="AF33" s="10" t="str">
        <f t="shared" si="14"/>
        <v/>
      </c>
      <c r="AG33" s="10" t="str">
        <f t="shared" si="15"/>
        <v/>
      </c>
      <c r="AH33" s="10" t="str">
        <f t="shared" si="16"/>
        <v/>
      </c>
      <c r="AI33" s="10">
        <f>IF(OR(S33="",'4_BENCHMARK'!$C$4=""),"",ABS(S33-'4_BENCHMARK'!$C$4))</f>
        <v>0</v>
      </c>
      <c r="AJ33" s="10">
        <f>IF(OR(T33="",'4_BENCHMARK'!$C$5=""),"",ABS(T33-'4_BENCHMARK'!$C$5))</f>
        <v>0</v>
      </c>
      <c r="AK33" s="10">
        <f>IF(OR(U33="",'4_BENCHMARK'!$C$6=""),"",ABS(U33-'4_BENCHMARK'!$C$6))</f>
        <v>0</v>
      </c>
      <c r="AL33" s="10">
        <f>IF(OR(V33="",'4_BENCHMARK'!$C$7=""),"",ABS(V33-'4_BENCHMARK'!$C$7))</f>
        <v>0.25</v>
      </c>
      <c r="AM33" s="10">
        <f>IF(OR(W33="",'4_BENCHMARK'!$C$8=""),"",ABS(W33-'4_BENCHMARK'!$C$8))</f>
        <v>1</v>
      </c>
      <c r="AN33" s="10">
        <f>IF(OR(X33="",'4_BENCHMARK'!$C$9=""),"",ABS(X33-'4_BENCHMARK'!$C$9))</f>
        <v>0.5</v>
      </c>
      <c r="AO33" s="10">
        <f>IF(OR(Y33="",'4_BENCHMARK'!$C$10=""),"",ABS(Y33-'4_BENCHMARK'!$C$10))</f>
        <v>0</v>
      </c>
      <c r="AP33" s="10">
        <f>IF(OR(Z33="",'4_BENCHMARK'!$C$11=""),"",ABS(Z33-'4_BENCHMARK'!$C$11))</f>
        <v>0</v>
      </c>
      <c r="AQ33" s="13">
        <f t="shared" si="17"/>
        <v>0.78125</v>
      </c>
      <c r="AR33" s="10"/>
      <c r="AS33" s="10" t="s">
        <v>141</v>
      </c>
      <c r="AT33" s="13">
        <f t="shared" si="18"/>
        <v>0.958333333333333</v>
      </c>
      <c r="AU33" s="1" t="str">
        <f t="shared" si="19"/>
        <v/>
      </c>
      <c r="AV33" s="1" t="str">
        <f t="shared" si="20"/>
        <v/>
      </c>
      <c r="AW33" s="1" t="str">
        <f t="shared" si="21"/>
        <v/>
      </c>
      <c r="AX33" s="1" t="str">
        <f t="shared" si="22"/>
        <v/>
      </c>
      <c r="AY33" s="1" t="str">
        <f t="shared" si="23"/>
        <v/>
      </c>
      <c r="AZ33" s="1" t="str">
        <f t="shared" si="24"/>
        <v/>
      </c>
      <c r="BA33" s="1" t="str">
        <f t="shared" si="25"/>
        <v/>
      </c>
      <c r="BB33" s="1" t="str">
        <f t="shared" si="26"/>
        <v/>
      </c>
      <c r="BC33" s="1">
        <f t="shared" si="27"/>
        <v>5</v>
      </c>
      <c r="BD33" s="1">
        <f t="shared" si="28"/>
        <v>5</v>
      </c>
      <c r="BE33" s="1">
        <f t="shared" si="29"/>
        <v>5</v>
      </c>
      <c r="BF33" s="1">
        <f t="shared" si="30"/>
        <v>4</v>
      </c>
      <c r="BG33" s="1">
        <f t="shared" si="31"/>
        <v>5</v>
      </c>
      <c r="BH33" s="1">
        <f t="shared" si="32"/>
        <v>3</v>
      </c>
      <c r="BI33" s="1">
        <f t="shared" si="33"/>
        <v>3</v>
      </c>
      <c r="BJ33" s="1">
        <f t="shared" si="34"/>
        <v>5</v>
      </c>
    </row>
    <row r="34" ht="14.25" customHeight="1" spans="1:62">
      <c r="A34" s="10">
        <v>30</v>
      </c>
      <c r="B34" s="36" t="s">
        <v>227</v>
      </c>
      <c r="C34" s="10">
        <v>1908</v>
      </c>
      <c r="D34" s="10">
        <f t="shared" si="0"/>
        <v>1900</v>
      </c>
      <c r="E34" s="36" t="s">
        <v>136</v>
      </c>
      <c r="F34" s="35" t="s">
        <v>228</v>
      </c>
      <c r="G34" s="36" t="s">
        <v>229</v>
      </c>
      <c r="H34" s="10" t="s">
        <v>139</v>
      </c>
      <c r="I34" s="10" t="s">
        <v>140</v>
      </c>
      <c r="J34" s="10"/>
      <c r="K34" s="10">
        <v>5</v>
      </c>
      <c r="L34" s="10">
        <v>5</v>
      </c>
      <c r="M34" s="10">
        <v>5</v>
      </c>
      <c r="N34" s="10">
        <v>5</v>
      </c>
      <c r="O34" s="10">
        <v>1</v>
      </c>
      <c r="P34" s="10">
        <v>1</v>
      </c>
      <c r="Q34" s="10">
        <v>2</v>
      </c>
      <c r="R34" s="10">
        <v>5</v>
      </c>
      <c r="S34" s="10">
        <f t="shared" si="1"/>
        <v>1</v>
      </c>
      <c r="T34" s="10">
        <f t="shared" si="2"/>
        <v>1</v>
      </c>
      <c r="U34" s="10">
        <f t="shared" si="3"/>
        <v>1</v>
      </c>
      <c r="V34" s="10">
        <f t="shared" si="4"/>
        <v>1</v>
      </c>
      <c r="W34" s="10">
        <f t="shared" si="5"/>
        <v>0</v>
      </c>
      <c r="X34" s="10">
        <f t="shared" si="6"/>
        <v>0</v>
      </c>
      <c r="Y34" s="10">
        <f t="shared" si="7"/>
        <v>0.25</v>
      </c>
      <c r="Z34" s="10">
        <f t="shared" si="8"/>
        <v>1</v>
      </c>
      <c r="AA34" s="10">
        <f t="shared" si="9"/>
        <v>1</v>
      </c>
      <c r="AB34" s="10">
        <f t="shared" si="10"/>
        <v>1</v>
      </c>
      <c r="AC34" s="10">
        <f t="shared" si="11"/>
        <v>1</v>
      </c>
      <c r="AD34" s="10">
        <f t="shared" si="12"/>
        <v>1</v>
      </c>
      <c r="AE34" s="10">
        <f t="shared" si="13"/>
        <v>0</v>
      </c>
      <c r="AF34" s="10">
        <f t="shared" si="14"/>
        <v>0</v>
      </c>
      <c r="AG34" s="10">
        <f t="shared" si="15"/>
        <v>0.25</v>
      </c>
      <c r="AH34" s="10">
        <f t="shared" si="16"/>
        <v>1</v>
      </c>
      <c r="AI34" s="10">
        <f>IF(OR(S34="",'4_BENCHMARK'!$C$4=""),"",ABS(S34-'4_BENCHMARK'!$C$4))</f>
        <v>0</v>
      </c>
      <c r="AJ34" s="10">
        <f>IF(OR(T34="",'4_BENCHMARK'!$C$5=""),"",ABS(T34-'4_BENCHMARK'!$C$5))</f>
        <v>0</v>
      </c>
      <c r="AK34" s="10">
        <f>IF(OR(U34="",'4_BENCHMARK'!$C$6=""),"",ABS(U34-'4_BENCHMARK'!$C$6))</f>
        <v>0</v>
      </c>
      <c r="AL34" s="10">
        <f>IF(OR(V34="",'4_BENCHMARK'!$C$7=""),"",ABS(V34-'4_BENCHMARK'!$C$7))</f>
        <v>0</v>
      </c>
      <c r="AM34" s="10">
        <f>IF(OR(W34="",'4_BENCHMARK'!$C$8=""),"",ABS(W34-'4_BENCHMARK'!$C$8))</f>
        <v>0</v>
      </c>
      <c r="AN34" s="10">
        <f>IF(OR(X34="",'4_BENCHMARK'!$C$9=""),"",ABS(X34-'4_BENCHMARK'!$C$9))</f>
        <v>0</v>
      </c>
      <c r="AO34" s="10">
        <f>IF(OR(Y34="",'4_BENCHMARK'!$C$10=""),"",ABS(Y34-'4_BENCHMARK'!$C$10))</f>
        <v>0.25</v>
      </c>
      <c r="AP34" s="10">
        <f>IF(OR(Z34="",'4_BENCHMARK'!$C$11=""),"",ABS(Z34-'4_BENCHMARK'!$C$11))</f>
        <v>0</v>
      </c>
      <c r="AQ34" s="13">
        <f t="shared" si="17"/>
        <v>0.96875</v>
      </c>
      <c r="AR34" s="10"/>
      <c r="AS34" s="10" t="s">
        <v>230</v>
      </c>
      <c r="AT34" s="13">
        <f t="shared" si="18"/>
        <v>0.958333333333333</v>
      </c>
      <c r="AU34" s="1">
        <f t="shared" si="19"/>
        <v>5</v>
      </c>
      <c r="AV34" s="1">
        <f t="shared" si="20"/>
        <v>5</v>
      </c>
      <c r="AW34" s="1">
        <f t="shared" si="21"/>
        <v>5</v>
      </c>
      <c r="AX34" s="1">
        <f t="shared" si="22"/>
        <v>5</v>
      </c>
      <c r="AY34" s="1">
        <f t="shared" si="23"/>
        <v>1</v>
      </c>
      <c r="AZ34" s="1">
        <f t="shared" si="24"/>
        <v>1</v>
      </c>
      <c r="BA34" s="1">
        <f t="shared" si="25"/>
        <v>2</v>
      </c>
      <c r="BB34" s="1">
        <f t="shared" si="26"/>
        <v>5</v>
      </c>
      <c r="BC34" s="1" t="str">
        <f t="shared" si="27"/>
        <v/>
      </c>
      <c r="BD34" s="1" t="str">
        <f t="shared" si="28"/>
        <v/>
      </c>
      <c r="BE34" s="1" t="str">
        <f t="shared" si="29"/>
        <v/>
      </c>
      <c r="BF34" s="1" t="str">
        <f t="shared" si="30"/>
        <v/>
      </c>
      <c r="BG34" s="1" t="str">
        <f t="shared" si="31"/>
        <v/>
      </c>
      <c r="BH34" s="1" t="str">
        <f t="shared" si="32"/>
        <v/>
      </c>
      <c r="BI34" s="1" t="str">
        <f t="shared" si="33"/>
        <v/>
      </c>
      <c r="BJ34" s="1" t="str">
        <f t="shared" si="34"/>
        <v/>
      </c>
    </row>
    <row r="35" ht="14.25" customHeight="1" spans="1:62">
      <c r="A35" s="10">
        <v>31</v>
      </c>
      <c r="B35" s="36" t="s">
        <v>231</v>
      </c>
      <c r="C35" s="10">
        <v>1893</v>
      </c>
      <c r="D35" s="10">
        <f t="shared" si="0"/>
        <v>1890</v>
      </c>
      <c r="E35" s="36" t="s">
        <v>136</v>
      </c>
      <c r="F35" s="35" t="s">
        <v>232</v>
      </c>
      <c r="G35" s="36" t="s">
        <v>233</v>
      </c>
      <c r="H35" s="10" t="s">
        <v>139</v>
      </c>
      <c r="I35" s="10" t="s">
        <v>140</v>
      </c>
      <c r="J35" s="10"/>
      <c r="K35" s="10">
        <v>5</v>
      </c>
      <c r="L35" s="10">
        <v>5</v>
      </c>
      <c r="M35" s="10">
        <v>5</v>
      </c>
      <c r="N35" s="10">
        <v>5</v>
      </c>
      <c r="O35" s="10">
        <v>1</v>
      </c>
      <c r="P35" s="10">
        <v>1</v>
      </c>
      <c r="Q35" s="10">
        <v>2</v>
      </c>
      <c r="R35" s="10">
        <v>5</v>
      </c>
      <c r="S35" s="10">
        <f t="shared" si="1"/>
        <v>1</v>
      </c>
      <c r="T35" s="10">
        <f t="shared" si="2"/>
        <v>1</v>
      </c>
      <c r="U35" s="10">
        <f t="shared" si="3"/>
        <v>1</v>
      </c>
      <c r="V35" s="10">
        <f t="shared" si="4"/>
        <v>1</v>
      </c>
      <c r="W35" s="10">
        <f t="shared" si="5"/>
        <v>0</v>
      </c>
      <c r="X35" s="10">
        <f t="shared" si="6"/>
        <v>0</v>
      </c>
      <c r="Y35" s="10">
        <f t="shared" si="7"/>
        <v>0.25</v>
      </c>
      <c r="Z35" s="10">
        <f t="shared" si="8"/>
        <v>1</v>
      </c>
      <c r="AA35" s="10">
        <f t="shared" si="9"/>
        <v>1</v>
      </c>
      <c r="AB35" s="10">
        <f t="shared" si="10"/>
        <v>1</v>
      </c>
      <c r="AC35" s="10">
        <f t="shared" si="11"/>
        <v>1</v>
      </c>
      <c r="AD35" s="10">
        <f t="shared" si="12"/>
        <v>1</v>
      </c>
      <c r="AE35" s="10">
        <f t="shared" si="13"/>
        <v>0</v>
      </c>
      <c r="AF35" s="10">
        <f t="shared" si="14"/>
        <v>0</v>
      </c>
      <c r="AG35" s="10">
        <f t="shared" si="15"/>
        <v>0.25</v>
      </c>
      <c r="AH35" s="10">
        <f t="shared" si="16"/>
        <v>1</v>
      </c>
      <c r="AI35" s="10">
        <f>IF(OR(S35="",'4_BENCHMARK'!$C$4=""),"",ABS(S35-'4_BENCHMARK'!$C$4))</f>
        <v>0</v>
      </c>
      <c r="AJ35" s="10">
        <f>IF(OR(T35="",'4_BENCHMARK'!$C$5=""),"",ABS(T35-'4_BENCHMARK'!$C$5))</f>
        <v>0</v>
      </c>
      <c r="AK35" s="10">
        <f>IF(OR(U35="",'4_BENCHMARK'!$C$6=""),"",ABS(U35-'4_BENCHMARK'!$C$6))</f>
        <v>0</v>
      </c>
      <c r="AL35" s="10">
        <f>IF(OR(V35="",'4_BENCHMARK'!$C$7=""),"",ABS(V35-'4_BENCHMARK'!$C$7))</f>
        <v>0</v>
      </c>
      <c r="AM35" s="10">
        <f>IF(OR(W35="",'4_BENCHMARK'!$C$8=""),"",ABS(W35-'4_BENCHMARK'!$C$8))</f>
        <v>0</v>
      </c>
      <c r="AN35" s="10">
        <f>IF(OR(X35="",'4_BENCHMARK'!$C$9=""),"",ABS(X35-'4_BENCHMARK'!$C$9))</f>
        <v>0</v>
      </c>
      <c r="AO35" s="10">
        <f>IF(OR(Y35="",'4_BENCHMARK'!$C$10=""),"",ABS(Y35-'4_BENCHMARK'!$C$10))</f>
        <v>0.25</v>
      </c>
      <c r="AP35" s="10">
        <f>IF(OR(Z35="",'4_BENCHMARK'!$C$11=""),"",ABS(Z35-'4_BENCHMARK'!$C$11))</f>
        <v>0</v>
      </c>
      <c r="AQ35" s="13">
        <f t="shared" si="17"/>
        <v>0.96875</v>
      </c>
      <c r="AR35" s="10"/>
      <c r="AS35" s="10" t="s">
        <v>141</v>
      </c>
      <c r="AT35" s="13">
        <f t="shared" si="18"/>
        <v>0.958333333333333</v>
      </c>
      <c r="AU35" s="1">
        <f t="shared" si="19"/>
        <v>5</v>
      </c>
      <c r="AV35" s="1">
        <f t="shared" si="20"/>
        <v>5</v>
      </c>
      <c r="AW35" s="1">
        <f t="shared" si="21"/>
        <v>5</v>
      </c>
      <c r="AX35" s="1">
        <f t="shared" si="22"/>
        <v>5</v>
      </c>
      <c r="AY35" s="1">
        <f t="shared" si="23"/>
        <v>1</v>
      </c>
      <c r="AZ35" s="1">
        <f t="shared" si="24"/>
        <v>1</v>
      </c>
      <c r="BA35" s="1">
        <f t="shared" si="25"/>
        <v>2</v>
      </c>
      <c r="BB35" s="1">
        <f t="shared" si="26"/>
        <v>5</v>
      </c>
      <c r="BC35" s="1" t="str">
        <f t="shared" si="27"/>
        <v/>
      </c>
      <c r="BD35" s="1" t="str">
        <f t="shared" si="28"/>
        <v/>
      </c>
      <c r="BE35" s="1" t="str">
        <f t="shared" si="29"/>
        <v/>
      </c>
      <c r="BF35" s="1" t="str">
        <f t="shared" si="30"/>
        <v/>
      </c>
      <c r="BG35" s="1" t="str">
        <f t="shared" si="31"/>
        <v/>
      </c>
      <c r="BH35" s="1" t="str">
        <f t="shared" si="32"/>
        <v/>
      </c>
      <c r="BI35" s="1" t="str">
        <f t="shared" si="33"/>
        <v/>
      </c>
      <c r="BJ35" s="1" t="str">
        <f t="shared" si="34"/>
        <v/>
      </c>
    </row>
    <row r="36" ht="14.25" customHeight="1" spans="1:62">
      <c r="A36" s="10">
        <v>32</v>
      </c>
      <c r="B36" s="36" t="s">
        <v>234</v>
      </c>
      <c r="C36" s="10">
        <v>2018</v>
      </c>
      <c r="D36" s="10">
        <f t="shared" si="0"/>
        <v>2010</v>
      </c>
      <c r="E36" s="36" t="s">
        <v>136</v>
      </c>
      <c r="F36" s="35" t="s">
        <v>235</v>
      </c>
      <c r="G36" s="36" t="s">
        <v>236</v>
      </c>
      <c r="H36" s="10" t="s">
        <v>140</v>
      </c>
      <c r="I36" s="10" t="s">
        <v>140</v>
      </c>
      <c r="J36" s="10"/>
      <c r="K36" s="10">
        <v>5</v>
      </c>
      <c r="L36" s="10">
        <v>5</v>
      </c>
      <c r="M36" s="10">
        <v>5</v>
      </c>
      <c r="N36" s="10">
        <v>5</v>
      </c>
      <c r="O36" s="10">
        <v>5</v>
      </c>
      <c r="P36" s="10">
        <v>5</v>
      </c>
      <c r="Q36" s="10">
        <v>3</v>
      </c>
      <c r="R36" s="10">
        <v>5</v>
      </c>
      <c r="S36" s="10">
        <f t="shared" si="1"/>
        <v>1</v>
      </c>
      <c r="T36" s="10">
        <f t="shared" si="2"/>
        <v>1</v>
      </c>
      <c r="U36" s="10">
        <f t="shared" si="3"/>
        <v>1</v>
      </c>
      <c r="V36" s="10">
        <f t="shared" si="4"/>
        <v>1</v>
      </c>
      <c r="W36" s="10">
        <f t="shared" si="5"/>
        <v>1</v>
      </c>
      <c r="X36" s="10">
        <f t="shared" si="6"/>
        <v>1</v>
      </c>
      <c r="Y36" s="10">
        <f t="shared" si="7"/>
        <v>0.5</v>
      </c>
      <c r="Z36" s="10">
        <f t="shared" si="8"/>
        <v>1</v>
      </c>
      <c r="AA36" s="10" t="str">
        <f t="shared" si="9"/>
        <v/>
      </c>
      <c r="AB36" s="10" t="str">
        <f t="shared" si="10"/>
        <v/>
      </c>
      <c r="AC36" s="10" t="str">
        <f t="shared" si="11"/>
        <v/>
      </c>
      <c r="AD36" s="10" t="str">
        <f t="shared" si="12"/>
        <v/>
      </c>
      <c r="AE36" s="10" t="str">
        <f t="shared" si="13"/>
        <v/>
      </c>
      <c r="AF36" s="10" t="str">
        <f t="shared" si="14"/>
        <v/>
      </c>
      <c r="AG36" s="10" t="str">
        <f t="shared" si="15"/>
        <v/>
      </c>
      <c r="AH36" s="10" t="str">
        <f t="shared" si="16"/>
        <v/>
      </c>
      <c r="AI36" s="10">
        <f>IF(OR(S36="",'4_BENCHMARK'!$C$4=""),"",ABS(S36-'4_BENCHMARK'!$C$4))</f>
        <v>0</v>
      </c>
      <c r="AJ36" s="10">
        <f>IF(OR(T36="",'4_BENCHMARK'!$C$5=""),"",ABS(T36-'4_BENCHMARK'!$C$5))</f>
        <v>0</v>
      </c>
      <c r="AK36" s="10">
        <f>IF(OR(U36="",'4_BENCHMARK'!$C$6=""),"",ABS(U36-'4_BENCHMARK'!$C$6))</f>
        <v>0</v>
      </c>
      <c r="AL36" s="10">
        <f>IF(OR(V36="",'4_BENCHMARK'!$C$7=""),"",ABS(V36-'4_BENCHMARK'!$C$7))</f>
        <v>0</v>
      </c>
      <c r="AM36" s="10">
        <f>IF(OR(W36="",'4_BENCHMARK'!$C$8=""),"",ABS(W36-'4_BENCHMARK'!$C$8))</f>
        <v>1</v>
      </c>
      <c r="AN36" s="10">
        <f>IF(OR(X36="",'4_BENCHMARK'!$C$9=""),"",ABS(X36-'4_BENCHMARK'!$C$9))</f>
        <v>1</v>
      </c>
      <c r="AO36" s="10">
        <f>IF(OR(Y36="",'4_BENCHMARK'!$C$10=""),"",ABS(Y36-'4_BENCHMARK'!$C$10))</f>
        <v>0</v>
      </c>
      <c r="AP36" s="10">
        <f>IF(OR(Z36="",'4_BENCHMARK'!$C$11=""),"",ABS(Z36-'4_BENCHMARK'!$C$11))</f>
        <v>0</v>
      </c>
      <c r="AQ36" s="13">
        <f t="shared" si="17"/>
        <v>0.75</v>
      </c>
      <c r="AR36" s="10"/>
      <c r="AS36" s="10" t="s">
        <v>141</v>
      </c>
      <c r="AT36" s="13">
        <f t="shared" si="18"/>
        <v>1</v>
      </c>
      <c r="AU36" s="1" t="str">
        <f t="shared" si="19"/>
        <v/>
      </c>
      <c r="AV36" s="1" t="str">
        <f t="shared" si="20"/>
        <v/>
      </c>
      <c r="AW36" s="1" t="str">
        <f t="shared" si="21"/>
        <v/>
      </c>
      <c r="AX36" s="1" t="str">
        <f t="shared" si="22"/>
        <v/>
      </c>
      <c r="AY36" s="1" t="str">
        <f t="shared" si="23"/>
        <v/>
      </c>
      <c r="AZ36" s="1" t="str">
        <f t="shared" si="24"/>
        <v/>
      </c>
      <c r="BA36" s="1" t="str">
        <f t="shared" si="25"/>
        <v/>
      </c>
      <c r="BB36" s="1" t="str">
        <f t="shared" si="26"/>
        <v/>
      </c>
      <c r="BC36" s="1">
        <f t="shared" si="27"/>
        <v>5</v>
      </c>
      <c r="BD36" s="1">
        <f t="shared" si="28"/>
        <v>5</v>
      </c>
      <c r="BE36" s="1">
        <f t="shared" si="29"/>
        <v>5</v>
      </c>
      <c r="BF36" s="1">
        <f t="shared" si="30"/>
        <v>5</v>
      </c>
      <c r="BG36" s="1">
        <f t="shared" si="31"/>
        <v>5</v>
      </c>
      <c r="BH36" s="1">
        <f t="shared" si="32"/>
        <v>5</v>
      </c>
      <c r="BI36" s="1">
        <f t="shared" si="33"/>
        <v>3</v>
      </c>
      <c r="BJ36" s="1">
        <f t="shared" si="34"/>
        <v>5</v>
      </c>
    </row>
    <row r="37" ht="14.25" customHeight="1" spans="1:62">
      <c r="A37" s="10">
        <v>33</v>
      </c>
      <c r="B37" s="36" t="s">
        <v>237</v>
      </c>
      <c r="C37" s="10">
        <v>2014</v>
      </c>
      <c r="D37" s="10">
        <f t="shared" si="0"/>
        <v>2010</v>
      </c>
      <c r="E37" s="36" t="s">
        <v>136</v>
      </c>
      <c r="F37" s="35" t="s">
        <v>238</v>
      </c>
      <c r="G37" s="36" t="s">
        <v>239</v>
      </c>
      <c r="H37" s="10" t="s">
        <v>140</v>
      </c>
      <c r="I37" s="10" t="s">
        <v>140</v>
      </c>
      <c r="J37" s="10"/>
      <c r="K37" s="10">
        <v>5</v>
      </c>
      <c r="L37" s="10">
        <v>5</v>
      </c>
      <c r="M37" s="10">
        <v>5</v>
      </c>
      <c r="N37" s="10">
        <v>5</v>
      </c>
      <c r="O37" s="10">
        <v>5</v>
      </c>
      <c r="P37" s="10">
        <v>5</v>
      </c>
      <c r="Q37" s="10">
        <v>3</v>
      </c>
      <c r="R37" s="10">
        <v>5</v>
      </c>
      <c r="S37" s="10">
        <f t="shared" si="1"/>
        <v>1</v>
      </c>
      <c r="T37" s="10">
        <f t="shared" si="2"/>
        <v>1</v>
      </c>
      <c r="U37" s="10">
        <f t="shared" si="3"/>
        <v>1</v>
      </c>
      <c r="V37" s="10">
        <f t="shared" si="4"/>
        <v>1</v>
      </c>
      <c r="W37" s="10">
        <f t="shared" si="5"/>
        <v>1</v>
      </c>
      <c r="X37" s="10">
        <f t="shared" si="6"/>
        <v>1</v>
      </c>
      <c r="Y37" s="10">
        <f t="shared" si="7"/>
        <v>0.5</v>
      </c>
      <c r="Z37" s="10">
        <f t="shared" si="8"/>
        <v>1</v>
      </c>
      <c r="AA37" s="10" t="str">
        <f t="shared" si="9"/>
        <v/>
      </c>
      <c r="AB37" s="10" t="str">
        <f t="shared" si="10"/>
        <v/>
      </c>
      <c r="AC37" s="10" t="str">
        <f t="shared" si="11"/>
        <v/>
      </c>
      <c r="AD37" s="10" t="str">
        <f t="shared" si="12"/>
        <v/>
      </c>
      <c r="AE37" s="10" t="str">
        <f t="shared" si="13"/>
        <v/>
      </c>
      <c r="AF37" s="10" t="str">
        <f t="shared" si="14"/>
        <v/>
      </c>
      <c r="AG37" s="10" t="str">
        <f t="shared" si="15"/>
        <v/>
      </c>
      <c r="AH37" s="10" t="str">
        <f t="shared" si="16"/>
        <v/>
      </c>
      <c r="AI37" s="10">
        <f>IF(OR(S37="",'4_BENCHMARK'!$C$4=""),"",ABS(S37-'4_BENCHMARK'!$C$4))</f>
        <v>0</v>
      </c>
      <c r="AJ37" s="10">
        <f>IF(OR(T37="",'4_BENCHMARK'!$C$5=""),"",ABS(T37-'4_BENCHMARK'!$C$5))</f>
        <v>0</v>
      </c>
      <c r="AK37" s="10">
        <f>IF(OR(U37="",'4_BENCHMARK'!$C$6=""),"",ABS(U37-'4_BENCHMARK'!$C$6))</f>
        <v>0</v>
      </c>
      <c r="AL37" s="10">
        <f>IF(OR(V37="",'4_BENCHMARK'!$C$7=""),"",ABS(V37-'4_BENCHMARK'!$C$7))</f>
        <v>0</v>
      </c>
      <c r="AM37" s="10">
        <f>IF(OR(W37="",'4_BENCHMARK'!$C$8=""),"",ABS(W37-'4_BENCHMARK'!$C$8))</f>
        <v>1</v>
      </c>
      <c r="AN37" s="10">
        <f>IF(OR(X37="",'4_BENCHMARK'!$C$9=""),"",ABS(X37-'4_BENCHMARK'!$C$9))</f>
        <v>1</v>
      </c>
      <c r="AO37" s="10">
        <f>IF(OR(Y37="",'4_BENCHMARK'!$C$10=""),"",ABS(Y37-'4_BENCHMARK'!$C$10))</f>
        <v>0</v>
      </c>
      <c r="AP37" s="10">
        <f>IF(OR(Z37="",'4_BENCHMARK'!$C$11=""),"",ABS(Z37-'4_BENCHMARK'!$C$11))</f>
        <v>0</v>
      </c>
      <c r="AQ37" s="13">
        <f t="shared" si="17"/>
        <v>0.75</v>
      </c>
      <c r="AR37" s="10"/>
      <c r="AS37" s="10" t="s">
        <v>141</v>
      </c>
      <c r="AT37" s="13">
        <f t="shared" si="18"/>
        <v>1</v>
      </c>
      <c r="AU37" s="1" t="str">
        <f t="shared" si="19"/>
        <v/>
      </c>
      <c r="AV37" s="1" t="str">
        <f t="shared" si="20"/>
        <v/>
      </c>
      <c r="AW37" s="1" t="str">
        <f t="shared" si="21"/>
        <v/>
      </c>
      <c r="AX37" s="1" t="str">
        <f t="shared" si="22"/>
        <v/>
      </c>
      <c r="AY37" s="1" t="str">
        <f t="shared" si="23"/>
        <v/>
      </c>
      <c r="AZ37" s="1" t="str">
        <f t="shared" si="24"/>
        <v/>
      </c>
      <c r="BA37" s="1" t="str">
        <f t="shared" si="25"/>
        <v/>
      </c>
      <c r="BB37" s="1" t="str">
        <f t="shared" si="26"/>
        <v/>
      </c>
      <c r="BC37" s="1">
        <f t="shared" si="27"/>
        <v>5</v>
      </c>
      <c r="BD37" s="1">
        <f t="shared" si="28"/>
        <v>5</v>
      </c>
      <c r="BE37" s="1">
        <f t="shared" si="29"/>
        <v>5</v>
      </c>
      <c r="BF37" s="1">
        <f t="shared" si="30"/>
        <v>5</v>
      </c>
      <c r="BG37" s="1">
        <f t="shared" si="31"/>
        <v>5</v>
      </c>
      <c r="BH37" s="1">
        <f t="shared" si="32"/>
        <v>5</v>
      </c>
      <c r="BI37" s="1">
        <f t="shared" si="33"/>
        <v>3</v>
      </c>
      <c r="BJ37" s="1">
        <f t="shared" si="34"/>
        <v>5</v>
      </c>
    </row>
    <row r="38" ht="14.25" customHeight="1" spans="1:62">
      <c r="A38" s="10">
        <v>34</v>
      </c>
      <c r="B38" s="36" t="s">
        <v>240</v>
      </c>
      <c r="C38" s="10">
        <v>2003</v>
      </c>
      <c r="D38" s="10">
        <f t="shared" si="0"/>
        <v>2000</v>
      </c>
      <c r="E38" s="36" t="s">
        <v>136</v>
      </c>
      <c r="F38" s="35" t="s">
        <v>241</v>
      </c>
      <c r="G38" s="36" t="s">
        <v>242</v>
      </c>
      <c r="H38" s="10" t="s">
        <v>139</v>
      </c>
      <c r="I38" s="10" t="s">
        <v>140</v>
      </c>
      <c r="J38" s="10"/>
      <c r="K38" s="10">
        <v>5</v>
      </c>
      <c r="L38" s="10">
        <v>5</v>
      </c>
      <c r="M38" s="10">
        <v>5</v>
      </c>
      <c r="N38" s="10">
        <v>5</v>
      </c>
      <c r="O38" s="10">
        <v>5</v>
      </c>
      <c r="P38" s="10">
        <v>5</v>
      </c>
      <c r="Q38" s="10">
        <v>2</v>
      </c>
      <c r="R38" s="10">
        <v>5</v>
      </c>
      <c r="S38" s="10">
        <f t="shared" si="1"/>
        <v>1</v>
      </c>
      <c r="T38" s="10">
        <f t="shared" si="2"/>
        <v>1</v>
      </c>
      <c r="U38" s="10">
        <f t="shared" si="3"/>
        <v>1</v>
      </c>
      <c r="V38" s="10">
        <f t="shared" si="4"/>
        <v>1</v>
      </c>
      <c r="W38" s="10">
        <f t="shared" si="5"/>
        <v>1</v>
      </c>
      <c r="X38" s="10">
        <f t="shared" si="6"/>
        <v>1</v>
      </c>
      <c r="Y38" s="10">
        <f t="shared" si="7"/>
        <v>0.25</v>
      </c>
      <c r="Z38" s="10">
        <f t="shared" si="8"/>
        <v>1</v>
      </c>
      <c r="AA38" s="10" t="str">
        <f t="shared" si="9"/>
        <v/>
      </c>
      <c r="AB38" s="10" t="str">
        <f t="shared" si="10"/>
        <v/>
      </c>
      <c r="AC38" s="10" t="str">
        <f t="shared" si="11"/>
        <v/>
      </c>
      <c r="AD38" s="10" t="str">
        <f t="shared" si="12"/>
        <v/>
      </c>
      <c r="AE38" s="10" t="str">
        <f t="shared" si="13"/>
        <v/>
      </c>
      <c r="AF38" s="10" t="str">
        <f t="shared" si="14"/>
        <v/>
      </c>
      <c r="AG38" s="10" t="str">
        <f t="shared" si="15"/>
        <v/>
      </c>
      <c r="AH38" s="10" t="str">
        <f t="shared" si="16"/>
        <v/>
      </c>
      <c r="AI38" s="10">
        <f>IF(OR(S38="",'4_BENCHMARK'!$C$4=""),"",ABS(S38-'4_BENCHMARK'!$C$4))</f>
        <v>0</v>
      </c>
      <c r="AJ38" s="10">
        <f>IF(OR(T38="",'4_BENCHMARK'!$C$5=""),"",ABS(T38-'4_BENCHMARK'!$C$5))</f>
        <v>0</v>
      </c>
      <c r="AK38" s="10">
        <f>IF(OR(U38="",'4_BENCHMARK'!$C$6=""),"",ABS(U38-'4_BENCHMARK'!$C$6))</f>
        <v>0</v>
      </c>
      <c r="AL38" s="10">
        <f>IF(OR(V38="",'4_BENCHMARK'!$C$7=""),"",ABS(V38-'4_BENCHMARK'!$C$7))</f>
        <v>0</v>
      </c>
      <c r="AM38" s="10">
        <f>IF(OR(W38="",'4_BENCHMARK'!$C$8=""),"",ABS(W38-'4_BENCHMARK'!$C$8))</f>
        <v>1</v>
      </c>
      <c r="AN38" s="10">
        <f>IF(OR(X38="",'4_BENCHMARK'!$C$9=""),"",ABS(X38-'4_BENCHMARK'!$C$9))</f>
        <v>1</v>
      </c>
      <c r="AO38" s="10">
        <f>IF(OR(Y38="",'4_BENCHMARK'!$C$10=""),"",ABS(Y38-'4_BENCHMARK'!$C$10))</f>
        <v>0.25</v>
      </c>
      <c r="AP38" s="10">
        <f>IF(OR(Z38="",'4_BENCHMARK'!$C$11=""),"",ABS(Z38-'4_BENCHMARK'!$C$11))</f>
        <v>0</v>
      </c>
      <c r="AQ38" s="13">
        <f t="shared" si="17"/>
        <v>0.71875</v>
      </c>
      <c r="AR38" s="10"/>
      <c r="AS38" s="10" t="s">
        <v>141</v>
      </c>
      <c r="AT38" s="13">
        <f t="shared" si="18"/>
        <v>0.958333333333333</v>
      </c>
      <c r="AU38" s="1" t="str">
        <f t="shared" si="19"/>
        <v/>
      </c>
      <c r="AV38" s="1" t="str">
        <f t="shared" si="20"/>
        <v/>
      </c>
      <c r="AW38" s="1" t="str">
        <f t="shared" si="21"/>
        <v/>
      </c>
      <c r="AX38" s="1" t="str">
        <f t="shared" si="22"/>
        <v/>
      </c>
      <c r="AY38" s="1" t="str">
        <f t="shared" si="23"/>
        <v/>
      </c>
      <c r="AZ38" s="1" t="str">
        <f t="shared" si="24"/>
        <v/>
      </c>
      <c r="BA38" s="1" t="str">
        <f t="shared" si="25"/>
        <v/>
      </c>
      <c r="BB38" s="1" t="str">
        <f t="shared" si="26"/>
        <v/>
      </c>
      <c r="BC38" s="1">
        <f t="shared" si="27"/>
        <v>5</v>
      </c>
      <c r="BD38" s="1">
        <f t="shared" si="28"/>
        <v>5</v>
      </c>
      <c r="BE38" s="1">
        <f t="shared" si="29"/>
        <v>5</v>
      </c>
      <c r="BF38" s="1">
        <f t="shared" si="30"/>
        <v>5</v>
      </c>
      <c r="BG38" s="1">
        <f t="shared" si="31"/>
        <v>5</v>
      </c>
      <c r="BH38" s="1">
        <f t="shared" si="32"/>
        <v>5</v>
      </c>
      <c r="BI38" s="1">
        <f t="shared" si="33"/>
        <v>2</v>
      </c>
      <c r="BJ38" s="1">
        <f t="shared" si="34"/>
        <v>5</v>
      </c>
    </row>
    <row r="39" ht="14.25" customHeight="1" spans="1:62">
      <c r="A39" s="10">
        <v>35</v>
      </c>
      <c r="B39" s="36" t="s">
        <v>243</v>
      </c>
      <c r="C39" s="10">
        <v>2010</v>
      </c>
      <c r="D39" s="10">
        <f t="shared" si="0"/>
        <v>2010</v>
      </c>
      <c r="E39" s="36" t="s">
        <v>136</v>
      </c>
      <c r="F39" s="35" t="s">
        <v>244</v>
      </c>
      <c r="G39" s="36" t="s">
        <v>245</v>
      </c>
      <c r="H39" s="10" t="s">
        <v>140</v>
      </c>
      <c r="I39" s="10" t="s">
        <v>140</v>
      </c>
      <c r="J39" s="10"/>
      <c r="K39" s="10">
        <v>5</v>
      </c>
      <c r="L39" s="10">
        <v>5</v>
      </c>
      <c r="M39" s="10">
        <v>5</v>
      </c>
      <c r="N39" s="10">
        <v>5</v>
      </c>
      <c r="O39" s="10">
        <v>5</v>
      </c>
      <c r="P39" s="10">
        <v>5</v>
      </c>
      <c r="Q39" s="10">
        <v>2</v>
      </c>
      <c r="R39" s="10">
        <v>5</v>
      </c>
      <c r="S39" s="10">
        <f t="shared" si="1"/>
        <v>1</v>
      </c>
      <c r="T39" s="10">
        <f t="shared" si="2"/>
        <v>1</v>
      </c>
      <c r="U39" s="10">
        <f t="shared" si="3"/>
        <v>1</v>
      </c>
      <c r="V39" s="10">
        <f t="shared" si="4"/>
        <v>1</v>
      </c>
      <c r="W39" s="10">
        <f t="shared" si="5"/>
        <v>1</v>
      </c>
      <c r="X39" s="10">
        <f t="shared" si="6"/>
        <v>1</v>
      </c>
      <c r="Y39" s="10">
        <f t="shared" si="7"/>
        <v>0.25</v>
      </c>
      <c r="Z39" s="10">
        <f t="shared" si="8"/>
        <v>1</v>
      </c>
      <c r="AA39" s="10" t="str">
        <f t="shared" si="9"/>
        <v/>
      </c>
      <c r="AB39" s="10" t="str">
        <f t="shared" si="10"/>
        <v/>
      </c>
      <c r="AC39" s="10" t="str">
        <f t="shared" si="11"/>
        <v/>
      </c>
      <c r="AD39" s="10" t="str">
        <f t="shared" si="12"/>
        <v/>
      </c>
      <c r="AE39" s="10" t="str">
        <f t="shared" si="13"/>
        <v/>
      </c>
      <c r="AF39" s="10" t="str">
        <f t="shared" si="14"/>
        <v/>
      </c>
      <c r="AG39" s="10" t="str">
        <f t="shared" si="15"/>
        <v/>
      </c>
      <c r="AH39" s="10" t="str">
        <f t="shared" si="16"/>
        <v/>
      </c>
      <c r="AI39" s="10">
        <f>IF(OR(S39="",'4_BENCHMARK'!$C$4=""),"",ABS(S39-'4_BENCHMARK'!$C$4))</f>
        <v>0</v>
      </c>
      <c r="AJ39" s="10">
        <f>IF(OR(T39="",'4_BENCHMARK'!$C$5=""),"",ABS(T39-'4_BENCHMARK'!$C$5))</f>
        <v>0</v>
      </c>
      <c r="AK39" s="10">
        <f>IF(OR(U39="",'4_BENCHMARK'!$C$6=""),"",ABS(U39-'4_BENCHMARK'!$C$6))</f>
        <v>0</v>
      </c>
      <c r="AL39" s="10">
        <f>IF(OR(V39="",'4_BENCHMARK'!$C$7=""),"",ABS(V39-'4_BENCHMARK'!$C$7))</f>
        <v>0</v>
      </c>
      <c r="AM39" s="10">
        <f>IF(OR(W39="",'4_BENCHMARK'!$C$8=""),"",ABS(W39-'4_BENCHMARK'!$C$8))</f>
        <v>1</v>
      </c>
      <c r="AN39" s="10">
        <f>IF(OR(X39="",'4_BENCHMARK'!$C$9=""),"",ABS(X39-'4_BENCHMARK'!$C$9))</f>
        <v>1</v>
      </c>
      <c r="AO39" s="10">
        <f>IF(OR(Y39="",'4_BENCHMARK'!$C$10=""),"",ABS(Y39-'4_BENCHMARK'!$C$10))</f>
        <v>0.25</v>
      </c>
      <c r="AP39" s="10">
        <f>IF(OR(Z39="",'4_BENCHMARK'!$C$11=""),"",ABS(Z39-'4_BENCHMARK'!$C$11))</f>
        <v>0</v>
      </c>
      <c r="AQ39" s="13">
        <f t="shared" si="17"/>
        <v>0.71875</v>
      </c>
      <c r="AR39" s="10"/>
      <c r="AS39" s="10" t="s">
        <v>141</v>
      </c>
      <c r="AT39" s="13">
        <f t="shared" si="18"/>
        <v>0.958333333333333</v>
      </c>
      <c r="AU39" s="1" t="str">
        <f t="shared" si="19"/>
        <v/>
      </c>
      <c r="AV39" s="1" t="str">
        <f t="shared" si="20"/>
        <v/>
      </c>
      <c r="AW39" s="1" t="str">
        <f t="shared" si="21"/>
        <v/>
      </c>
      <c r="AX39" s="1" t="str">
        <f t="shared" si="22"/>
        <v/>
      </c>
      <c r="AY39" s="1" t="str">
        <f t="shared" si="23"/>
        <v/>
      </c>
      <c r="AZ39" s="1" t="str">
        <f t="shared" si="24"/>
        <v/>
      </c>
      <c r="BA39" s="1" t="str">
        <f t="shared" si="25"/>
        <v/>
      </c>
      <c r="BB39" s="1" t="str">
        <f t="shared" si="26"/>
        <v/>
      </c>
      <c r="BC39" s="1">
        <f t="shared" si="27"/>
        <v>5</v>
      </c>
      <c r="BD39" s="1">
        <f t="shared" si="28"/>
        <v>5</v>
      </c>
      <c r="BE39" s="1">
        <f t="shared" si="29"/>
        <v>5</v>
      </c>
      <c r="BF39" s="1">
        <f t="shared" si="30"/>
        <v>5</v>
      </c>
      <c r="BG39" s="1">
        <f t="shared" si="31"/>
        <v>5</v>
      </c>
      <c r="BH39" s="1">
        <f t="shared" si="32"/>
        <v>5</v>
      </c>
      <c r="BI39" s="1">
        <f t="shared" si="33"/>
        <v>2</v>
      </c>
      <c r="BJ39" s="1">
        <f t="shared" si="34"/>
        <v>5</v>
      </c>
    </row>
    <row r="40" ht="14.25" customHeight="1" spans="1:62">
      <c r="A40" s="10">
        <v>36</v>
      </c>
      <c r="B40" s="36" t="s">
        <v>246</v>
      </c>
      <c r="C40" s="10">
        <v>1951</v>
      </c>
      <c r="D40" s="10">
        <f t="shared" si="0"/>
        <v>1950</v>
      </c>
      <c r="E40" s="36" t="s">
        <v>136</v>
      </c>
      <c r="F40" s="35" t="s">
        <v>247</v>
      </c>
      <c r="G40" s="36" t="s">
        <v>248</v>
      </c>
      <c r="H40" s="10" t="s">
        <v>139</v>
      </c>
      <c r="I40" s="10" t="s">
        <v>140</v>
      </c>
      <c r="J40" s="10"/>
      <c r="K40" s="10">
        <v>5</v>
      </c>
      <c r="L40" s="10">
        <v>5</v>
      </c>
      <c r="M40" s="10">
        <v>5</v>
      </c>
      <c r="N40" s="10">
        <v>5</v>
      </c>
      <c r="O40" s="10">
        <v>1</v>
      </c>
      <c r="P40" s="10">
        <v>1</v>
      </c>
      <c r="Q40" s="10">
        <v>2</v>
      </c>
      <c r="R40" s="10">
        <v>5</v>
      </c>
      <c r="S40" s="10">
        <f t="shared" si="1"/>
        <v>1</v>
      </c>
      <c r="T40" s="10">
        <f t="shared" si="2"/>
        <v>1</v>
      </c>
      <c r="U40" s="10">
        <f t="shared" si="3"/>
        <v>1</v>
      </c>
      <c r="V40" s="10">
        <f t="shared" si="4"/>
        <v>1</v>
      </c>
      <c r="W40" s="10">
        <f t="shared" si="5"/>
        <v>0</v>
      </c>
      <c r="X40" s="10">
        <f t="shared" si="6"/>
        <v>0</v>
      </c>
      <c r="Y40" s="10">
        <f t="shared" si="7"/>
        <v>0.25</v>
      </c>
      <c r="Z40" s="10">
        <f t="shared" si="8"/>
        <v>1</v>
      </c>
      <c r="AA40" s="10" t="str">
        <f t="shared" si="9"/>
        <v/>
      </c>
      <c r="AB40" s="10" t="str">
        <f t="shared" si="10"/>
        <v/>
      </c>
      <c r="AC40" s="10" t="str">
        <f t="shared" si="11"/>
        <v/>
      </c>
      <c r="AD40" s="10" t="str">
        <f t="shared" si="12"/>
        <v/>
      </c>
      <c r="AE40" s="10" t="str">
        <f t="shared" si="13"/>
        <v/>
      </c>
      <c r="AF40" s="10" t="str">
        <f t="shared" si="14"/>
        <v/>
      </c>
      <c r="AG40" s="10" t="str">
        <f t="shared" si="15"/>
        <v/>
      </c>
      <c r="AH40" s="10" t="str">
        <f t="shared" si="16"/>
        <v/>
      </c>
      <c r="AI40" s="10">
        <f>IF(OR(S40="",'4_BENCHMARK'!$C$4=""),"",ABS(S40-'4_BENCHMARK'!$C$4))</f>
        <v>0</v>
      </c>
      <c r="AJ40" s="10">
        <f>IF(OR(T40="",'4_BENCHMARK'!$C$5=""),"",ABS(T40-'4_BENCHMARK'!$C$5))</f>
        <v>0</v>
      </c>
      <c r="AK40" s="10">
        <f>IF(OR(U40="",'4_BENCHMARK'!$C$6=""),"",ABS(U40-'4_BENCHMARK'!$C$6))</f>
        <v>0</v>
      </c>
      <c r="AL40" s="10">
        <f>IF(OR(V40="",'4_BENCHMARK'!$C$7=""),"",ABS(V40-'4_BENCHMARK'!$C$7))</f>
        <v>0</v>
      </c>
      <c r="AM40" s="10">
        <f>IF(OR(W40="",'4_BENCHMARK'!$C$8=""),"",ABS(W40-'4_BENCHMARK'!$C$8))</f>
        <v>0</v>
      </c>
      <c r="AN40" s="10">
        <f>IF(OR(X40="",'4_BENCHMARK'!$C$9=""),"",ABS(X40-'4_BENCHMARK'!$C$9))</f>
        <v>0</v>
      </c>
      <c r="AO40" s="10">
        <f>IF(OR(Y40="",'4_BENCHMARK'!$C$10=""),"",ABS(Y40-'4_BENCHMARK'!$C$10))</f>
        <v>0.25</v>
      </c>
      <c r="AP40" s="10">
        <f>IF(OR(Z40="",'4_BENCHMARK'!$C$11=""),"",ABS(Z40-'4_BENCHMARK'!$C$11))</f>
        <v>0</v>
      </c>
      <c r="AQ40" s="13">
        <f t="shared" si="17"/>
        <v>0.96875</v>
      </c>
      <c r="AR40" s="10"/>
      <c r="AS40" s="10" t="s">
        <v>141</v>
      </c>
      <c r="AT40" s="13">
        <f t="shared" si="18"/>
        <v>0.958333333333333</v>
      </c>
      <c r="AU40" s="1" t="str">
        <f t="shared" si="19"/>
        <v/>
      </c>
      <c r="AV40" s="1" t="str">
        <f t="shared" si="20"/>
        <v/>
      </c>
      <c r="AW40" s="1" t="str">
        <f t="shared" si="21"/>
        <v/>
      </c>
      <c r="AX40" s="1" t="str">
        <f t="shared" si="22"/>
        <v/>
      </c>
      <c r="AY40" s="1" t="str">
        <f t="shared" si="23"/>
        <v/>
      </c>
      <c r="AZ40" s="1" t="str">
        <f t="shared" si="24"/>
        <v/>
      </c>
      <c r="BA40" s="1" t="str">
        <f t="shared" si="25"/>
        <v/>
      </c>
      <c r="BB40" s="1" t="str">
        <f t="shared" si="26"/>
        <v/>
      </c>
      <c r="BC40" s="1" t="str">
        <f t="shared" si="27"/>
        <v/>
      </c>
      <c r="BD40" s="1" t="str">
        <f t="shared" si="28"/>
        <v/>
      </c>
      <c r="BE40" s="1" t="str">
        <f t="shared" si="29"/>
        <v/>
      </c>
      <c r="BF40" s="1" t="str">
        <f t="shared" si="30"/>
        <v/>
      </c>
      <c r="BG40" s="1" t="str">
        <f t="shared" si="31"/>
        <v/>
      </c>
      <c r="BH40" s="1" t="str">
        <f t="shared" si="32"/>
        <v/>
      </c>
      <c r="BI40" s="1" t="str">
        <f t="shared" si="33"/>
        <v/>
      </c>
      <c r="BJ40" s="1" t="str">
        <f t="shared" si="34"/>
        <v/>
      </c>
    </row>
    <row r="41" ht="14.25" customHeight="1" spans="1:62">
      <c r="A41" s="10">
        <v>37</v>
      </c>
      <c r="B41" s="36" t="s">
        <v>249</v>
      </c>
      <c r="C41" s="10">
        <v>1910</v>
      </c>
      <c r="D41" s="10">
        <f t="shared" si="0"/>
        <v>1910</v>
      </c>
      <c r="E41" s="36" t="s">
        <v>136</v>
      </c>
      <c r="F41" s="35" t="s">
        <v>250</v>
      </c>
      <c r="G41" s="36" t="s">
        <v>251</v>
      </c>
      <c r="H41" s="10" t="s">
        <v>139</v>
      </c>
      <c r="I41" s="10" t="s">
        <v>140</v>
      </c>
      <c r="J41" s="36" t="s">
        <v>252</v>
      </c>
      <c r="K41" s="10">
        <v>5</v>
      </c>
      <c r="L41" s="10">
        <v>4</v>
      </c>
      <c r="M41" s="10">
        <v>5</v>
      </c>
      <c r="N41" s="10">
        <v>5</v>
      </c>
      <c r="O41" s="10">
        <v>1</v>
      </c>
      <c r="P41" s="10">
        <v>1</v>
      </c>
      <c r="Q41" s="10">
        <v>2</v>
      </c>
      <c r="R41" s="10">
        <v>5</v>
      </c>
      <c r="S41" s="10">
        <f t="shared" si="1"/>
        <v>1</v>
      </c>
      <c r="T41" s="10">
        <f t="shared" si="2"/>
        <v>0.75</v>
      </c>
      <c r="U41" s="10">
        <f t="shared" si="3"/>
        <v>1</v>
      </c>
      <c r="V41" s="10">
        <f t="shared" si="4"/>
        <v>1</v>
      </c>
      <c r="W41" s="10">
        <f t="shared" si="5"/>
        <v>0</v>
      </c>
      <c r="X41" s="10">
        <f t="shared" si="6"/>
        <v>0</v>
      </c>
      <c r="Y41" s="10">
        <f t="shared" si="7"/>
        <v>0.25</v>
      </c>
      <c r="Z41" s="10">
        <f t="shared" si="8"/>
        <v>1</v>
      </c>
      <c r="AA41" s="10">
        <f t="shared" si="9"/>
        <v>1</v>
      </c>
      <c r="AB41" s="10">
        <f t="shared" si="10"/>
        <v>0.75</v>
      </c>
      <c r="AC41" s="10">
        <f t="shared" si="11"/>
        <v>1</v>
      </c>
      <c r="AD41" s="10">
        <f t="shared" si="12"/>
        <v>1</v>
      </c>
      <c r="AE41" s="10">
        <f t="shared" si="13"/>
        <v>0</v>
      </c>
      <c r="AF41" s="10">
        <f t="shared" si="14"/>
        <v>0</v>
      </c>
      <c r="AG41" s="10">
        <f t="shared" si="15"/>
        <v>0.25</v>
      </c>
      <c r="AH41" s="10">
        <f t="shared" si="16"/>
        <v>1</v>
      </c>
      <c r="AI41" s="10">
        <f>IF(OR(S41="",'4_BENCHMARK'!$C$4=""),"",ABS(S41-'4_BENCHMARK'!$C$4))</f>
        <v>0</v>
      </c>
      <c r="AJ41" s="10">
        <f>IF(OR(T41="",'4_BENCHMARK'!$C$5=""),"",ABS(T41-'4_BENCHMARK'!$C$5))</f>
        <v>0.25</v>
      </c>
      <c r="AK41" s="10">
        <f>IF(OR(U41="",'4_BENCHMARK'!$C$6=""),"",ABS(U41-'4_BENCHMARK'!$C$6))</f>
        <v>0</v>
      </c>
      <c r="AL41" s="10">
        <f>IF(OR(V41="",'4_BENCHMARK'!$C$7=""),"",ABS(V41-'4_BENCHMARK'!$C$7))</f>
        <v>0</v>
      </c>
      <c r="AM41" s="10">
        <f>IF(OR(W41="",'4_BENCHMARK'!$C$8=""),"",ABS(W41-'4_BENCHMARK'!$C$8))</f>
        <v>0</v>
      </c>
      <c r="AN41" s="10">
        <f>IF(OR(X41="",'4_BENCHMARK'!$C$9=""),"",ABS(X41-'4_BENCHMARK'!$C$9))</f>
        <v>0</v>
      </c>
      <c r="AO41" s="10">
        <f>IF(OR(Y41="",'4_BENCHMARK'!$C$10=""),"",ABS(Y41-'4_BENCHMARK'!$C$10))</f>
        <v>0.25</v>
      </c>
      <c r="AP41" s="10">
        <f>IF(OR(Z41="",'4_BENCHMARK'!$C$11=""),"",ABS(Z41-'4_BENCHMARK'!$C$11))</f>
        <v>0</v>
      </c>
      <c r="AQ41" s="13">
        <f t="shared" si="17"/>
        <v>0.9375</v>
      </c>
      <c r="AR41" s="10" t="s">
        <v>140</v>
      </c>
      <c r="AS41" s="10" t="s">
        <v>141</v>
      </c>
      <c r="AT41" s="13">
        <f t="shared" si="18"/>
        <v>0.916666666666667</v>
      </c>
      <c r="AU41" s="1">
        <f t="shared" si="19"/>
        <v>5</v>
      </c>
      <c r="AV41" s="1">
        <f t="shared" si="20"/>
        <v>4</v>
      </c>
      <c r="AW41" s="1">
        <f t="shared" si="21"/>
        <v>5</v>
      </c>
      <c r="AX41" s="1">
        <f t="shared" si="22"/>
        <v>5</v>
      </c>
      <c r="AY41" s="1">
        <f t="shared" si="23"/>
        <v>1</v>
      </c>
      <c r="AZ41" s="1">
        <f t="shared" si="24"/>
        <v>1</v>
      </c>
      <c r="BA41" s="1">
        <f t="shared" si="25"/>
        <v>2</v>
      </c>
      <c r="BB41" s="1">
        <f t="shared" si="26"/>
        <v>5</v>
      </c>
      <c r="BC41" s="1" t="str">
        <f t="shared" si="27"/>
        <v/>
      </c>
      <c r="BD41" s="1" t="str">
        <f t="shared" si="28"/>
        <v/>
      </c>
      <c r="BE41" s="1" t="str">
        <f t="shared" si="29"/>
        <v/>
      </c>
      <c r="BF41" s="1" t="str">
        <f t="shared" si="30"/>
        <v/>
      </c>
      <c r="BG41" s="1" t="str">
        <f t="shared" si="31"/>
        <v/>
      </c>
      <c r="BH41" s="1" t="str">
        <f t="shared" si="32"/>
        <v/>
      </c>
      <c r="BI41" s="1" t="str">
        <f t="shared" si="33"/>
        <v/>
      </c>
      <c r="BJ41" s="1" t="str">
        <f t="shared" si="34"/>
        <v/>
      </c>
    </row>
    <row r="42" ht="14.25" customHeight="1" spans="1:62">
      <c r="A42" s="10">
        <v>38</v>
      </c>
      <c r="B42" s="36" t="s">
        <v>253</v>
      </c>
      <c r="C42" s="10">
        <v>1890</v>
      </c>
      <c r="D42" s="10">
        <f t="shared" si="0"/>
        <v>1890</v>
      </c>
      <c r="E42" s="36" t="s">
        <v>136</v>
      </c>
      <c r="F42" s="35" t="s">
        <v>254</v>
      </c>
      <c r="G42" s="36" t="s">
        <v>255</v>
      </c>
      <c r="H42" s="10" t="s">
        <v>139</v>
      </c>
      <c r="I42" s="10" t="s">
        <v>140</v>
      </c>
      <c r="J42" s="36" t="s">
        <v>256</v>
      </c>
      <c r="K42" s="10">
        <v>5</v>
      </c>
      <c r="L42" s="10">
        <v>5</v>
      </c>
      <c r="M42" s="10">
        <v>5</v>
      </c>
      <c r="N42" s="10">
        <v>5</v>
      </c>
      <c r="O42" s="10">
        <v>1</v>
      </c>
      <c r="P42" s="10">
        <v>1</v>
      </c>
      <c r="Q42" s="10">
        <v>2</v>
      </c>
      <c r="R42" s="10">
        <v>5</v>
      </c>
      <c r="S42" s="10">
        <f t="shared" si="1"/>
        <v>1</v>
      </c>
      <c r="T42" s="10">
        <f t="shared" si="2"/>
        <v>1</v>
      </c>
      <c r="U42" s="10">
        <f t="shared" si="3"/>
        <v>1</v>
      </c>
      <c r="V42" s="10">
        <f t="shared" si="4"/>
        <v>1</v>
      </c>
      <c r="W42" s="10">
        <f t="shared" si="5"/>
        <v>0</v>
      </c>
      <c r="X42" s="10">
        <f t="shared" si="6"/>
        <v>0</v>
      </c>
      <c r="Y42" s="10">
        <f t="shared" si="7"/>
        <v>0.25</v>
      </c>
      <c r="Z42" s="10">
        <f t="shared" si="8"/>
        <v>1</v>
      </c>
      <c r="AA42" s="10">
        <f t="shared" si="9"/>
        <v>1</v>
      </c>
      <c r="AB42" s="10">
        <f t="shared" si="10"/>
        <v>1</v>
      </c>
      <c r="AC42" s="10">
        <f t="shared" si="11"/>
        <v>1</v>
      </c>
      <c r="AD42" s="10">
        <f t="shared" si="12"/>
        <v>1</v>
      </c>
      <c r="AE42" s="10">
        <f t="shared" si="13"/>
        <v>0</v>
      </c>
      <c r="AF42" s="10">
        <f t="shared" si="14"/>
        <v>0</v>
      </c>
      <c r="AG42" s="10">
        <f t="shared" si="15"/>
        <v>0.25</v>
      </c>
      <c r="AH42" s="10">
        <f t="shared" si="16"/>
        <v>1</v>
      </c>
      <c r="AI42" s="10">
        <f>IF(OR(S42="",'4_BENCHMARK'!$C$4=""),"",ABS(S42-'4_BENCHMARK'!$C$4))</f>
        <v>0</v>
      </c>
      <c r="AJ42" s="10">
        <f>IF(OR(T42="",'4_BENCHMARK'!$C$5=""),"",ABS(T42-'4_BENCHMARK'!$C$5))</f>
        <v>0</v>
      </c>
      <c r="AK42" s="10">
        <f>IF(OR(U42="",'4_BENCHMARK'!$C$6=""),"",ABS(U42-'4_BENCHMARK'!$C$6))</f>
        <v>0</v>
      </c>
      <c r="AL42" s="10">
        <f>IF(OR(V42="",'4_BENCHMARK'!$C$7=""),"",ABS(V42-'4_BENCHMARK'!$C$7))</f>
        <v>0</v>
      </c>
      <c r="AM42" s="10">
        <f>IF(OR(W42="",'4_BENCHMARK'!$C$8=""),"",ABS(W42-'4_BENCHMARK'!$C$8))</f>
        <v>0</v>
      </c>
      <c r="AN42" s="10">
        <f>IF(OR(X42="",'4_BENCHMARK'!$C$9=""),"",ABS(X42-'4_BENCHMARK'!$C$9))</f>
        <v>0</v>
      </c>
      <c r="AO42" s="10">
        <f>IF(OR(Y42="",'4_BENCHMARK'!$C$10=""),"",ABS(Y42-'4_BENCHMARK'!$C$10))</f>
        <v>0.25</v>
      </c>
      <c r="AP42" s="10">
        <f>IF(OR(Z42="",'4_BENCHMARK'!$C$11=""),"",ABS(Z42-'4_BENCHMARK'!$C$11))</f>
        <v>0</v>
      </c>
      <c r="AQ42" s="13">
        <f t="shared" si="17"/>
        <v>0.96875</v>
      </c>
      <c r="AR42" s="10"/>
      <c r="AS42" s="10" t="s">
        <v>141</v>
      </c>
      <c r="AT42" s="13">
        <f t="shared" si="18"/>
        <v>0.958333333333333</v>
      </c>
      <c r="AU42" s="1">
        <f t="shared" si="19"/>
        <v>5</v>
      </c>
      <c r="AV42" s="1">
        <f t="shared" si="20"/>
        <v>5</v>
      </c>
      <c r="AW42" s="1">
        <f t="shared" si="21"/>
        <v>5</v>
      </c>
      <c r="AX42" s="1">
        <f t="shared" si="22"/>
        <v>5</v>
      </c>
      <c r="AY42" s="1">
        <f t="shared" si="23"/>
        <v>1</v>
      </c>
      <c r="AZ42" s="1">
        <f t="shared" si="24"/>
        <v>1</v>
      </c>
      <c r="BA42" s="1">
        <f t="shared" si="25"/>
        <v>2</v>
      </c>
      <c r="BB42" s="1">
        <f t="shared" si="26"/>
        <v>5</v>
      </c>
      <c r="BC42" s="1" t="str">
        <f t="shared" si="27"/>
        <v/>
      </c>
      <c r="BD42" s="1" t="str">
        <f t="shared" si="28"/>
        <v/>
      </c>
      <c r="BE42" s="1" t="str">
        <f t="shared" si="29"/>
        <v/>
      </c>
      <c r="BF42" s="1" t="str">
        <f t="shared" si="30"/>
        <v/>
      </c>
      <c r="BG42" s="1" t="str">
        <f t="shared" si="31"/>
        <v/>
      </c>
      <c r="BH42" s="1" t="str">
        <f t="shared" si="32"/>
        <v/>
      </c>
      <c r="BI42" s="1" t="str">
        <f t="shared" si="33"/>
        <v/>
      </c>
      <c r="BJ42" s="1" t="str">
        <f t="shared" si="34"/>
        <v/>
      </c>
    </row>
    <row r="43" ht="14.25" customHeight="1" spans="1:62">
      <c r="A43" s="10">
        <v>39</v>
      </c>
      <c r="B43" s="36" t="s">
        <v>257</v>
      </c>
      <c r="C43" s="10">
        <v>2016</v>
      </c>
      <c r="D43" s="10">
        <f t="shared" si="0"/>
        <v>2010</v>
      </c>
      <c r="E43" s="36" t="s">
        <v>136</v>
      </c>
      <c r="F43" s="35" t="s">
        <v>258</v>
      </c>
      <c r="G43" s="36" t="s">
        <v>259</v>
      </c>
      <c r="H43" s="10" t="s">
        <v>140</v>
      </c>
      <c r="I43" s="10" t="s">
        <v>140</v>
      </c>
      <c r="J43" s="10"/>
      <c r="K43" s="10">
        <v>5</v>
      </c>
      <c r="L43" s="10">
        <v>5</v>
      </c>
      <c r="M43" s="10">
        <v>5</v>
      </c>
      <c r="N43" s="10">
        <v>5</v>
      </c>
      <c r="O43" s="10">
        <v>1</v>
      </c>
      <c r="P43" s="10">
        <v>1</v>
      </c>
      <c r="Q43" s="10">
        <v>2</v>
      </c>
      <c r="R43" s="10">
        <v>5</v>
      </c>
      <c r="S43" s="10">
        <f t="shared" si="1"/>
        <v>1</v>
      </c>
      <c r="T43" s="10">
        <f t="shared" si="2"/>
        <v>1</v>
      </c>
      <c r="U43" s="10">
        <f t="shared" si="3"/>
        <v>1</v>
      </c>
      <c r="V43" s="10">
        <f t="shared" si="4"/>
        <v>1</v>
      </c>
      <c r="W43" s="10">
        <f t="shared" si="5"/>
        <v>0</v>
      </c>
      <c r="X43" s="10">
        <f t="shared" si="6"/>
        <v>0</v>
      </c>
      <c r="Y43" s="10">
        <f t="shared" si="7"/>
        <v>0.25</v>
      </c>
      <c r="Z43" s="10">
        <f t="shared" si="8"/>
        <v>1</v>
      </c>
      <c r="AA43" s="10" t="str">
        <f t="shared" si="9"/>
        <v/>
      </c>
      <c r="AB43" s="10" t="str">
        <f t="shared" si="10"/>
        <v/>
      </c>
      <c r="AC43" s="10" t="str">
        <f t="shared" si="11"/>
        <v/>
      </c>
      <c r="AD43" s="10" t="str">
        <f t="shared" si="12"/>
        <v/>
      </c>
      <c r="AE43" s="10" t="str">
        <f t="shared" si="13"/>
        <v/>
      </c>
      <c r="AF43" s="10" t="str">
        <f t="shared" si="14"/>
        <v/>
      </c>
      <c r="AG43" s="10" t="str">
        <f t="shared" si="15"/>
        <v/>
      </c>
      <c r="AH43" s="10" t="str">
        <f t="shared" si="16"/>
        <v/>
      </c>
      <c r="AI43" s="10">
        <f>IF(OR(S43="",'4_BENCHMARK'!$C$4=""),"",ABS(S43-'4_BENCHMARK'!$C$4))</f>
        <v>0</v>
      </c>
      <c r="AJ43" s="10">
        <f>IF(OR(T43="",'4_BENCHMARK'!$C$5=""),"",ABS(T43-'4_BENCHMARK'!$C$5))</f>
        <v>0</v>
      </c>
      <c r="AK43" s="10">
        <f>IF(OR(U43="",'4_BENCHMARK'!$C$6=""),"",ABS(U43-'4_BENCHMARK'!$C$6))</f>
        <v>0</v>
      </c>
      <c r="AL43" s="10">
        <f>IF(OR(V43="",'4_BENCHMARK'!$C$7=""),"",ABS(V43-'4_BENCHMARK'!$C$7))</f>
        <v>0</v>
      </c>
      <c r="AM43" s="10">
        <f>IF(OR(W43="",'4_BENCHMARK'!$C$8=""),"",ABS(W43-'4_BENCHMARK'!$C$8))</f>
        <v>0</v>
      </c>
      <c r="AN43" s="10">
        <f>IF(OR(X43="",'4_BENCHMARK'!$C$9=""),"",ABS(X43-'4_BENCHMARK'!$C$9))</f>
        <v>0</v>
      </c>
      <c r="AO43" s="10">
        <f>IF(OR(Y43="",'4_BENCHMARK'!$C$10=""),"",ABS(Y43-'4_BENCHMARK'!$C$10))</f>
        <v>0.25</v>
      </c>
      <c r="AP43" s="10">
        <f>IF(OR(Z43="",'4_BENCHMARK'!$C$11=""),"",ABS(Z43-'4_BENCHMARK'!$C$11))</f>
        <v>0</v>
      </c>
      <c r="AQ43" s="13">
        <f t="shared" si="17"/>
        <v>0.96875</v>
      </c>
      <c r="AR43" s="10"/>
      <c r="AS43" s="10" t="s">
        <v>141</v>
      </c>
      <c r="AT43" s="13">
        <f t="shared" si="18"/>
        <v>0.958333333333333</v>
      </c>
      <c r="AU43" s="1" t="str">
        <f t="shared" si="19"/>
        <v/>
      </c>
      <c r="AV43" s="1" t="str">
        <f t="shared" si="20"/>
        <v/>
      </c>
      <c r="AW43" s="1" t="str">
        <f t="shared" si="21"/>
        <v/>
      </c>
      <c r="AX43" s="1" t="str">
        <f t="shared" si="22"/>
        <v/>
      </c>
      <c r="AY43" s="1" t="str">
        <f t="shared" si="23"/>
        <v/>
      </c>
      <c r="AZ43" s="1" t="str">
        <f t="shared" si="24"/>
        <v/>
      </c>
      <c r="BA43" s="1" t="str">
        <f t="shared" si="25"/>
        <v/>
      </c>
      <c r="BB43" s="1" t="str">
        <f t="shared" si="26"/>
        <v/>
      </c>
      <c r="BC43" s="1">
        <f t="shared" si="27"/>
        <v>5</v>
      </c>
      <c r="BD43" s="1">
        <f t="shared" si="28"/>
        <v>5</v>
      </c>
      <c r="BE43" s="1">
        <f t="shared" si="29"/>
        <v>5</v>
      </c>
      <c r="BF43" s="1">
        <f t="shared" si="30"/>
        <v>5</v>
      </c>
      <c r="BG43" s="1">
        <f t="shared" si="31"/>
        <v>1</v>
      </c>
      <c r="BH43" s="1">
        <f t="shared" si="32"/>
        <v>1</v>
      </c>
      <c r="BI43" s="1">
        <f t="shared" si="33"/>
        <v>2</v>
      </c>
      <c r="BJ43" s="1">
        <f t="shared" si="34"/>
        <v>5</v>
      </c>
    </row>
    <row r="44" ht="14.25" customHeight="1" spans="1:62">
      <c r="A44" s="10">
        <v>40</v>
      </c>
      <c r="B44" s="36" t="s">
        <v>260</v>
      </c>
      <c r="C44" s="10">
        <v>1894</v>
      </c>
      <c r="D44" s="10">
        <f t="shared" si="0"/>
        <v>1890</v>
      </c>
      <c r="E44" s="36" t="s">
        <v>136</v>
      </c>
      <c r="F44" s="35" t="s">
        <v>261</v>
      </c>
      <c r="G44" s="36" t="s">
        <v>262</v>
      </c>
      <c r="H44" s="10" t="s">
        <v>139</v>
      </c>
      <c r="I44" s="10" t="s">
        <v>140</v>
      </c>
      <c r="J44" s="10"/>
      <c r="K44" s="10">
        <v>4</v>
      </c>
      <c r="L44" s="10">
        <v>5</v>
      </c>
      <c r="M44" s="10">
        <v>5</v>
      </c>
      <c r="N44" s="10">
        <v>5</v>
      </c>
      <c r="O44" s="10">
        <v>1</v>
      </c>
      <c r="P44" s="10">
        <v>1</v>
      </c>
      <c r="Q44" s="10">
        <v>2</v>
      </c>
      <c r="R44" s="10">
        <v>5</v>
      </c>
      <c r="S44" s="10">
        <f t="shared" si="1"/>
        <v>0.75</v>
      </c>
      <c r="T44" s="10">
        <f t="shared" si="2"/>
        <v>1</v>
      </c>
      <c r="U44" s="10">
        <f t="shared" si="3"/>
        <v>1</v>
      </c>
      <c r="V44" s="10">
        <f t="shared" si="4"/>
        <v>1</v>
      </c>
      <c r="W44" s="10">
        <f t="shared" si="5"/>
        <v>0</v>
      </c>
      <c r="X44" s="10">
        <f t="shared" si="6"/>
        <v>0</v>
      </c>
      <c r="Y44" s="10">
        <f t="shared" si="7"/>
        <v>0.25</v>
      </c>
      <c r="Z44" s="10">
        <f t="shared" si="8"/>
        <v>1</v>
      </c>
      <c r="AA44" s="10">
        <f t="shared" si="9"/>
        <v>0.75</v>
      </c>
      <c r="AB44" s="10">
        <f t="shared" si="10"/>
        <v>1</v>
      </c>
      <c r="AC44" s="10">
        <f t="shared" si="11"/>
        <v>1</v>
      </c>
      <c r="AD44" s="10">
        <f t="shared" si="12"/>
        <v>1</v>
      </c>
      <c r="AE44" s="10">
        <f t="shared" si="13"/>
        <v>0</v>
      </c>
      <c r="AF44" s="10">
        <f t="shared" si="14"/>
        <v>0</v>
      </c>
      <c r="AG44" s="10">
        <f t="shared" si="15"/>
        <v>0.25</v>
      </c>
      <c r="AH44" s="10">
        <f t="shared" si="16"/>
        <v>1</v>
      </c>
      <c r="AI44" s="10">
        <f>IF(OR(S44="",'4_BENCHMARK'!$C$4=""),"",ABS(S44-'4_BENCHMARK'!$C$4))</f>
        <v>0.25</v>
      </c>
      <c r="AJ44" s="10">
        <f>IF(OR(T44="",'4_BENCHMARK'!$C$5=""),"",ABS(T44-'4_BENCHMARK'!$C$5))</f>
        <v>0</v>
      </c>
      <c r="AK44" s="10">
        <f>IF(OR(U44="",'4_BENCHMARK'!$C$6=""),"",ABS(U44-'4_BENCHMARK'!$C$6))</f>
        <v>0</v>
      </c>
      <c r="AL44" s="10">
        <f>IF(OR(V44="",'4_BENCHMARK'!$C$7=""),"",ABS(V44-'4_BENCHMARK'!$C$7))</f>
        <v>0</v>
      </c>
      <c r="AM44" s="10">
        <f>IF(OR(W44="",'4_BENCHMARK'!$C$8=""),"",ABS(W44-'4_BENCHMARK'!$C$8))</f>
        <v>0</v>
      </c>
      <c r="AN44" s="10">
        <f>IF(OR(X44="",'4_BENCHMARK'!$C$9=""),"",ABS(X44-'4_BENCHMARK'!$C$9))</f>
        <v>0</v>
      </c>
      <c r="AO44" s="10">
        <f>IF(OR(Y44="",'4_BENCHMARK'!$C$10=""),"",ABS(Y44-'4_BENCHMARK'!$C$10))</f>
        <v>0.25</v>
      </c>
      <c r="AP44" s="10">
        <f>IF(OR(Z44="",'4_BENCHMARK'!$C$11=""),"",ABS(Z44-'4_BENCHMARK'!$C$11))</f>
        <v>0</v>
      </c>
      <c r="AQ44" s="13">
        <f t="shared" si="17"/>
        <v>0.9375</v>
      </c>
      <c r="AR44" s="10"/>
      <c r="AS44" s="10" t="s">
        <v>141</v>
      </c>
      <c r="AT44" s="13">
        <f t="shared" si="18"/>
        <v>0.916666666666667</v>
      </c>
      <c r="AU44" s="1">
        <f t="shared" si="19"/>
        <v>4</v>
      </c>
      <c r="AV44" s="1">
        <f t="shared" si="20"/>
        <v>5</v>
      </c>
      <c r="AW44" s="1">
        <f t="shared" si="21"/>
        <v>5</v>
      </c>
      <c r="AX44" s="1">
        <f t="shared" si="22"/>
        <v>5</v>
      </c>
      <c r="AY44" s="1">
        <f t="shared" si="23"/>
        <v>1</v>
      </c>
      <c r="AZ44" s="1">
        <f t="shared" si="24"/>
        <v>1</v>
      </c>
      <c r="BA44" s="1">
        <f t="shared" si="25"/>
        <v>2</v>
      </c>
      <c r="BB44" s="1">
        <f t="shared" si="26"/>
        <v>5</v>
      </c>
      <c r="BC44" s="1" t="str">
        <f t="shared" si="27"/>
        <v/>
      </c>
      <c r="BD44" s="1" t="str">
        <f t="shared" si="28"/>
        <v/>
      </c>
      <c r="BE44" s="1" t="str">
        <f t="shared" si="29"/>
        <v/>
      </c>
      <c r="BF44" s="1" t="str">
        <f t="shared" si="30"/>
        <v/>
      </c>
      <c r="BG44" s="1" t="str">
        <f t="shared" si="31"/>
        <v/>
      </c>
      <c r="BH44" s="1" t="str">
        <f t="shared" si="32"/>
        <v/>
      </c>
      <c r="BI44" s="1" t="str">
        <f t="shared" si="33"/>
        <v/>
      </c>
      <c r="BJ44" s="1" t="str">
        <f t="shared" si="34"/>
        <v/>
      </c>
    </row>
    <row r="45" ht="14.25" customHeight="1" spans="1:62">
      <c r="A45" s="10">
        <v>41</v>
      </c>
      <c r="B45" s="36" t="s">
        <v>263</v>
      </c>
      <c r="C45" s="10">
        <v>2021</v>
      </c>
      <c r="D45" s="10">
        <f t="shared" si="0"/>
        <v>2020</v>
      </c>
      <c r="E45" s="36" t="s">
        <v>136</v>
      </c>
      <c r="F45" s="35" t="s">
        <v>264</v>
      </c>
      <c r="G45" s="36" t="s">
        <v>265</v>
      </c>
      <c r="H45" s="10" t="s">
        <v>140</v>
      </c>
      <c r="I45" s="10" t="s">
        <v>140</v>
      </c>
      <c r="J45" s="36" t="s">
        <v>266</v>
      </c>
      <c r="K45" s="10">
        <v>3</v>
      </c>
      <c r="L45" s="10">
        <v>2</v>
      </c>
      <c r="M45" s="10">
        <v>2</v>
      </c>
      <c r="N45" s="10">
        <v>5</v>
      </c>
      <c r="O45" s="10">
        <v>5</v>
      </c>
      <c r="P45" s="10">
        <v>5</v>
      </c>
      <c r="Q45" s="10">
        <v>1</v>
      </c>
      <c r="R45" s="10">
        <v>3</v>
      </c>
      <c r="S45" s="10">
        <f t="shared" si="1"/>
        <v>0.5</v>
      </c>
      <c r="T45" s="10">
        <f t="shared" si="2"/>
        <v>0.25</v>
      </c>
      <c r="U45" s="10">
        <f t="shared" si="3"/>
        <v>0.25</v>
      </c>
      <c r="V45" s="10">
        <f t="shared" si="4"/>
        <v>1</v>
      </c>
      <c r="W45" s="10">
        <f t="shared" si="5"/>
        <v>1</v>
      </c>
      <c r="X45" s="10">
        <f t="shared" si="6"/>
        <v>1</v>
      </c>
      <c r="Y45" s="10">
        <f t="shared" si="7"/>
        <v>0</v>
      </c>
      <c r="Z45" s="10">
        <f t="shared" si="8"/>
        <v>0.5</v>
      </c>
      <c r="AA45" s="10" t="str">
        <f t="shared" si="9"/>
        <v/>
      </c>
      <c r="AB45" s="10" t="str">
        <f t="shared" si="10"/>
        <v/>
      </c>
      <c r="AC45" s="10" t="str">
        <f t="shared" si="11"/>
        <v/>
      </c>
      <c r="AD45" s="10" t="str">
        <f t="shared" si="12"/>
        <v/>
      </c>
      <c r="AE45" s="10" t="str">
        <f t="shared" si="13"/>
        <v/>
      </c>
      <c r="AF45" s="10" t="str">
        <f t="shared" si="14"/>
        <v/>
      </c>
      <c r="AG45" s="10" t="str">
        <f t="shared" si="15"/>
        <v/>
      </c>
      <c r="AH45" s="10" t="str">
        <f t="shared" si="16"/>
        <v/>
      </c>
      <c r="AI45" s="10">
        <f>IF(OR(S45="",'4_BENCHMARK'!$C$4=""),"",ABS(S45-'4_BENCHMARK'!$C$4))</f>
        <v>0.5</v>
      </c>
      <c r="AJ45" s="10">
        <f>IF(OR(T45="",'4_BENCHMARK'!$C$5=""),"",ABS(T45-'4_BENCHMARK'!$C$5))</f>
        <v>0.75</v>
      </c>
      <c r="AK45" s="10">
        <f>IF(OR(U45="",'4_BENCHMARK'!$C$6=""),"",ABS(U45-'4_BENCHMARK'!$C$6))</f>
        <v>0.75</v>
      </c>
      <c r="AL45" s="10">
        <f>IF(OR(V45="",'4_BENCHMARK'!$C$7=""),"",ABS(V45-'4_BENCHMARK'!$C$7))</f>
        <v>0</v>
      </c>
      <c r="AM45" s="10">
        <f>IF(OR(W45="",'4_BENCHMARK'!$C$8=""),"",ABS(W45-'4_BENCHMARK'!$C$8))</f>
        <v>1</v>
      </c>
      <c r="AN45" s="10">
        <f>IF(OR(X45="",'4_BENCHMARK'!$C$9=""),"",ABS(X45-'4_BENCHMARK'!$C$9))</f>
        <v>1</v>
      </c>
      <c r="AO45" s="10">
        <f>IF(OR(Y45="",'4_BENCHMARK'!$C$10=""),"",ABS(Y45-'4_BENCHMARK'!$C$10))</f>
        <v>0.5</v>
      </c>
      <c r="AP45" s="10">
        <f>IF(OR(Z45="",'4_BENCHMARK'!$C$11=""),"",ABS(Z45-'4_BENCHMARK'!$C$11))</f>
        <v>0.5</v>
      </c>
      <c r="AQ45" s="13">
        <f t="shared" si="17"/>
        <v>0.375</v>
      </c>
      <c r="AR45" s="10"/>
      <c r="AS45" s="10" t="s">
        <v>145</v>
      </c>
      <c r="AT45" s="13">
        <f t="shared" si="18"/>
        <v>0.5</v>
      </c>
      <c r="AU45" s="1" t="str">
        <f t="shared" si="19"/>
        <v/>
      </c>
      <c r="AV45" s="1" t="str">
        <f t="shared" si="20"/>
        <v/>
      </c>
      <c r="AW45" s="1" t="str">
        <f t="shared" si="21"/>
        <v/>
      </c>
      <c r="AX45" s="1" t="str">
        <f t="shared" si="22"/>
        <v/>
      </c>
      <c r="AY45" s="1" t="str">
        <f t="shared" si="23"/>
        <v/>
      </c>
      <c r="AZ45" s="1" t="str">
        <f t="shared" si="24"/>
        <v/>
      </c>
      <c r="BA45" s="1" t="str">
        <f t="shared" si="25"/>
        <v/>
      </c>
      <c r="BB45" s="1" t="str">
        <f t="shared" si="26"/>
        <v/>
      </c>
      <c r="BC45" s="1">
        <f t="shared" si="27"/>
        <v>3</v>
      </c>
      <c r="BD45" s="1">
        <f t="shared" si="28"/>
        <v>2</v>
      </c>
      <c r="BE45" s="1">
        <f t="shared" si="29"/>
        <v>2</v>
      </c>
      <c r="BF45" s="1">
        <f t="shared" si="30"/>
        <v>5</v>
      </c>
      <c r="BG45" s="1">
        <f t="shared" si="31"/>
        <v>5</v>
      </c>
      <c r="BH45" s="1">
        <f t="shared" si="32"/>
        <v>5</v>
      </c>
      <c r="BI45" s="1">
        <f t="shared" si="33"/>
        <v>1</v>
      </c>
      <c r="BJ45" s="1">
        <f t="shared" si="34"/>
        <v>3</v>
      </c>
    </row>
    <row r="46" ht="14.25" customHeight="1" spans="1:62">
      <c r="A46" s="10">
        <v>42</v>
      </c>
      <c r="B46" s="36" t="s">
        <v>267</v>
      </c>
      <c r="C46" s="10">
        <v>1911</v>
      </c>
      <c r="D46" s="10">
        <f t="shared" si="0"/>
        <v>1910</v>
      </c>
      <c r="E46" s="36" t="s">
        <v>136</v>
      </c>
      <c r="F46" s="35" t="s">
        <v>268</v>
      </c>
      <c r="G46" s="36" t="s">
        <v>269</v>
      </c>
      <c r="H46" s="10" t="s">
        <v>139</v>
      </c>
      <c r="I46" s="10" t="s">
        <v>140</v>
      </c>
      <c r="J46" s="10"/>
      <c r="K46" s="10">
        <v>5</v>
      </c>
      <c r="L46" s="10">
        <v>5</v>
      </c>
      <c r="M46" s="10">
        <v>5</v>
      </c>
      <c r="N46" s="10">
        <v>5</v>
      </c>
      <c r="O46" s="10">
        <v>5</v>
      </c>
      <c r="P46" s="10">
        <v>5</v>
      </c>
      <c r="Q46" s="10">
        <v>3</v>
      </c>
      <c r="R46" s="10">
        <v>5</v>
      </c>
      <c r="S46" s="10">
        <f t="shared" si="1"/>
        <v>1</v>
      </c>
      <c r="T46" s="10">
        <f t="shared" si="2"/>
        <v>1</v>
      </c>
      <c r="U46" s="10">
        <f t="shared" si="3"/>
        <v>1</v>
      </c>
      <c r="V46" s="10">
        <f t="shared" si="4"/>
        <v>1</v>
      </c>
      <c r="W46" s="10">
        <f t="shared" si="5"/>
        <v>1</v>
      </c>
      <c r="X46" s="10">
        <f t="shared" si="6"/>
        <v>1</v>
      </c>
      <c r="Y46" s="10">
        <f t="shared" si="7"/>
        <v>0.5</v>
      </c>
      <c r="Z46" s="10">
        <f t="shared" si="8"/>
        <v>1</v>
      </c>
      <c r="AA46" s="10">
        <f t="shared" si="9"/>
        <v>1</v>
      </c>
      <c r="AB46" s="10">
        <f t="shared" si="10"/>
        <v>1</v>
      </c>
      <c r="AC46" s="10">
        <f t="shared" si="11"/>
        <v>1</v>
      </c>
      <c r="AD46" s="10">
        <f t="shared" si="12"/>
        <v>1</v>
      </c>
      <c r="AE46" s="10">
        <f t="shared" si="13"/>
        <v>1</v>
      </c>
      <c r="AF46" s="10">
        <f t="shared" si="14"/>
        <v>1</v>
      </c>
      <c r="AG46" s="10">
        <f t="shared" si="15"/>
        <v>0.5</v>
      </c>
      <c r="AH46" s="10">
        <f t="shared" si="16"/>
        <v>1</v>
      </c>
      <c r="AI46" s="10">
        <f>IF(OR(S46="",'4_BENCHMARK'!$C$4=""),"",ABS(S46-'4_BENCHMARK'!$C$4))</f>
        <v>0</v>
      </c>
      <c r="AJ46" s="10">
        <f>IF(OR(T46="",'4_BENCHMARK'!$C$5=""),"",ABS(T46-'4_BENCHMARK'!$C$5))</f>
        <v>0</v>
      </c>
      <c r="AK46" s="10">
        <f>IF(OR(U46="",'4_BENCHMARK'!$C$6=""),"",ABS(U46-'4_BENCHMARK'!$C$6))</f>
        <v>0</v>
      </c>
      <c r="AL46" s="10">
        <f>IF(OR(V46="",'4_BENCHMARK'!$C$7=""),"",ABS(V46-'4_BENCHMARK'!$C$7))</f>
        <v>0</v>
      </c>
      <c r="AM46" s="10">
        <f>IF(OR(W46="",'4_BENCHMARK'!$C$8=""),"",ABS(W46-'4_BENCHMARK'!$C$8))</f>
        <v>1</v>
      </c>
      <c r="AN46" s="10">
        <f>IF(OR(X46="",'4_BENCHMARK'!$C$9=""),"",ABS(X46-'4_BENCHMARK'!$C$9))</f>
        <v>1</v>
      </c>
      <c r="AO46" s="10">
        <f>IF(OR(Y46="",'4_BENCHMARK'!$C$10=""),"",ABS(Y46-'4_BENCHMARK'!$C$10))</f>
        <v>0</v>
      </c>
      <c r="AP46" s="10">
        <f>IF(OR(Z46="",'4_BENCHMARK'!$C$11=""),"",ABS(Z46-'4_BENCHMARK'!$C$11))</f>
        <v>0</v>
      </c>
      <c r="AQ46" s="13">
        <f t="shared" si="17"/>
        <v>0.75</v>
      </c>
      <c r="AR46" s="10"/>
      <c r="AS46" s="10" t="s">
        <v>141</v>
      </c>
      <c r="AT46" s="13">
        <f t="shared" si="18"/>
        <v>1</v>
      </c>
      <c r="AU46" s="1">
        <f t="shared" si="19"/>
        <v>5</v>
      </c>
      <c r="AV46" s="1">
        <f t="shared" si="20"/>
        <v>5</v>
      </c>
      <c r="AW46" s="1">
        <f t="shared" si="21"/>
        <v>5</v>
      </c>
      <c r="AX46" s="1">
        <f t="shared" si="22"/>
        <v>5</v>
      </c>
      <c r="AY46" s="1">
        <f t="shared" si="23"/>
        <v>5</v>
      </c>
      <c r="AZ46" s="1">
        <f t="shared" si="24"/>
        <v>5</v>
      </c>
      <c r="BA46" s="1">
        <f t="shared" si="25"/>
        <v>3</v>
      </c>
      <c r="BB46" s="1">
        <f t="shared" si="26"/>
        <v>5</v>
      </c>
      <c r="BC46" s="1" t="str">
        <f t="shared" si="27"/>
        <v/>
      </c>
      <c r="BD46" s="1" t="str">
        <f t="shared" si="28"/>
        <v/>
      </c>
      <c r="BE46" s="1" t="str">
        <f t="shared" si="29"/>
        <v/>
      </c>
      <c r="BF46" s="1" t="str">
        <f t="shared" si="30"/>
        <v/>
      </c>
      <c r="BG46" s="1" t="str">
        <f t="shared" si="31"/>
        <v/>
      </c>
      <c r="BH46" s="1" t="str">
        <f t="shared" si="32"/>
        <v/>
      </c>
      <c r="BI46" s="1" t="str">
        <f t="shared" si="33"/>
        <v/>
      </c>
      <c r="BJ46" s="1" t="str">
        <f t="shared" si="34"/>
        <v/>
      </c>
    </row>
    <row r="47" ht="14.25" customHeight="1" spans="1:62">
      <c r="A47" s="10">
        <v>43</v>
      </c>
      <c r="B47" s="36" t="s">
        <v>270</v>
      </c>
      <c r="C47" s="10">
        <v>1896</v>
      </c>
      <c r="D47" s="10">
        <f t="shared" si="0"/>
        <v>1890</v>
      </c>
      <c r="E47" s="36" t="s">
        <v>136</v>
      </c>
      <c r="F47" s="35" t="s">
        <v>271</v>
      </c>
      <c r="G47" s="36" t="s">
        <v>272</v>
      </c>
      <c r="H47" s="10" t="s">
        <v>139</v>
      </c>
      <c r="I47" s="10" t="s">
        <v>140</v>
      </c>
      <c r="J47" s="10"/>
      <c r="K47" s="10">
        <v>5</v>
      </c>
      <c r="L47" s="10">
        <v>5</v>
      </c>
      <c r="M47" s="10">
        <v>5</v>
      </c>
      <c r="N47" s="10">
        <v>5</v>
      </c>
      <c r="O47" s="10">
        <v>1</v>
      </c>
      <c r="P47" s="10">
        <v>1</v>
      </c>
      <c r="Q47" s="10">
        <v>3</v>
      </c>
      <c r="R47" s="10">
        <v>5</v>
      </c>
      <c r="S47" s="10">
        <f t="shared" si="1"/>
        <v>1</v>
      </c>
      <c r="T47" s="10">
        <f t="shared" si="2"/>
        <v>1</v>
      </c>
      <c r="U47" s="10">
        <f t="shared" si="3"/>
        <v>1</v>
      </c>
      <c r="V47" s="10">
        <f t="shared" si="4"/>
        <v>1</v>
      </c>
      <c r="W47" s="10">
        <f t="shared" si="5"/>
        <v>0</v>
      </c>
      <c r="X47" s="10">
        <f t="shared" si="6"/>
        <v>0</v>
      </c>
      <c r="Y47" s="10">
        <f t="shared" si="7"/>
        <v>0.5</v>
      </c>
      <c r="Z47" s="10">
        <f t="shared" si="8"/>
        <v>1</v>
      </c>
      <c r="AA47" s="10">
        <f t="shared" si="9"/>
        <v>1</v>
      </c>
      <c r="AB47" s="10">
        <f t="shared" si="10"/>
        <v>1</v>
      </c>
      <c r="AC47" s="10">
        <f t="shared" si="11"/>
        <v>1</v>
      </c>
      <c r="AD47" s="10">
        <f t="shared" si="12"/>
        <v>1</v>
      </c>
      <c r="AE47" s="10">
        <f t="shared" si="13"/>
        <v>0</v>
      </c>
      <c r="AF47" s="10">
        <f t="shared" si="14"/>
        <v>0</v>
      </c>
      <c r="AG47" s="10">
        <f t="shared" si="15"/>
        <v>0.5</v>
      </c>
      <c r="AH47" s="10">
        <f t="shared" si="16"/>
        <v>1</v>
      </c>
      <c r="AI47" s="10">
        <f>IF(OR(S47="",'4_BENCHMARK'!$C$4=""),"",ABS(S47-'4_BENCHMARK'!$C$4))</f>
        <v>0</v>
      </c>
      <c r="AJ47" s="10">
        <f>IF(OR(T47="",'4_BENCHMARK'!$C$5=""),"",ABS(T47-'4_BENCHMARK'!$C$5))</f>
        <v>0</v>
      </c>
      <c r="AK47" s="10">
        <f>IF(OR(U47="",'4_BENCHMARK'!$C$6=""),"",ABS(U47-'4_BENCHMARK'!$C$6))</f>
        <v>0</v>
      </c>
      <c r="AL47" s="10">
        <f>IF(OR(V47="",'4_BENCHMARK'!$C$7=""),"",ABS(V47-'4_BENCHMARK'!$C$7))</f>
        <v>0</v>
      </c>
      <c r="AM47" s="10">
        <f>IF(OR(W47="",'4_BENCHMARK'!$C$8=""),"",ABS(W47-'4_BENCHMARK'!$C$8))</f>
        <v>0</v>
      </c>
      <c r="AN47" s="10">
        <f>IF(OR(X47="",'4_BENCHMARK'!$C$9=""),"",ABS(X47-'4_BENCHMARK'!$C$9))</f>
        <v>0</v>
      </c>
      <c r="AO47" s="10">
        <f>IF(OR(Y47="",'4_BENCHMARK'!$C$10=""),"",ABS(Y47-'4_BENCHMARK'!$C$10))</f>
        <v>0</v>
      </c>
      <c r="AP47" s="10">
        <f>IF(OR(Z47="",'4_BENCHMARK'!$C$11=""),"",ABS(Z47-'4_BENCHMARK'!$C$11))</f>
        <v>0</v>
      </c>
      <c r="AQ47" s="13">
        <f t="shared" si="17"/>
        <v>1</v>
      </c>
      <c r="AR47" s="10"/>
      <c r="AS47" s="10" t="s">
        <v>141</v>
      </c>
      <c r="AT47" s="13">
        <f t="shared" si="18"/>
        <v>1</v>
      </c>
      <c r="AU47" s="1">
        <f t="shared" si="19"/>
        <v>5</v>
      </c>
      <c r="AV47" s="1">
        <f t="shared" si="20"/>
        <v>5</v>
      </c>
      <c r="AW47" s="1">
        <f t="shared" si="21"/>
        <v>5</v>
      </c>
      <c r="AX47" s="1">
        <f t="shared" si="22"/>
        <v>5</v>
      </c>
      <c r="AY47" s="1">
        <f t="shared" si="23"/>
        <v>1</v>
      </c>
      <c r="AZ47" s="1">
        <f t="shared" si="24"/>
        <v>1</v>
      </c>
      <c r="BA47" s="1">
        <f t="shared" si="25"/>
        <v>3</v>
      </c>
      <c r="BB47" s="1">
        <f t="shared" si="26"/>
        <v>5</v>
      </c>
      <c r="BC47" s="1" t="str">
        <f t="shared" si="27"/>
        <v/>
      </c>
      <c r="BD47" s="1" t="str">
        <f t="shared" si="28"/>
        <v/>
      </c>
      <c r="BE47" s="1" t="str">
        <f t="shared" si="29"/>
        <v/>
      </c>
      <c r="BF47" s="1" t="str">
        <f t="shared" si="30"/>
        <v/>
      </c>
      <c r="BG47" s="1" t="str">
        <f t="shared" si="31"/>
        <v/>
      </c>
      <c r="BH47" s="1" t="str">
        <f t="shared" si="32"/>
        <v/>
      </c>
      <c r="BI47" s="1" t="str">
        <f t="shared" si="33"/>
        <v/>
      </c>
      <c r="BJ47" s="1" t="str">
        <f t="shared" si="34"/>
        <v/>
      </c>
    </row>
    <row r="48" ht="14.25" customHeight="1" spans="1:62">
      <c r="A48" s="10">
        <v>44</v>
      </c>
      <c r="B48" s="36" t="s">
        <v>273</v>
      </c>
      <c r="C48" s="10">
        <v>1909</v>
      </c>
      <c r="D48" s="10">
        <f t="shared" si="0"/>
        <v>1900</v>
      </c>
      <c r="E48" s="36" t="s">
        <v>136</v>
      </c>
      <c r="F48" s="35" t="s">
        <v>274</v>
      </c>
      <c r="G48" s="36" t="s">
        <v>275</v>
      </c>
      <c r="H48" s="10" t="s">
        <v>139</v>
      </c>
      <c r="I48" s="10" t="s">
        <v>140</v>
      </c>
      <c r="J48" s="10"/>
      <c r="K48" s="10">
        <v>5</v>
      </c>
      <c r="L48" s="10">
        <v>5</v>
      </c>
      <c r="M48" s="10">
        <v>5</v>
      </c>
      <c r="N48" s="10">
        <v>5</v>
      </c>
      <c r="O48" s="10">
        <v>1</v>
      </c>
      <c r="P48" s="10">
        <v>1</v>
      </c>
      <c r="Q48" s="10">
        <v>2</v>
      </c>
      <c r="R48" s="10">
        <v>5</v>
      </c>
      <c r="S48" s="10">
        <f t="shared" si="1"/>
        <v>1</v>
      </c>
      <c r="T48" s="10">
        <f t="shared" si="2"/>
        <v>1</v>
      </c>
      <c r="U48" s="10">
        <f t="shared" si="3"/>
        <v>1</v>
      </c>
      <c r="V48" s="10">
        <f t="shared" si="4"/>
        <v>1</v>
      </c>
      <c r="W48" s="10">
        <f t="shared" si="5"/>
        <v>0</v>
      </c>
      <c r="X48" s="10">
        <f t="shared" si="6"/>
        <v>0</v>
      </c>
      <c r="Y48" s="10">
        <f t="shared" si="7"/>
        <v>0.25</v>
      </c>
      <c r="Z48" s="10">
        <f t="shared" si="8"/>
        <v>1</v>
      </c>
      <c r="AA48" s="10">
        <f t="shared" si="9"/>
        <v>1</v>
      </c>
      <c r="AB48" s="10">
        <f t="shared" si="10"/>
        <v>1</v>
      </c>
      <c r="AC48" s="10">
        <f t="shared" si="11"/>
        <v>1</v>
      </c>
      <c r="AD48" s="10">
        <f t="shared" si="12"/>
        <v>1</v>
      </c>
      <c r="AE48" s="10">
        <f t="shared" si="13"/>
        <v>0</v>
      </c>
      <c r="AF48" s="10">
        <f t="shared" si="14"/>
        <v>0</v>
      </c>
      <c r="AG48" s="10">
        <f t="shared" si="15"/>
        <v>0.25</v>
      </c>
      <c r="AH48" s="10">
        <f t="shared" si="16"/>
        <v>1</v>
      </c>
      <c r="AI48" s="10">
        <f>IF(OR(S48="",'4_BENCHMARK'!$C$4=""),"",ABS(S48-'4_BENCHMARK'!$C$4))</f>
        <v>0</v>
      </c>
      <c r="AJ48" s="10">
        <f>IF(OR(T48="",'4_BENCHMARK'!$C$5=""),"",ABS(T48-'4_BENCHMARK'!$C$5))</f>
        <v>0</v>
      </c>
      <c r="AK48" s="10">
        <f>IF(OR(U48="",'4_BENCHMARK'!$C$6=""),"",ABS(U48-'4_BENCHMARK'!$C$6))</f>
        <v>0</v>
      </c>
      <c r="AL48" s="10">
        <f>IF(OR(V48="",'4_BENCHMARK'!$C$7=""),"",ABS(V48-'4_BENCHMARK'!$C$7))</f>
        <v>0</v>
      </c>
      <c r="AM48" s="10">
        <f>IF(OR(W48="",'4_BENCHMARK'!$C$8=""),"",ABS(W48-'4_BENCHMARK'!$C$8))</f>
        <v>0</v>
      </c>
      <c r="AN48" s="10">
        <f>IF(OR(X48="",'4_BENCHMARK'!$C$9=""),"",ABS(X48-'4_BENCHMARK'!$C$9))</f>
        <v>0</v>
      </c>
      <c r="AO48" s="10">
        <f>IF(OR(Y48="",'4_BENCHMARK'!$C$10=""),"",ABS(Y48-'4_BENCHMARK'!$C$10))</f>
        <v>0.25</v>
      </c>
      <c r="AP48" s="10">
        <f>IF(OR(Z48="",'4_BENCHMARK'!$C$11=""),"",ABS(Z48-'4_BENCHMARK'!$C$11))</f>
        <v>0</v>
      </c>
      <c r="AQ48" s="13">
        <f t="shared" si="17"/>
        <v>0.96875</v>
      </c>
      <c r="AR48" s="10"/>
      <c r="AS48" s="10" t="s">
        <v>141</v>
      </c>
      <c r="AT48" s="13">
        <f t="shared" si="18"/>
        <v>0.958333333333333</v>
      </c>
      <c r="AU48" s="1">
        <f t="shared" si="19"/>
        <v>5</v>
      </c>
      <c r="AV48" s="1">
        <f t="shared" si="20"/>
        <v>5</v>
      </c>
      <c r="AW48" s="1">
        <f t="shared" si="21"/>
        <v>5</v>
      </c>
      <c r="AX48" s="1">
        <f t="shared" si="22"/>
        <v>5</v>
      </c>
      <c r="AY48" s="1">
        <f t="shared" si="23"/>
        <v>1</v>
      </c>
      <c r="AZ48" s="1">
        <f t="shared" si="24"/>
        <v>1</v>
      </c>
      <c r="BA48" s="1">
        <f t="shared" si="25"/>
        <v>2</v>
      </c>
      <c r="BB48" s="1">
        <f t="shared" si="26"/>
        <v>5</v>
      </c>
      <c r="BC48" s="1" t="str">
        <f t="shared" si="27"/>
        <v/>
      </c>
      <c r="BD48" s="1" t="str">
        <f t="shared" si="28"/>
        <v/>
      </c>
      <c r="BE48" s="1" t="str">
        <f t="shared" si="29"/>
        <v/>
      </c>
      <c r="BF48" s="1" t="str">
        <f t="shared" si="30"/>
        <v/>
      </c>
      <c r="BG48" s="1" t="str">
        <f t="shared" si="31"/>
        <v/>
      </c>
      <c r="BH48" s="1" t="str">
        <f t="shared" si="32"/>
        <v/>
      </c>
      <c r="BI48" s="1" t="str">
        <f t="shared" si="33"/>
        <v/>
      </c>
      <c r="BJ48" s="1" t="str">
        <f t="shared" si="34"/>
        <v/>
      </c>
    </row>
    <row r="49" ht="14.25" customHeight="1" spans="1:62">
      <c r="A49" s="10">
        <v>45</v>
      </c>
      <c r="B49" s="36" t="s">
        <v>276</v>
      </c>
      <c r="C49" s="10">
        <v>2023</v>
      </c>
      <c r="D49" s="10">
        <f t="shared" si="0"/>
        <v>2020</v>
      </c>
      <c r="E49" s="36" t="s">
        <v>136</v>
      </c>
      <c r="F49" s="35" t="s">
        <v>277</v>
      </c>
      <c r="G49" s="36" t="s">
        <v>278</v>
      </c>
      <c r="H49" s="10" t="s">
        <v>140</v>
      </c>
      <c r="I49" s="10" t="s">
        <v>140</v>
      </c>
      <c r="J49" s="10"/>
      <c r="K49" s="10">
        <v>3</v>
      </c>
      <c r="L49" s="10">
        <v>3</v>
      </c>
      <c r="M49" s="10">
        <v>2</v>
      </c>
      <c r="N49" s="10">
        <v>5</v>
      </c>
      <c r="O49" s="10">
        <v>1</v>
      </c>
      <c r="P49" s="10">
        <v>1</v>
      </c>
      <c r="Q49" s="10">
        <v>2</v>
      </c>
      <c r="R49" s="10">
        <v>4</v>
      </c>
      <c r="S49" s="10">
        <f t="shared" si="1"/>
        <v>0.5</v>
      </c>
      <c r="T49" s="10">
        <f t="shared" si="2"/>
        <v>0.5</v>
      </c>
      <c r="U49" s="10">
        <f t="shared" si="3"/>
        <v>0.25</v>
      </c>
      <c r="V49" s="10">
        <f t="shared" si="4"/>
        <v>1</v>
      </c>
      <c r="W49" s="10">
        <f t="shared" si="5"/>
        <v>0</v>
      </c>
      <c r="X49" s="10">
        <f t="shared" si="6"/>
        <v>0</v>
      </c>
      <c r="Y49" s="10">
        <f t="shared" si="7"/>
        <v>0.25</v>
      </c>
      <c r="Z49" s="10">
        <f t="shared" si="8"/>
        <v>0.75</v>
      </c>
      <c r="AA49" s="10" t="str">
        <f t="shared" si="9"/>
        <v/>
      </c>
      <c r="AB49" s="10" t="str">
        <f t="shared" si="10"/>
        <v/>
      </c>
      <c r="AC49" s="10" t="str">
        <f t="shared" si="11"/>
        <v/>
      </c>
      <c r="AD49" s="10" t="str">
        <f t="shared" si="12"/>
        <v/>
      </c>
      <c r="AE49" s="10" t="str">
        <f t="shared" si="13"/>
        <v/>
      </c>
      <c r="AF49" s="10" t="str">
        <f t="shared" si="14"/>
        <v/>
      </c>
      <c r="AG49" s="10" t="str">
        <f t="shared" si="15"/>
        <v/>
      </c>
      <c r="AH49" s="10" t="str">
        <f t="shared" si="16"/>
        <v/>
      </c>
      <c r="AI49" s="10">
        <f>IF(OR(S49="",'4_BENCHMARK'!$C$4=""),"",ABS(S49-'4_BENCHMARK'!$C$4))</f>
        <v>0.5</v>
      </c>
      <c r="AJ49" s="10">
        <f>IF(OR(T49="",'4_BENCHMARK'!$C$5=""),"",ABS(T49-'4_BENCHMARK'!$C$5))</f>
        <v>0.5</v>
      </c>
      <c r="AK49" s="10">
        <f>IF(OR(U49="",'4_BENCHMARK'!$C$6=""),"",ABS(U49-'4_BENCHMARK'!$C$6))</f>
        <v>0.75</v>
      </c>
      <c r="AL49" s="10">
        <f>IF(OR(V49="",'4_BENCHMARK'!$C$7=""),"",ABS(V49-'4_BENCHMARK'!$C$7))</f>
        <v>0</v>
      </c>
      <c r="AM49" s="10">
        <f>IF(OR(W49="",'4_BENCHMARK'!$C$8=""),"",ABS(W49-'4_BENCHMARK'!$C$8))</f>
        <v>0</v>
      </c>
      <c r="AN49" s="10">
        <f>IF(OR(X49="",'4_BENCHMARK'!$C$9=""),"",ABS(X49-'4_BENCHMARK'!$C$9))</f>
        <v>0</v>
      </c>
      <c r="AO49" s="10">
        <f>IF(OR(Y49="",'4_BENCHMARK'!$C$10=""),"",ABS(Y49-'4_BENCHMARK'!$C$10))</f>
        <v>0.25</v>
      </c>
      <c r="AP49" s="10">
        <f>IF(OR(Z49="",'4_BENCHMARK'!$C$11=""),"",ABS(Z49-'4_BENCHMARK'!$C$11))</f>
        <v>0.25</v>
      </c>
      <c r="AQ49" s="13">
        <f t="shared" si="17"/>
        <v>0.71875</v>
      </c>
      <c r="AR49" s="10"/>
      <c r="AS49" s="10" t="s">
        <v>145</v>
      </c>
      <c r="AT49" s="13">
        <f t="shared" si="18"/>
        <v>0.625</v>
      </c>
      <c r="AU49" s="1" t="str">
        <f t="shared" si="19"/>
        <v/>
      </c>
      <c r="AV49" s="1" t="str">
        <f t="shared" si="20"/>
        <v/>
      </c>
      <c r="AW49" s="1" t="str">
        <f t="shared" si="21"/>
        <v/>
      </c>
      <c r="AX49" s="1" t="str">
        <f t="shared" si="22"/>
        <v/>
      </c>
      <c r="AY49" s="1" t="str">
        <f t="shared" si="23"/>
        <v/>
      </c>
      <c r="AZ49" s="1" t="str">
        <f t="shared" si="24"/>
        <v/>
      </c>
      <c r="BA49" s="1" t="str">
        <f t="shared" si="25"/>
        <v/>
      </c>
      <c r="BB49" s="1" t="str">
        <f t="shared" si="26"/>
        <v/>
      </c>
      <c r="BC49" s="1">
        <f t="shared" si="27"/>
        <v>3</v>
      </c>
      <c r="BD49" s="1">
        <f t="shared" si="28"/>
        <v>3</v>
      </c>
      <c r="BE49" s="1">
        <f t="shared" si="29"/>
        <v>2</v>
      </c>
      <c r="BF49" s="1">
        <f t="shared" si="30"/>
        <v>5</v>
      </c>
      <c r="BG49" s="1">
        <f t="shared" si="31"/>
        <v>1</v>
      </c>
      <c r="BH49" s="1">
        <f t="shared" si="32"/>
        <v>1</v>
      </c>
      <c r="BI49" s="1">
        <f t="shared" si="33"/>
        <v>2</v>
      </c>
      <c r="BJ49" s="1">
        <f t="shared" si="34"/>
        <v>4</v>
      </c>
    </row>
    <row r="50" ht="14.25" customHeight="1" spans="1:62">
      <c r="A50" s="10">
        <v>46</v>
      </c>
      <c r="B50" s="36" t="s">
        <v>279</v>
      </c>
      <c r="C50" s="10">
        <v>2009</v>
      </c>
      <c r="D50" s="10">
        <f t="shared" si="0"/>
        <v>2000</v>
      </c>
      <c r="E50" s="36" t="s">
        <v>136</v>
      </c>
      <c r="F50" s="35" t="s">
        <v>280</v>
      </c>
      <c r="G50" s="36" t="s">
        <v>281</v>
      </c>
      <c r="H50" s="10" t="s">
        <v>139</v>
      </c>
      <c r="I50" s="10" t="s">
        <v>140</v>
      </c>
      <c r="J50" s="10"/>
      <c r="K50" s="10">
        <v>4</v>
      </c>
      <c r="L50" s="10">
        <v>5</v>
      </c>
      <c r="M50" s="10">
        <v>5</v>
      </c>
      <c r="N50" s="10">
        <v>5</v>
      </c>
      <c r="O50" s="10">
        <v>1</v>
      </c>
      <c r="P50" s="10">
        <v>1</v>
      </c>
      <c r="Q50" s="10">
        <v>2</v>
      </c>
      <c r="R50" s="10">
        <v>5</v>
      </c>
      <c r="S50" s="10">
        <f t="shared" si="1"/>
        <v>0.75</v>
      </c>
      <c r="T50" s="10">
        <f t="shared" si="2"/>
        <v>1</v>
      </c>
      <c r="U50" s="10">
        <f t="shared" si="3"/>
        <v>1</v>
      </c>
      <c r="V50" s="10">
        <f t="shared" si="4"/>
        <v>1</v>
      </c>
      <c r="W50" s="10">
        <f t="shared" si="5"/>
        <v>0</v>
      </c>
      <c r="X50" s="10">
        <f t="shared" si="6"/>
        <v>0</v>
      </c>
      <c r="Y50" s="10">
        <f t="shared" si="7"/>
        <v>0.25</v>
      </c>
      <c r="Z50" s="10">
        <f t="shared" si="8"/>
        <v>1</v>
      </c>
      <c r="AA50" s="10" t="str">
        <f t="shared" si="9"/>
        <v/>
      </c>
      <c r="AB50" s="10" t="str">
        <f t="shared" si="10"/>
        <v/>
      </c>
      <c r="AC50" s="10" t="str">
        <f t="shared" si="11"/>
        <v/>
      </c>
      <c r="AD50" s="10" t="str">
        <f t="shared" si="12"/>
        <v/>
      </c>
      <c r="AE50" s="10" t="str">
        <f t="shared" si="13"/>
        <v/>
      </c>
      <c r="AF50" s="10" t="str">
        <f t="shared" si="14"/>
        <v/>
      </c>
      <c r="AG50" s="10" t="str">
        <f t="shared" si="15"/>
        <v/>
      </c>
      <c r="AH50" s="10" t="str">
        <f t="shared" si="16"/>
        <v/>
      </c>
      <c r="AI50" s="10">
        <f>IF(OR(S50="",'4_BENCHMARK'!$C$4=""),"",ABS(S50-'4_BENCHMARK'!$C$4))</f>
        <v>0.25</v>
      </c>
      <c r="AJ50" s="10">
        <f>IF(OR(T50="",'4_BENCHMARK'!$C$5=""),"",ABS(T50-'4_BENCHMARK'!$C$5))</f>
        <v>0</v>
      </c>
      <c r="AK50" s="10">
        <f>IF(OR(U50="",'4_BENCHMARK'!$C$6=""),"",ABS(U50-'4_BENCHMARK'!$C$6))</f>
        <v>0</v>
      </c>
      <c r="AL50" s="10">
        <f>IF(OR(V50="",'4_BENCHMARK'!$C$7=""),"",ABS(V50-'4_BENCHMARK'!$C$7))</f>
        <v>0</v>
      </c>
      <c r="AM50" s="10">
        <f>IF(OR(W50="",'4_BENCHMARK'!$C$8=""),"",ABS(W50-'4_BENCHMARK'!$C$8))</f>
        <v>0</v>
      </c>
      <c r="AN50" s="10">
        <f>IF(OR(X50="",'4_BENCHMARK'!$C$9=""),"",ABS(X50-'4_BENCHMARK'!$C$9))</f>
        <v>0</v>
      </c>
      <c r="AO50" s="10">
        <f>IF(OR(Y50="",'4_BENCHMARK'!$C$10=""),"",ABS(Y50-'4_BENCHMARK'!$C$10))</f>
        <v>0.25</v>
      </c>
      <c r="AP50" s="10">
        <f>IF(OR(Z50="",'4_BENCHMARK'!$C$11=""),"",ABS(Z50-'4_BENCHMARK'!$C$11))</f>
        <v>0</v>
      </c>
      <c r="AQ50" s="13">
        <f t="shared" si="17"/>
        <v>0.9375</v>
      </c>
      <c r="AR50" s="10"/>
      <c r="AS50" s="10" t="s">
        <v>230</v>
      </c>
      <c r="AT50" s="13">
        <f t="shared" si="18"/>
        <v>0.916666666666667</v>
      </c>
      <c r="AU50" s="1" t="str">
        <f t="shared" si="19"/>
        <v/>
      </c>
      <c r="AV50" s="1" t="str">
        <f t="shared" si="20"/>
        <v/>
      </c>
      <c r="AW50" s="1" t="str">
        <f t="shared" si="21"/>
        <v/>
      </c>
      <c r="AX50" s="1" t="str">
        <f t="shared" si="22"/>
        <v/>
      </c>
      <c r="AY50" s="1" t="str">
        <f t="shared" si="23"/>
        <v/>
      </c>
      <c r="AZ50" s="1" t="str">
        <f t="shared" si="24"/>
        <v/>
      </c>
      <c r="BA50" s="1" t="str">
        <f t="shared" si="25"/>
        <v/>
      </c>
      <c r="BB50" s="1" t="str">
        <f t="shared" si="26"/>
        <v/>
      </c>
      <c r="BC50" s="1">
        <f t="shared" si="27"/>
        <v>4</v>
      </c>
      <c r="BD50" s="1">
        <f t="shared" si="28"/>
        <v>5</v>
      </c>
      <c r="BE50" s="1">
        <f t="shared" si="29"/>
        <v>5</v>
      </c>
      <c r="BF50" s="1">
        <f t="shared" si="30"/>
        <v>5</v>
      </c>
      <c r="BG50" s="1">
        <f t="shared" si="31"/>
        <v>1</v>
      </c>
      <c r="BH50" s="1">
        <f t="shared" si="32"/>
        <v>1</v>
      </c>
      <c r="BI50" s="1">
        <f t="shared" si="33"/>
        <v>2</v>
      </c>
      <c r="BJ50" s="1">
        <f t="shared" si="34"/>
        <v>5</v>
      </c>
    </row>
    <row r="51" ht="14.25" customHeight="1" spans="1:62">
      <c r="A51" s="10">
        <v>47</v>
      </c>
      <c r="B51" s="36" t="s">
        <v>282</v>
      </c>
      <c r="C51" s="10">
        <v>1910</v>
      </c>
      <c r="D51" s="10">
        <f t="shared" si="0"/>
        <v>1910</v>
      </c>
      <c r="E51" s="36" t="s">
        <v>136</v>
      </c>
      <c r="F51" s="35" t="s">
        <v>283</v>
      </c>
      <c r="G51" s="36" t="s">
        <v>284</v>
      </c>
      <c r="H51" s="10" t="s">
        <v>140</v>
      </c>
      <c r="I51" s="10" t="s">
        <v>140</v>
      </c>
      <c r="J51" s="36" t="s">
        <v>252</v>
      </c>
      <c r="K51" s="10">
        <v>5</v>
      </c>
      <c r="L51" s="10">
        <v>5</v>
      </c>
      <c r="M51" s="10">
        <v>5</v>
      </c>
      <c r="N51" s="10">
        <v>5</v>
      </c>
      <c r="O51" s="10">
        <v>5</v>
      </c>
      <c r="P51" s="10">
        <v>5</v>
      </c>
      <c r="Q51" s="10">
        <v>2</v>
      </c>
      <c r="R51" s="10">
        <v>4</v>
      </c>
      <c r="S51" s="10">
        <f t="shared" si="1"/>
        <v>1</v>
      </c>
      <c r="T51" s="10">
        <f t="shared" si="2"/>
        <v>1</v>
      </c>
      <c r="U51" s="10">
        <f t="shared" si="3"/>
        <v>1</v>
      </c>
      <c r="V51" s="10">
        <f t="shared" si="4"/>
        <v>1</v>
      </c>
      <c r="W51" s="10">
        <f t="shared" si="5"/>
        <v>1</v>
      </c>
      <c r="X51" s="10">
        <f t="shared" si="6"/>
        <v>1</v>
      </c>
      <c r="Y51" s="10">
        <f t="shared" si="7"/>
        <v>0.25</v>
      </c>
      <c r="Z51" s="10">
        <f t="shared" si="8"/>
        <v>0.75</v>
      </c>
      <c r="AA51" s="10">
        <f t="shared" si="9"/>
        <v>1</v>
      </c>
      <c r="AB51" s="10">
        <f t="shared" si="10"/>
        <v>1</v>
      </c>
      <c r="AC51" s="10">
        <f t="shared" si="11"/>
        <v>1</v>
      </c>
      <c r="AD51" s="10">
        <f t="shared" si="12"/>
        <v>1</v>
      </c>
      <c r="AE51" s="10">
        <f t="shared" si="13"/>
        <v>1</v>
      </c>
      <c r="AF51" s="10">
        <f t="shared" si="14"/>
        <v>1</v>
      </c>
      <c r="AG51" s="10">
        <f t="shared" si="15"/>
        <v>0.25</v>
      </c>
      <c r="AH51" s="10">
        <f t="shared" si="16"/>
        <v>0.75</v>
      </c>
      <c r="AI51" s="10">
        <f>IF(OR(S51="",'4_BENCHMARK'!$C$4=""),"",ABS(S51-'4_BENCHMARK'!$C$4))</f>
        <v>0</v>
      </c>
      <c r="AJ51" s="10">
        <f>IF(OR(T51="",'4_BENCHMARK'!$C$5=""),"",ABS(T51-'4_BENCHMARK'!$C$5))</f>
        <v>0</v>
      </c>
      <c r="AK51" s="10">
        <f>IF(OR(U51="",'4_BENCHMARK'!$C$6=""),"",ABS(U51-'4_BENCHMARK'!$C$6))</f>
        <v>0</v>
      </c>
      <c r="AL51" s="10">
        <f>IF(OR(V51="",'4_BENCHMARK'!$C$7=""),"",ABS(V51-'4_BENCHMARK'!$C$7))</f>
        <v>0</v>
      </c>
      <c r="AM51" s="10">
        <f>IF(OR(W51="",'4_BENCHMARK'!$C$8=""),"",ABS(W51-'4_BENCHMARK'!$C$8))</f>
        <v>1</v>
      </c>
      <c r="AN51" s="10">
        <f>IF(OR(X51="",'4_BENCHMARK'!$C$9=""),"",ABS(X51-'4_BENCHMARK'!$C$9))</f>
        <v>1</v>
      </c>
      <c r="AO51" s="10">
        <f>IF(OR(Y51="",'4_BENCHMARK'!$C$10=""),"",ABS(Y51-'4_BENCHMARK'!$C$10))</f>
        <v>0.25</v>
      </c>
      <c r="AP51" s="10">
        <f>IF(OR(Z51="",'4_BENCHMARK'!$C$11=""),"",ABS(Z51-'4_BENCHMARK'!$C$11))</f>
        <v>0.25</v>
      </c>
      <c r="AQ51" s="13">
        <f t="shared" si="17"/>
        <v>0.6875</v>
      </c>
      <c r="AR51" s="10" t="s">
        <v>140</v>
      </c>
      <c r="AS51" s="10" t="s">
        <v>230</v>
      </c>
      <c r="AT51" s="13">
        <f t="shared" si="18"/>
        <v>0.916666666666667</v>
      </c>
      <c r="AU51" s="1">
        <f t="shared" si="19"/>
        <v>5</v>
      </c>
      <c r="AV51" s="1">
        <f t="shared" si="20"/>
        <v>5</v>
      </c>
      <c r="AW51" s="1">
        <f t="shared" si="21"/>
        <v>5</v>
      </c>
      <c r="AX51" s="1">
        <f t="shared" si="22"/>
        <v>5</v>
      </c>
      <c r="AY51" s="1">
        <f t="shared" si="23"/>
        <v>5</v>
      </c>
      <c r="AZ51" s="1">
        <f t="shared" si="24"/>
        <v>5</v>
      </c>
      <c r="BA51" s="1">
        <f t="shared" si="25"/>
        <v>2</v>
      </c>
      <c r="BB51" s="1">
        <f t="shared" si="26"/>
        <v>4</v>
      </c>
      <c r="BC51" s="1" t="str">
        <f t="shared" si="27"/>
        <v/>
      </c>
      <c r="BD51" s="1" t="str">
        <f t="shared" si="28"/>
        <v/>
      </c>
      <c r="BE51" s="1" t="str">
        <f t="shared" si="29"/>
        <v/>
      </c>
      <c r="BF51" s="1" t="str">
        <f t="shared" si="30"/>
        <v/>
      </c>
      <c r="BG51" s="1" t="str">
        <f t="shared" si="31"/>
        <v/>
      </c>
      <c r="BH51" s="1" t="str">
        <f t="shared" si="32"/>
        <v/>
      </c>
      <c r="BI51" s="1" t="str">
        <f t="shared" si="33"/>
        <v/>
      </c>
      <c r="BJ51" s="1" t="str">
        <f t="shared" si="34"/>
        <v/>
      </c>
    </row>
    <row r="52" ht="14.25" customHeight="1" spans="1:62">
      <c r="A52" s="10">
        <v>48</v>
      </c>
      <c r="B52" s="36" t="s">
        <v>285</v>
      </c>
      <c r="C52" s="10">
        <v>2012</v>
      </c>
      <c r="D52" s="10">
        <f t="shared" si="0"/>
        <v>2010</v>
      </c>
      <c r="E52" s="36" t="s">
        <v>136</v>
      </c>
      <c r="F52" s="35" t="s">
        <v>286</v>
      </c>
      <c r="G52" s="36" t="s">
        <v>287</v>
      </c>
      <c r="H52" s="10" t="s">
        <v>140</v>
      </c>
      <c r="I52" s="10" t="s">
        <v>140</v>
      </c>
      <c r="J52" s="36"/>
      <c r="K52" s="10">
        <v>5</v>
      </c>
      <c r="L52" s="10">
        <v>5</v>
      </c>
      <c r="M52" s="10">
        <v>5</v>
      </c>
      <c r="N52" s="10">
        <v>5</v>
      </c>
      <c r="O52" s="10">
        <v>1</v>
      </c>
      <c r="P52" s="10">
        <v>1</v>
      </c>
      <c r="Q52" s="10">
        <v>3</v>
      </c>
      <c r="R52" s="10">
        <v>5</v>
      </c>
      <c r="S52" s="10">
        <f t="shared" si="1"/>
        <v>1</v>
      </c>
      <c r="T52" s="10">
        <f t="shared" si="2"/>
        <v>1</v>
      </c>
      <c r="U52" s="10">
        <f t="shared" si="3"/>
        <v>1</v>
      </c>
      <c r="V52" s="10">
        <f t="shared" si="4"/>
        <v>1</v>
      </c>
      <c r="W52" s="10">
        <f t="shared" si="5"/>
        <v>0</v>
      </c>
      <c r="X52" s="10">
        <f t="shared" si="6"/>
        <v>0</v>
      </c>
      <c r="Y52" s="10">
        <f t="shared" si="7"/>
        <v>0.5</v>
      </c>
      <c r="Z52" s="10">
        <f t="shared" si="8"/>
        <v>1</v>
      </c>
      <c r="AA52" s="10" t="str">
        <f t="shared" si="9"/>
        <v/>
      </c>
      <c r="AB52" s="10" t="str">
        <f t="shared" si="10"/>
        <v/>
      </c>
      <c r="AC52" s="10" t="str">
        <f t="shared" si="11"/>
        <v/>
      </c>
      <c r="AD52" s="10" t="str">
        <f t="shared" si="12"/>
        <v/>
      </c>
      <c r="AE52" s="10" t="str">
        <f t="shared" si="13"/>
        <v/>
      </c>
      <c r="AF52" s="10" t="str">
        <f t="shared" si="14"/>
        <v/>
      </c>
      <c r="AG52" s="10" t="str">
        <f t="shared" si="15"/>
        <v/>
      </c>
      <c r="AH52" s="10" t="str">
        <f t="shared" si="16"/>
        <v/>
      </c>
      <c r="AI52" s="10">
        <f>IF(OR(S52="",'4_BENCHMARK'!$C$4=""),"",ABS(S52-'4_BENCHMARK'!$C$4))</f>
        <v>0</v>
      </c>
      <c r="AJ52" s="10">
        <f>IF(OR(T52="",'4_BENCHMARK'!$C$5=""),"",ABS(T52-'4_BENCHMARK'!$C$5))</f>
        <v>0</v>
      </c>
      <c r="AK52" s="10">
        <f>IF(OR(U52="",'4_BENCHMARK'!$C$6=""),"",ABS(U52-'4_BENCHMARK'!$C$6))</f>
        <v>0</v>
      </c>
      <c r="AL52" s="10">
        <f>IF(OR(V52="",'4_BENCHMARK'!$C$7=""),"",ABS(V52-'4_BENCHMARK'!$C$7))</f>
        <v>0</v>
      </c>
      <c r="AM52" s="10">
        <f>IF(OR(W52="",'4_BENCHMARK'!$C$8=""),"",ABS(W52-'4_BENCHMARK'!$C$8))</f>
        <v>0</v>
      </c>
      <c r="AN52" s="10">
        <f>IF(OR(X52="",'4_BENCHMARK'!$C$9=""),"",ABS(X52-'4_BENCHMARK'!$C$9))</f>
        <v>0</v>
      </c>
      <c r="AO52" s="10">
        <f>IF(OR(Y52="",'4_BENCHMARK'!$C$10=""),"",ABS(Y52-'4_BENCHMARK'!$C$10))</f>
        <v>0</v>
      </c>
      <c r="AP52" s="10">
        <f>IF(OR(Z52="",'4_BENCHMARK'!$C$11=""),"",ABS(Z52-'4_BENCHMARK'!$C$11))</f>
        <v>0</v>
      </c>
      <c r="AQ52" s="13">
        <f t="shared" si="17"/>
        <v>1</v>
      </c>
      <c r="AR52" s="10"/>
      <c r="AS52" s="10" t="s">
        <v>141</v>
      </c>
      <c r="AT52" s="13">
        <f t="shared" si="18"/>
        <v>1</v>
      </c>
      <c r="AU52" s="1" t="str">
        <f t="shared" si="19"/>
        <v/>
      </c>
      <c r="AV52" s="1" t="str">
        <f t="shared" si="20"/>
        <v/>
      </c>
      <c r="AW52" s="1" t="str">
        <f t="shared" si="21"/>
        <v/>
      </c>
      <c r="AX52" s="1" t="str">
        <f t="shared" si="22"/>
        <v/>
      </c>
      <c r="AY52" s="1" t="str">
        <f t="shared" si="23"/>
        <v/>
      </c>
      <c r="AZ52" s="1" t="str">
        <f t="shared" si="24"/>
        <v/>
      </c>
      <c r="BA52" s="1" t="str">
        <f t="shared" si="25"/>
        <v/>
      </c>
      <c r="BB52" s="1" t="str">
        <f t="shared" si="26"/>
        <v/>
      </c>
      <c r="BC52" s="1">
        <f t="shared" si="27"/>
        <v>5</v>
      </c>
      <c r="BD52" s="1">
        <f t="shared" si="28"/>
        <v>5</v>
      </c>
      <c r="BE52" s="1">
        <f t="shared" si="29"/>
        <v>5</v>
      </c>
      <c r="BF52" s="1">
        <f t="shared" si="30"/>
        <v>5</v>
      </c>
      <c r="BG52" s="1">
        <f t="shared" si="31"/>
        <v>1</v>
      </c>
      <c r="BH52" s="1">
        <f t="shared" si="32"/>
        <v>1</v>
      </c>
      <c r="BI52" s="1">
        <f t="shared" si="33"/>
        <v>3</v>
      </c>
      <c r="BJ52" s="1">
        <f t="shared" si="34"/>
        <v>5</v>
      </c>
    </row>
    <row r="53" ht="14.25" customHeight="1" spans="1:62">
      <c r="A53" s="10">
        <v>49</v>
      </c>
      <c r="B53" s="36" t="s">
        <v>288</v>
      </c>
      <c r="C53" s="10">
        <v>1911</v>
      </c>
      <c r="D53" s="10">
        <f t="shared" si="0"/>
        <v>1910</v>
      </c>
      <c r="E53" s="36" t="s">
        <v>136</v>
      </c>
      <c r="F53" s="35" t="s">
        <v>289</v>
      </c>
      <c r="G53" s="36" t="s">
        <v>290</v>
      </c>
      <c r="H53" s="10" t="s">
        <v>139</v>
      </c>
      <c r="I53" s="10" t="s">
        <v>140</v>
      </c>
      <c r="J53" s="36" t="s">
        <v>291</v>
      </c>
      <c r="K53" s="10">
        <v>5</v>
      </c>
      <c r="L53" s="10">
        <v>5</v>
      </c>
      <c r="M53" s="10">
        <v>5</v>
      </c>
      <c r="N53" s="10">
        <v>5</v>
      </c>
      <c r="O53" s="10">
        <v>5</v>
      </c>
      <c r="P53" s="10">
        <v>5</v>
      </c>
      <c r="Q53" s="10">
        <v>2</v>
      </c>
      <c r="R53" s="10">
        <v>5</v>
      </c>
      <c r="S53" s="10">
        <f t="shared" si="1"/>
        <v>1</v>
      </c>
      <c r="T53" s="10">
        <f t="shared" si="2"/>
        <v>1</v>
      </c>
      <c r="U53" s="10">
        <f t="shared" si="3"/>
        <v>1</v>
      </c>
      <c r="V53" s="10">
        <f t="shared" si="4"/>
        <v>1</v>
      </c>
      <c r="W53" s="10">
        <f t="shared" si="5"/>
        <v>1</v>
      </c>
      <c r="X53" s="10">
        <f t="shared" si="6"/>
        <v>1</v>
      </c>
      <c r="Y53" s="10">
        <f t="shared" si="7"/>
        <v>0.25</v>
      </c>
      <c r="Z53" s="10">
        <f t="shared" si="8"/>
        <v>1</v>
      </c>
      <c r="AA53" s="10">
        <f t="shared" si="9"/>
        <v>1</v>
      </c>
      <c r="AB53" s="10">
        <f t="shared" si="10"/>
        <v>1</v>
      </c>
      <c r="AC53" s="10">
        <f t="shared" si="11"/>
        <v>1</v>
      </c>
      <c r="AD53" s="10">
        <f t="shared" si="12"/>
        <v>1</v>
      </c>
      <c r="AE53" s="10">
        <f t="shared" si="13"/>
        <v>1</v>
      </c>
      <c r="AF53" s="10">
        <f t="shared" si="14"/>
        <v>1</v>
      </c>
      <c r="AG53" s="10">
        <f t="shared" si="15"/>
        <v>0.25</v>
      </c>
      <c r="AH53" s="10">
        <f t="shared" si="16"/>
        <v>1</v>
      </c>
      <c r="AI53" s="10">
        <f>IF(OR(S53="",'4_BENCHMARK'!$C$4=""),"",ABS(S53-'4_BENCHMARK'!$C$4))</f>
        <v>0</v>
      </c>
      <c r="AJ53" s="10">
        <f>IF(OR(T53="",'4_BENCHMARK'!$C$5=""),"",ABS(T53-'4_BENCHMARK'!$C$5))</f>
        <v>0</v>
      </c>
      <c r="AK53" s="10">
        <f>IF(OR(U53="",'4_BENCHMARK'!$C$6=""),"",ABS(U53-'4_BENCHMARK'!$C$6))</f>
        <v>0</v>
      </c>
      <c r="AL53" s="10">
        <f>IF(OR(V53="",'4_BENCHMARK'!$C$7=""),"",ABS(V53-'4_BENCHMARK'!$C$7))</f>
        <v>0</v>
      </c>
      <c r="AM53" s="10">
        <f>IF(OR(W53="",'4_BENCHMARK'!$C$8=""),"",ABS(W53-'4_BENCHMARK'!$C$8))</f>
        <v>1</v>
      </c>
      <c r="AN53" s="10">
        <f>IF(OR(X53="",'4_BENCHMARK'!$C$9=""),"",ABS(X53-'4_BENCHMARK'!$C$9))</f>
        <v>1</v>
      </c>
      <c r="AO53" s="10">
        <f>IF(OR(Y53="",'4_BENCHMARK'!$C$10=""),"",ABS(Y53-'4_BENCHMARK'!$C$10))</f>
        <v>0.25</v>
      </c>
      <c r="AP53" s="10">
        <f>IF(OR(Z53="",'4_BENCHMARK'!$C$11=""),"",ABS(Z53-'4_BENCHMARK'!$C$11))</f>
        <v>0</v>
      </c>
      <c r="AQ53" s="13">
        <f t="shared" si="17"/>
        <v>0.71875</v>
      </c>
      <c r="AR53" s="10"/>
      <c r="AS53" s="10" t="s">
        <v>141</v>
      </c>
      <c r="AT53" s="13">
        <f t="shared" si="18"/>
        <v>0.958333333333333</v>
      </c>
      <c r="AU53" s="1">
        <f t="shared" si="19"/>
        <v>5</v>
      </c>
      <c r="AV53" s="1">
        <f t="shared" si="20"/>
        <v>5</v>
      </c>
      <c r="AW53" s="1">
        <f t="shared" si="21"/>
        <v>5</v>
      </c>
      <c r="AX53" s="1">
        <f t="shared" si="22"/>
        <v>5</v>
      </c>
      <c r="AY53" s="1">
        <f t="shared" si="23"/>
        <v>5</v>
      </c>
      <c r="AZ53" s="1">
        <f t="shared" si="24"/>
        <v>5</v>
      </c>
      <c r="BA53" s="1">
        <f t="shared" si="25"/>
        <v>2</v>
      </c>
      <c r="BB53" s="1">
        <f t="shared" si="26"/>
        <v>5</v>
      </c>
      <c r="BC53" s="1" t="str">
        <f t="shared" si="27"/>
        <v/>
      </c>
      <c r="BD53" s="1" t="str">
        <f t="shared" si="28"/>
        <v/>
      </c>
      <c r="BE53" s="1" t="str">
        <f t="shared" si="29"/>
        <v/>
      </c>
      <c r="BF53" s="1" t="str">
        <f t="shared" si="30"/>
        <v/>
      </c>
      <c r="BG53" s="1" t="str">
        <f t="shared" si="31"/>
        <v/>
      </c>
      <c r="BH53" s="1" t="str">
        <f t="shared" si="32"/>
        <v/>
      </c>
      <c r="BI53" s="1" t="str">
        <f t="shared" si="33"/>
        <v/>
      </c>
      <c r="BJ53" s="1" t="str">
        <f t="shared" si="34"/>
        <v/>
      </c>
    </row>
    <row r="54" ht="14.25" customHeight="1" spans="1:62">
      <c r="A54" s="10">
        <v>50</v>
      </c>
      <c r="B54" s="36" t="s">
        <v>292</v>
      </c>
      <c r="C54" s="10">
        <v>1925</v>
      </c>
      <c r="D54" s="10">
        <f t="shared" si="0"/>
        <v>1920</v>
      </c>
      <c r="E54" s="36" t="s">
        <v>136</v>
      </c>
      <c r="F54" s="35" t="s">
        <v>293</v>
      </c>
      <c r="G54" s="36" t="s">
        <v>294</v>
      </c>
      <c r="H54" s="10" t="s">
        <v>139</v>
      </c>
      <c r="I54" s="10" t="s">
        <v>140</v>
      </c>
      <c r="J54" s="10"/>
      <c r="K54" s="10">
        <v>5</v>
      </c>
      <c r="L54" s="10">
        <v>5</v>
      </c>
      <c r="M54" s="10">
        <v>5</v>
      </c>
      <c r="N54" s="10">
        <v>5</v>
      </c>
      <c r="O54" s="10">
        <v>5</v>
      </c>
      <c r="P54" s="10">
        <v>5</v>
      </c>
      <c r="Q54" s="10">
        <v>2</v>
      </c>
      <c r="R54" s="10">
        <v>5</v>
      </c>
      <c r="S54" s="10">
        <f t="shared" si="1"/>
        <v>1</v>
      </c>
      <c r="T54" s="10">
        <f t="shared" si="2"/>
        <v>1</v>
      </c>
      <c r="U54" s="10">
        <f t="shared" si="3"/>
        <v>1</v>
      </c>
      <c r="V54" s="10">
        <f t="shared" si="4"/>
        <v>1</v>
      </c>
      <c r="W54" s="10">
        <f t="shared" si="5"/>
        <v>1</v>
      </c>
      <c r="X54" s="10">
        <f t="shared" si="6"/>
        <v>1</v>
      </c>
      <c r="Y54" s="10">
        <f t="shared" si="7"/>
        <v>0.25</v>
      </c>
      <c r="Z54" s="10">
        <f t="shared" si="8"/>
        <v>1</v>
      </c>
      <c r="AA54" s="10">
        <f t="shared" si="9"/>
        <v>1</v>
      </c>
      <c r="AB54" s="10">
        <f t="shared" si="10"/>
        <v>1</v>
      </c>
      <c r="AC54" s="10">
        <f t="shared" si="11"/>
        <v>1</v>
      </c>
      <c r="AD54" s="10">
        <f t="shared" si="12"/>
        <v>1</v>
      </c>
      <c r="AE54" s="10">
        <f t="shared" si="13"/>
        <v>1</v>
      </c>
      <c r="AF54" s="10">
        <f t="shared" si="14"/>
        <v>1</v>
      </c>
      <c r="AG54" s="10">
        <f t="shared" si="15"/>
        <v>0.25</v>
      </c>
      <c r="AH54" s="10">
        <f t="shared" si="16"/>
        <v>1</v>
      </c>
      <c r="AI54" s="10">
        <f>IF(OR(S54="",'4_BENCHMARK'!$C$4=""),"",ABS(S54-'4_BENCHMARK'!$C$4))</f>
        <v>0</v>
      </c>
      <c r="AJ54" s="10">
        <f>IF(OR(T54="",'4_BENCHMARK'!$C$5=""),"",ABS(T54-'4_BENCHMARK'!$C$5))</f>
        <v>0</v>
      </c>
      <c r="AK54" s="10">
        <f>IF(OR(U54="",'4_BENCHMARK'!$C$6=""),"",ABS(U54-'4_BENCHMARK'!$C$6))</f>
        <v>0</v>
      </c>
      <c r="AL54" s="10">
        <f>IF(OR(V54="",'4_BENCHMARK'!$C$7=""),"",ABS(V54-'4_BENCHMARK'!$C$7))</f>
        <v>0</v>
      </c>
      <c r="AM54" s="10">
        <f>IF(OR(W54="",'4_BENCHMARK'!$C$8=""),"",ABS(W54-'4_BENCHMARK'!$C$8))</f>
        <v>1</v>
      </c>
      <c r="AN54" s="10">
        <f>IF(OR(X54="",'4_BENCHMARK'!$C$9=""),"",ABS(X54-'4_BENCHMARK'!$C$9))</f>
        <v>1</v>
      </c>
      <c r="AO54" s="10">
        <f>IF(OR(Y54="",'4_BENCHMARK'!$C$10=""),"",ABS(Y54-'4_BENCHMARK'!$C$10))</f>
        <v>0.25</v>
      </c>
      <c r="AP54" s="10">
        <f>IF(OR(Z54="",'4_BENCHMARK'!$C$11=""),"",ABS(Z54-'4_BENCHMARK'!$C$11))</f>
        <v>0</v>
      </c>
      <c r="AQ54" s="13">
        <f t="shared" si="17"/>
        <v>0.71875</v>
      </c>
      <c r="AR54" s="10"/>
      <c r="AS54" s="10" t="s">
        <v>141</v>
      </c>
      <c r="AT54" s="13">
        <f t="shared" si="18"/>
        <v>0.958333333333333</v>
      </c>
      <c r="AU54" s="1">
        <f t="shared" si="19"/>
        <v>5</v>
      </c>
      <c r="AV54" s="1">
        <f t="shared" si="20"/>
        <v>5</v>
      </c>
      <c r="AW54" s="1">
        <f t="shared" si="21"/>
        <v>5</v>
      </c>
      <c r="AX54" s="1">
        <f t="shared" si="22"/>
        <v>5</v>
      </c>
      <c r="AY54" s="1">
        <f t="shared" si="23"/>
        <v>5</v>
      </c>
      <c r="AZ54" s="1">
        <f t="shared" si="24"/>
        <v>5</v>
      </c>
      <c r="BA54" s="1">
        <f t="shared" si="25"/>
        <v>2</v>
      </c>
      <c r="BB54" s="1">
        <f t="shared" si="26"/>
        <v>5</v>
      </c>
      <c r="BC54" s="1" t="str">
        <f t="shared" si="27"/>
        <v/>
      </c>
      <c r="BD54" s="1" t="str">
        <f t="shared" si="28"/>
        <v/>
      </c>
      <c r="BE54" s="1" t="str">
        <f t="shared" si="29"/>
        <v/>
      </c>
      <c r="BF54" s="1" t="str">
        <f t="shared" si="30"/>
        <v/>
      </c>
      <c r="BG54" s="1" t="str">
        <f t="shared" si="31"/>
        <v/>
      </c>
      <c r="BH54" s="1" t="str">
        <f t="shared" si="32"/>
        <v/>
      </c>
      <c r="BI54" s="1" t="str">
        <f t="shared" si="33"/>
        <v/>
      </c>
      <c r="BJ54" s="1" t="str">
        <f t="shared" si="34"/>
        <v/>
      </c>
    </row>
    <row r="55" ht="14.25" customHeight="1" spans="1:62">
      <c r="A55" s="10">
        <v>51</v>
      </c>
      <c r="B55" s="36" t="s">
        <v>295</v>
      </c>
      <c r="C55" s="10">
        <v>2000</v>
      </c>
      <c r="D55" s="10">
        <f t="shared" si="0"/>
        <v>2000</v>
      </c>
      <c r="E55" s="36" t="s">
        <v>136</v>
      </c>
      <c r="F55" s="35" t="s">
        <v>296</v>
      </c>
      <c r="G55" s="36" t="s">
        <v>297</v>
      </c>
      <c r="H55" s="10" t="s">
        <v>140</v>
      </c>
      <c r="I55" s="10" t="s">
        <v>140</v>
      </c>
      <c r="J55" s="36" t="s">
        <v>298</v>
      </c>
      <c r="K55" s="10">
        <v>3</v>
      </c>
      <c r="L55" s="10">
        <v>4</v>
      </c>
      <c r="M55" s="10">
        <v>4</v>
      </c>
      <c r="N55" s="10">
        <v>4</v>
      </c>
      <c r="O55" s="10">
        <v>5</v>
      </c>
      <c r="P55" s="10">
        <v>4</v>
      </c>
      <c r="Q55" s="10">
        <v>1</v>
      </c>
      <c r="R55" s="10">
        <v>2</v>
      </c>
      <c r="S55" s="10">
        <f t="shared" si="1"/>
        <v>0.5</v>
      </c>
      <c r="T55" s="10">
        <f t="shared" si="2"/>
        <v>0.75</v>
      </c>
      <c r="U55" s="10">
        <f t="shared" si="3"/>
        <v>0.75</v>
      </c>
      <c r="V55" s="10">
        <f t="shared" si="4"/>
        <v>0.75</v>
      </c>
      <c r="W55" s="10">
        <f t="shared" si="5"/>
        <v>1</v>
      </c>
      <c r="X55" s="10">
        <f t="shared" si="6"/>
        <v>0.75</v>
      </c>
      <c r="Y55" s="10">
        <f t="shared" si="7"/>
        <v>0</v>
      </c>
      <c r="Z55" s="10">
        <f t="shared" si="8"/>
        <v>0.25</v>
      </c>
      <c r="AA55" s="10" t="str">
        <f t="shared" si="9"/>
        <v/>
      </c>
      <c r="AB55" s="10" t="str">
        <f t="shared" si="10"/>
        <v/>
      </c>
      <c r="AC55" s="10" t="str">
        <f t="shared" si="11"/>
        <v/>
      </c>
      <c r="AD55" s="10" t="str">
        <f t="shared" si="12"/>
        <v/>
      </c>
      <c r="AE55" s="10" t="str">
        <f t="shared" si="13"/>
        <v/>
      </c>
      <c r="AF55" s="10" t="str">
        <f t="shared" si="14"/>
        <v/>
      </c>
      <c r="AG55" s="10" t="str">
        <f t="shared" si="15"/>
        <v/>
      </c>
      <c r="AH55" s="10" t="str">
        <f t="shared" si="16"/>
        <v/>
      </c>
      <c r="AI55" s="10">
        <f>IF(OR(S55="",'4_BENCHMARK'!$C$4=""),"",ABS(S55-'4_BENCHMARK'!$C$4))</f>
        <v>0.5</v>
      </c>
      <c r="AJ55" s="10">
        <f>IF(OR(T55="",'4_BENCHMARK'!$C$5=""),"",ABS(T55-'4_BENCHMARK'!$C$5))</f>
        <v>0.25</v>
      </c>
      <c r="AK55" s="10">
        <f>IF(OR(U55="",'4_BENCHMARK'!$C$6=""),"",ABS(U55-'4_BENCHMARK'!$C$6))</f>
        <v>0.25</v>
      </c>
      <c r="AL55" s="10">
        <f>IF(OR(V55="",'4_BENCHMARK'!$C$7=""),"",ABS(V55-'4_BENCHMARK'!$C$7))</f>
        <v>0.25</v>
      </c>
      <c r="AM55" s="10">
        <f>IF(OR(W55="",'4_BENCHMARK'!$C$8=""),"",ABS(W55-'4_BENCHMARK'!$C$8))</f>
        <v>1</v>
      </c>
      <c r="AN55" s="10">
        <f>IF(OR(X55="",'4_BENCHMARK'!$C$9=""),"",ABS(X55-'4_BENCHMARK'!$C$9))</f>
        <v>0.75</v>
      </c>
      <c r="AO55" s="10">
        <f>IF(OR(Y55="",'4_BENCHMARK'!$C$10=""),"",ABS(Y55-'4_BENCHMARK'!$C$10))</f>
        <v>0.5</v>
      </c>
      <c r="AP55" s="10">
        <f>IF(OR(Z55="",'4_BENCHMARK'!$C$11=""),"",ABS(Z55-'4_BENCHMARK'!$C$11))</f>
        <v>0.75</v>
      </c>
      <c r="AQ55" s="13">
        <f t="shared" si="17"/>
        <v>0.46875</v>
      </c>
      <c r="AR55" s="10"/>
      <c r="AS55" s="10" t="s">
        <v>299</v>
      </c>
      <c r="AT55" s="13">
        <f t="shared" si="18"/>
        <v>0.583333333333333</v>
      </c>
      <c r="AU55" s="1" t="str">
        <f t="shared" si="19"/>
        <v/>
      </c>
      <c r="AV55" s="1" t="str">
        <f t="shared" si="20"/>
        <v/>
      </c>
      <c r="AW55" s="1" t="str">
        <f t="shared" si="21"/>
        <v/>
      </c>
      <c r="AX55" s="1" t="str">
        <f t="shared" si="22"/>
        <v/>
      </c>
      <c r="AY55" s="1" t="str">
        <f t="shared" si="23"/>
        <v/>
      </c>
      <c r="AZ55" s="1" t="str">
        <f t="shared" si="24"/>
        <v/>
      </c>
      <c r="BA55" s="1" t="str">
        <f t="shared" si="25"/>
        <v/>
      </c>
      <c r="BB55" s="1" t="str">
        <f t="shared" si="26"/>
        <v/>
      </c>
      <c r="BC55" s="1">
        <f t="shared" si="27"/>
        <v>3</v>
      </c>
      <c r="BD55" s="1">
        <f t="shared" si="28"/>
        <v>4</v>
      </c>
      <c r="BE55" s="1">
        <f t="shared" si="29"/>
        <v>4</v>
      </c>
      <c r="BF55" s="1">
        <f t="shared" si="30"/>
        <v>4</v>
      </c>
      <c r="BG55" s="1">
        <f t="shared" si="31"/>
        <v>5</v>
      </c>
      <c r="BH55" s="1">
        <f t="shared" si="32"/>
        <v>4</v>
      </c>
      <c r="BI55" s="1">
        <f t="shared" si="33"/>
        <v>1</v>
      </c>
      <c r="BJ55" s="1">
        <f t="shared" si="34"/>
        <v>2</v>
      </c>
    </row>
    <row r="56" ht="14.25" customHeight="1" spans="1:62">
      <c r="A56" s="10">
        <v>52</v>
      </c>
      <c r="B56" s="36" t="s">
        <v>300</v>
      </c>
      <c r="C56" s="10">
        <v>2023</v>
      </c>
      <c r="D56" s="10">
        <f t="shared" si="0"/>
        <v>2020</v>
      </c>
      <c r="E56" s="36" t="s">
        <v>136</v>
      </c>
      <c r="F56" s="35" t="s">
        <v>301</v>
      </c>
      <c r="G56" s="36" t="s">
        <v>302</v>
      </c>
      <c r="H56" s="10" t="s">
        <v>140</v>
      </c>
      <c r="I56" s="10" t="s">
        <v>140</v>
      </c>
      <c r="J56" s="10"/>
      <c r="K56" s="10">
        <v>5</v>
      </c>
      <c r="L56" s="10">
        <v>5</v>
      </c>
      <c r="M56" s="10">
        <v>5</v>
      </c>
      <c r="N56" s="10">
        <v>3</v>
      </c>
      <c r="O56" s="10">
        <v>5</v>
      </c>
      <c r="P56" s="10">
        <v>5</v>
      </c>
      <c r="Q56" s="10">
        <v>2</v>
      </c>
      <c r="R56" s="10">
        <v>5</v>
      </c>
      <c r="S56" s="10">
        <f t="shared" si="1"/>
        <v>1</v>
      </c>
      <c r="T56" s="10">
        <f t="shared" si="2"/>
        <v>1</v>
      </c>
      <c r="U56" s="10">
        <f t="shared" si="3"/>
        <v>1</v>
      </c>
      <c r="V56" s="10">
        <f t="shared" si="4"/>
        <v>0.5</v>
      </c>
      <c r="W56" s="10">
        <f t="shared" si="5"/>
        <v>1</v>
      </c>
      <c r="X56" s="10">
        <f t="shared" si="6"/>
        <v>1</v>
      </c>
      <c r="Y56" s="10">
        <f t="shared" si="7"/>
        <v>0.25</v>
      </c>
      <c r="Z56" s="10">
        <f t="shared" si="8"/>
        <v>1</v>
      </c>
      <c r="AA56" s="10" t="str">
        <f t="shared" si="9"/>
        <v/>
      </c>
      <c r="AB56" s="10" t="str">
        <f t="shared" si="10"/>
        <v/>
      </c>
      <c r="AC56" s="10" t="str">
        <f t="shared" si="11"/>
        <v/>
      </c>
      <c r="AD56" s="10" t="str">
        <f t="shared" si="12"/>
        <v/>
      </c>
      <c r="AE56" s="10" t="str">
        <f t="shared" si="13"/>
        <v/>
      </c>
      <c r="AF56" s="10" t="str">
        <f t="shared" si="14"/>
        <v/>
      </c>
      <c r="AG56" s="10" t="str">
        <f t="shared" si="15"/>
        <v/>
      </c>
      <c r="AH56" s="10" t="str">
        <f t="shared" si="16"/>
        <v/>
      </c>
      <c r="AI56" s="10">
        <f>IF(OR(S56="",'4_BENCHMARK'!$C$4=""),"",ABS(S56-'4_BENCHMARK'!$C$4))</f>
        <v>0</v>
      </c>
      <c r="AJ56" s="10">
        <f>IF(OR(T56="",'4_BENCHMARK'!$C$5=""),"",ABS(T56-'4_BENCHMARK'!$C$5))</f>
        <v>0</v>
      </c>
      <c r="AK56" s="10">
        <f>IF(OR(U56="",'4_BENCHMARK'!$C$6=""),"",ABS(U56-'4_BENCHMARK'!$C$6))</f>
        <v>0</v>
      </c>
      <c r="AL56" s="10">
        <f>IF(OR(V56="",'4_BENCHMARK'!$C$7=""),"",ABS(V56-'4_BENCHMARK'!$C$7))</f>
        <v>0.5</v>
      </c>
      <c r="AM56" s="10">
        <f>IF(OR(W56="",'4_BENCHMARK'!$C$8=""),"",ABS(W56-'4_BENCHMARK'!$C$8))</f>
        <v>1</v>
      </c>
      <c r="AN56" s="10">
        <f>IF(OR(X56="",'4_BENCHMARK'!$C$9=""),"",ABS(X56-'4_BENCHMARK'!$C$9))</f>
        <v>1</v>
      </c>
      <c r="AO56" s="10">
        <f>IF(OR(Y56="",'4_BENCHMARK'!$C$10=""),"",ABS(Y56-'4_BENCHMARK'!$C$10))</f>
        <v>0.25</v>
      </c>
      <c r="AP56" s="10">
        <f>IF(OR(Z56="",'4_BENCHMARK'!$C$11=""),"",ABS(Z56-'4_BENCHMARK'!$C$11))</f>
        <v>0</v>
      </c>
      <c r="AQ56" s="13">
        <f t="shared" si="17"/>
        <v>0.65625</v>
      </c>
      <c r="AR56" s="10"/>
      <c r="AS56" s="10" t="s">
        <v>141</v>
      </c>
      <c r="AT56" s="13">
        <f t="shared" si="18"/>
        <v>0.875</v>
      </c>
      <c r="AU56" s="1" t="str">
        <f t="shared" si="19"/>
        <v/>
      </c>
      <c r="AV56" s="1" t="str">
        <f t="shared" si="20"/>
        <v/>
      </c>
      <c r="AW56" s="1" t="str">
        <f t="shared" si="21"/>
        <v/>
      </c>
      <c r="AX56" s="1" t="str">
        <f t="shared" si="22"/>
        <v/>
      </c>
      <c r="AY56" s="1" t="str">
        <f t="shared" si="23"/>
        <v/>
      </c>
      <c r="AZ56" s="1" t="str">
        <f t="shared" si="24"/>
        <v/>
      </c>
      <c r="BA56" s="1" t="str">
        <f t="shared" si="25"/>
        <v/>
      </c>
      <c r="BB56" s="1" t="str">
        <f t="shared" si="26"/>
        <v/>
      </c>
      <c r="BC56" s="1">
        <f t="shared" si="27"/>
        <v>5</v>
      </c>
      <c r="BD56" s="1">
        <f t="shared" si="28"/>
        <v>5</v>
      </c>
      <c r="BE56" s="1">
        <f t="shared" si="29"/>
        <v>5</v>
      </c>
      <c r="BF56" s="1">
        <f t="shared" si="30"/>
        <v>3</v>
      </c>
      <c r="BG56" s="1">
        <f t="shared" si="31"/>
        <v>5</v>
      </c>
      <c r="BH56" s="1">
        <f t="shared" si="32"/>
        <v>5</v>
      </c>
      <c r="BI56" s="1">
        <f t="shared" si="33"/>
        <v>2</v>
      </c>
      <c r="BJ56" s="1">
        <f t="shared" si="34"/>
        <v>5</v>
      </c>
    </row>
    <row r="57" ht="14.25" customHeight="1" spans="1:62">
      <c r="A57" s="10">
        <v>53</v>
      </c>
      <c r="B57" s="36" t="s">
        <v>303</v>
      </c>
      <c r="C57" s="10">
        <v>2023</v>
      </c>
      <c r="D57" s="10">
        <f t="shared" si="0"/>
        <v>2020</v>
      </c>
      <c r="E57" s="36" t="s">
        <v>136</v>
      </c>
      <c r="F57" s="35" t="s">
        <v>304</v>
      </c>
      <c r="G57" s="36" t="s">
        <v>305</v>
      </c>
      <c r="H57" s="10" t="s">
        <v>140</v>
      </c>
      <c r="I57" s="10" t="s">
        <v>140</v>
      </c>
      <c r="J57" s="10"/>
      <c r="K57" s="10">
        <v>3</v>
      </c>
      <c r="L57" s="10">
        <v>3</v>
      </c>
      <c r="M57" s="10">
        <v>2</v>
      </c>
      <c r="N57" s="10">
        <v>5</v>
      </c>
      <c r="O57" s="10">
        <v>1</v>
      </c>
      <c r="P57" s="10">
        <v>1</v>
      </c>
      <c r="Q57" s="10">
        <v>2</v>
      </c>
      <c r="R57" s="10">
        <v>4</v>
      </c>
      <c r="S57" s="10">
        <f t="shared" si="1"/>
        <v>0.5</v>
      </c>
      <c r="T57" s="10">
        <f t="shared" si="2"/>
        <v>0.5</v>
      </c>
      <c r="U57" s="10">
        <f t="shared" si="3"/>
        <v>0.25</v>
      </c>
      <c r="V57" s="10">
        <f t="shared" si="4"/>
        <v>1</v>
      </c>
      <c r="W57" s="10">
        <f t="shared" si="5"/>
        <v>0</v>
      </c>
      <c r="X57" s="10">
        <f t="shared" si="6"/>
        <v>0</v>
      </c>
      <c r="Y57" s="10">
        <f t="shared" si="7"/>
        <v>0.25</v>
      </c>
      <c r="Z57" s="10">
        <f t="shared" si="8"/>
        <v>0.75</v>
      </c>
      <c r="AA57" s="10" t="str">
        <f t="shared" si="9"/>
        <v/>
      </c>
      <c r="AB57" s="10" t="str">
        <f t="shared" si="10"/>
        <v/>
      </c>
      <c r="AC57" s="10" t="str">
        <f t="shared" si="11"/>
        <v/>
      </c>
      <c r="AD57" s="10" t="str">
        <f t="shared" si="12"/>
        <v/>
      </c>
      <c r="AE57" s="10" t="str">
        <f t="shared" si="13"/>
        <v/>
      </c>
      <c r="AF57" s="10" t="str">
        <f t="shared" si="14"/>
        <v/>
      </c>
      <c r="AG57" s="10" t="str">
        <f t="shared" si="15"/>
        <v/>
      </c>
      <c r="AH57" s="10" t="str">
        <f t="shared" si="16"/>
        <v/>
      </c>
      <c r="AI57" s="10">
        <f>IF(OR(S57="",'4_BENCHMARK'!$C$4=""),"",ABS(S57-'4_BENCHMARK'!$C$4))</f>
        <v>0.5</v>
      </c>
      <c r="AJ57" s="10">
        <f>IF(OR(T57="",'4_BENCHMARK'!$C$5=""),"",ABS(T57-'4_BENCHMARK'!$C$5))</f>
        <v>0.5</v>
      </c>
      <c r="AK57" s="10">
        <f>IF(OR(U57="",'4_BENCHMARK'!$C$6=""),"",ABS(U57-'4_BENCHMARK'!$C$6))</f>
        <v>0.75</v>
      </c>
      <c r="AL57" s="10">
        <f>IF(OR(V57="",'4_BENCHMARK'!$C$7=""),"",ABS(V57-'4_BENCHMARK'!$C$7))</f>
        <v>0</v>
      </c>
      <c r="AM57" s="10">
        <f>IF(OR(W57="",'4_BENCHMARK'!$C$8=""),"",ABS(W57-'4_BENCHMARK'!$C$8))</f>
        <v>0</v>
      </c>
      <c r="AN57" s="10">
        <f>IF(OR(X57="",'4_BENCHMARK'!$C$9=""),"",ABS(X57-'4_BENCHMARK'!$C$9))</f>
        <v>0</v>
      </c>
      <c r="AO57" s="10">
        <f>IF(OR(Y57="",'4_BENCHMARK'!$C$10=""),"",ABS(Y57-'4_BENCHMARK'!$C$10))</f>
        <v>0.25</v>
      </c>
      <c r="AP57" s="10">
        <f>IF(OR(Z57="",'4_BENCHMARK'!$C$11=""),"",ABS(Z57-'4_BENCHMARK'!$C$11))</f>
        <v>0.25</v>
      </c>
      <c r="AQ57" s="13">
        <f t="shared" si="17"/>
        <v>0.71875</v>
      </c>
      <c r="AR57" s="10"/>
      <c r="AS57" s="10" t="s">
        <v>145</v>
      </c>
      <c r="AT57" s="13">
        <f t="shared" si="18"/>
        <v>0.625</v>
      </c>
      <c r="AU57" s="1" t="str">
        <f t="shared" si="19"/>
        <v/>
      </c>
      <c r="AV57" s="1" t="str">
        <f t="shared" si="20"/>
        <v/>
      </c>
      <c r="AW57" s="1" t="str">
        <f t="shared" si="21"/>
        <v/>
      </c>
      <c r="AX57" s="1" t="str">
        <f t="shared" si="22"/>
        <v/>
      </c>
      <c r="AY57" s="1" t="str">
        <f t="shared" si="23"/>
        <v/>
      </c>
      <c r="AZ57" s="1" t="str">
        <f t="shared" si="24"/>
        <v/>
      </c>
      <c r="BA57" s="1" t="str">
        <f t="shared" si="25"/>
        <v/>
      </c>
      <c r="BB57" s="1" t="str">
        <f t="shared" si="26"/>
        <v/>
      </c>
      <c r="BC57" s="1">
        <f t="shared" si="27"/>
        <v>3</v>
      </c>
      <c r="BD57" s="1">
        <f t="shared" si="28"/>
        <v>3</v>
      </c>
      <c r="BE57" s="1">
        <f t="shared" si="29"/>
        <v>2</v>
      </c>
      <c r="BF57" s="1">
        <f t="shared" si="30"/>
        <v>5</v>
      </c>
      <c r="BG57" s="1">
        <f t="shared" si="31"/>
        <v>1</v>
      </c>
      <c r="BH57" s="1">
        <f t="shared" si="32"/>
        <v>1</v>
      </c>
      <c r="BI57" s="1">
        <f t="shared" si="33"/>
        <v>2</v>
      </c>
      <c r="BJ57" s="1">
        <f t="shared" si="34"/>
        <v>4</v>
      </c>
    </row>
    <row r="58" ht="14.25" customHeight="1" spans="1:62">
      <c r="A58" s="10">
        <v>54</v>
      </c>
      <c r="B58" s="36" t="s">
        <v>306</v>
      </c>
      <c r="C58" s="10">
        <v>1910</v>
      </c>
      <c r="D58" s="10">
        <f t="shared" si="0"/>
        <v>1910</v>
      </c>
      <c r="E58" s="36" t="s">
        <v>136</v>
      </c>
      <c r="F58" s="35" t="s">
        <v>307</v>
      </c>
      <c r="G58" s="36" t="s">
        <v>308</v>
      </c>
      <c r="H58" s="10" t="s">
        <v>140</v>
      </c>
      <c r="I58" s="10" t="s">
        <v>140</v>
      </c>
      <c r="J58" s="36" t="s">
        <v>252</v>
      </c>
      <c r="K58" s="10">
        <v>5</v>
      </c>
      <c r="L58" s="10">
        <v>5</v>
      </c>
      <c r="M58" s="10">
        <v>5</v>
      </c>
      <c r="N58" s="10">
        <v>5</v>
      </c>
      <c r="O58" s="10">
        <v>5</v>
      </c>
      <c r="P58" s="10">
        <v>5</v>
      </c>
      <c r="Q58" s="10">
        <v>3</v>
      </c>
      <c r="R58" s="10">
        <v>5</v>
      </c>
      <c r="S58" s="10">
        <f t="shared" si="1"/>
        <v>1</v>
      </c>
      <c r="T58" s="10">
        <f t="shared" si="2"/>
        <v>1</v>
      </c>
      <c r="U58" s="10">
        <f t="shared" si="3"/>
        <v>1</v>
      </c>
      <c r="V58" s="10">
        <f t="shared" si="4"/>
        <v>1</v>
      </c>
      <c r="W58" s="10">
        <f t="shared" si="5"/>
        <v>1</v>
      </c>
      <c r="X58" s="10">
        <f t="shared" si="6"/>
        <v>1</v>
      </c>
      <c r="Y58" s="10">
        <f t="shared" si="7"/>
        <v>0.5</v>
      </c>
      <c r="Z58" s="10">
        <f t="shared" si="8"/>
        <v>1</v>
      </c>
      <c r="AA58" s="10">
        <f t="shared" si="9"/>
        <v>1</v>
      </c>
      <c r="AB58" s="10">
        <f t="shared" si="10"/>
        <v>1</v>
      </c>
      <c r="AC58" s="10">
        <f t="shared" si="11"/>
        <v>1</v>
      </c>
      <c r="AD58" s="10">
        <f t="shared" si="12"/>
        <v>1</v>
      </c>
      <c r="AE58" s="10">
        <f t="shared" si="13"/>
        <v>1</v>
      </c>
      <c r="AF58" s="10">
        <f t="shared" si="14"/>
        <v>1</v>
      </c>
      <c r="AG58" s="10">
        <f t="shared" si="15"/>
        <v>0.5</v>
      </c>
      <c r="AH58" s="10">
        <f t="shared" si="16"/>
        <v>1</v>
      </c>
      <c r="AI58" s="10">
        <f>IF(OR(S58="",'4_BENCHMARK'!$C$4=""),"",ABS(S58-'4_BENCHMARK'!$C$4))</f>
        <v>0</v>
      </c>
      <c r="AJ58" s="10">
        <f>IF(OR(T58="",'4_BENCHMARK'!$C$5=""),"",ABS(T58-'4_BENCHMARK'!$C$5))</f>
        <v>0</v>
      </c>
      <c r="AK58" s="10">
        <f>IF(OR(U58="",'4_BENCHMARK'!$C$6=""),"",ABS(U58-'4_BENCHMARK'!$C$6))</f>
        <v>0</v>
      </c>
      <c r="AL58" s="10">
        <f>IF(OR(V58="",'4_BENCHMARK'!$C$7=""),"",ABS(V58-'4_BENCHMARK'!$C$7))</f>
        <v>0</v>
      </c>
      <c r="AM58" s="10">
        <f>IF(OR(W58="",'4_BENCHMARK'!$C$8=""),"",ABS(W58-'4_BENCHMARK'!$C$8))</f>
        <v>1</v>
      </c>
      <c r="AN58" s="10">
        <f>IF(OR(X58="",'4_BENCHMARK'!$C$9=""),"",ABS(X58-'4_BENCHMARK'!$C$9))</f>
        <v>1</v>
      </c>
      <c r="AO58" s="10">
        <f>IF(OR(Y58="",'4_BENCHMARK'!$C$10=""),"",ABS(Y58-'4_BENCHMARK'!$C$10))</f>
        <v>0</v>
      </c>
      <c r="AP58" s="10">
        <f>IF(OR(Z58="",'4_BENCHMARK'!$C$11=""),"",ABS(Z58-'4_BENCHMARK'!$C$11))</f>
        <v>0</v>
      </c>
      <c r="AQ58" s="13">
        <f t="shared" si="17"/>
        <v>0.75</v>
      </c>
      <c r="AR58" s="10" t="s">
        <v>140</v>
      </c>
      <c r="AS58" s="10" t="s">
        <v>141</v>
      </c>
      <c r="AT58" s="13">
        <f t="shared" si="18"/>
        <v>1</v>
      </c>
      <c r="AU58" s="1">
        <f t="shared" si="19"/>
        <v>5</v>
      </c>
      <c r="AV58" s="1">
        <f t="shared" si="20"/>
        <v>5</v>
      </c>
      <c r="AW58" s="1">
        <f t="shared" si="21"/>
        <v>5</v>
      </c>
      <c r="AX58" s="1">
        <f t="shared" si="22"/>
        <v>5</v>
      </c>
      <c r="AY58" s="1">
        <f t="shared" si="23"/>
        <v>5</v>
      </c>
      <c r="AZ58" s="1">
        <f t="shared" si="24"/>
        <v>5</v>
      </c>
      <c r="BA58" s="1">
        <f t="shared" si="25"/>
        <v>3</v>
      </c>
      <c r="BB58" s="1">
        <f t="shared" si="26"/>
        <v>5</v>
      </c>
      <c r="BC58" s="1" t="str">
        <f t="shared" si="27"/>
        <v/>
      </c>
      <c r="BD58" s="1" t="str">
        <f t="shared" si="28"/>
        <v/>
      </c>
      <c r="BE58" s="1" t="str">
        <f t="shared" si="29"/>
        <v/>
      </c>
      <c r="BF58" s="1" t="str">
        <f t="shared" si="30"/>
        <v/>
      </c>
      <c r="BG58" s="1" t="str">
        <f t="shared" si="31"/>
        <v/>
      </c>
      <c r="BH58" s="1" t="str">
        <f t="shared" si="32"/>
        <v/>
      </c>
      <c r="BI58" s="1" t="str">
        <f t="shared" si="33"/>
        <v/>
      </c>
      <c r="BJ58" s="1" t="str">
        <f t="shared" si="34"/>
        <v/>
      </c>
    </row>
    <row r="59" ht="14.25" customHeight="1" spans="1:62">
      <c r="A59" s="10">
        <v>55</v>
      </c>
      <c r="B59" s="36" t="s">
        <v>309</v>
      </c>
      <c r="C59" s="10">
        <v>2017</v>
      </c>
      <c r="D59" s="10">
        <f t="shared" si="0"/>
        <v>2010</v>
      </c>
      <c r="E59" s="36" t="s">
        <v>136</v>
      </c>
      <c r="F59" s="35" t="s">
        <v>310</v>
      </c>
      <c r="G59" s="36" t="s">
        <v>311</v>
      </c>
      <c r="H59" s="10" t="s">
        <v>140</v>
      </c>
      <c r="I59" s="10" t="s">
        <v>140</v>
      </c>
      <c r="J59" s="10"/>
      <c r="K59" s="10">
        <v>3</v>
      </c>
      <c r="L59" s="10">
        <v>3</v>
      </c>
      <c r="M59" s="10">
        <v>3</v>
      </c>
      <c r="N59" s="10">
        <v>4</v>
      </c>
      <c r="O59" s="10">
        <v>2</v>
      </c>
      <c r="P59" s="10">
        <v>1</v>
      </c>
      <c r="Q59" s="10">
        <v>2</v>
      </c>
      <c r="R59" s="10">
        <v>4</v>
      </c>
      <c r="S59" s="10">
        <f t="shared" si="1"/>
        <v>0.5</v>
      </c>
      <c r="T59" s="10">
        <f t="shared" si="2"/>
        <v>0.5</v>
      </c>
      <c r="U59" s="10">
        <f t="shared" si="3"/>
        <v>0.5</v>
      </c>
      <c r="V59" s="10">
        <f t="shared" si="4"/>
        <v>0.75</v>
      </c>
      <c r="W59" s="10">
        <f t="shared" si="5"/>
        <v>0.25</v>
      </c>
      <c r="X59" s="10">
        <f t="shared" si="6"/>
        <v>0</v>
      </c>
      <c r="Y59" s="10">
        <f t="shared" si="7"/>
        <v>0.25</v>
      </c>
      <c r="Z59" s="10">
        <f t="shared" si="8"/>
        <v>0.75</v>
      </c>
      <c r="AA59" s="10" t="str">
        <f t="shared" si="9"/>
        <v/>
      </c>
      <c r="AB59" s="10" t="str">
        <f t="shared" si="10"/>
        <v/>
      </c>
      <c r="AC59" s="10" t="str">
        <f t="shared" si="11"/>
        <v/>
      </c>
      <c r="AD59" s="10" t="str">
        <f t="shared" si="12"/>
        <v/>
      </c>
      <c r="AE59" s="10" t="str">
        <f t="shared" si="13"/>
        <v/>
      </c>
      <c r="AF59" s="10" t="str">
        <f t="shared" si="14"/>
        <v/>
      </c>
      <c r="AG59" s="10" t="str">
        <f t="shared" si="15"/>
        <v/>
      </c>
      <c r="AH59" s="10" t="str">
        <f t="shared" si="16"/>
        <v/>
      </c>
      <c r="AI59" s="10">
        <f>IF(OR(S59="",'4_BENCHMARK'!$C$4=""),"",ABS(S59-'4_BENCHMARK'!$C$4))</f>
        <v>0.5</v>
      </c>
      <c r="AJ59" s="10">
        <f>IF(OR(T59="",'4_BENCHMARK'!$C$5=""),"",ABS(T59-'4_BENCHMARK'!$C$5))</f>
        <v>0.5</v>
      </c>
      <c r="AK59" s="10">
        <f>IF(OR(U59="",'4_BENCHMARK'!$C$6=""),"",ABS(U59-'4_BENCHMARK'!$C$6))</f>
        <v>0.5</v>
      </c>
      <c r="AL59" s="10">
        <f>IF(OR(V59="",'4_BENCHMARK'!$C$7=""),"",ABS(V59-'4_BENCHMARK'!$C$7))</f>
        <v>0.25</v>
      </c>
      <c r="AM59" s="10">
        <f>IF(OR(W59="",'4_BENCHMARK'!$C$8=""),"",ABS(W59-'4_BENCHMARK'!$C$8))</f>
        <v>0.25</v>
      </c>
      <c r="AN59" s="10">
        <f>IF(OR(X59="",'4_BENCHMARK'!$C$9=""),"",ABS(X59-'4_BENCHMARK'!$C$9))</f>
        <v>0</v>
      </c>
      <c r="AO59" s="10">
        <f>IF(OR(Y59="",'4_BENCHMARK'!$C$10=""),"",ABS(Y59-'4_BENCHMARK'!$C$10))</f>
        <v>0.25</v>
      </c>
      <c r="AP59" s="10">
        <f>IF(OR(Z59="",'4_BENCHMARK'!$C$11=""),"",ABS(Z59-'4_BENCHMARK'!$C$11))</f>
        <v>0.25</v>
      </c>
      <c r="AQ59" s="13">
        <f t="shared" si="17"/>
        <v>0.6875</v>
      </c>
      <c r="AR59" s="10"/>
      <c r="AS59" s="10" t="s">
        <v>145</v>
      </c>
      <c r="AT59" s="13">
        <f t="shared" si="18"/>
        <v>0.625</v>
      </c>
      <c r="AU59" s="1" t="str">
        <f t="shared" si="19"/>
        <v/>
      </c>
      <c r="AV59" s="1" t="str">
        <f t="shared" si="20"/>
        <v/>
      </c>
      <c r="AW59" s="1" t="str">
        <f t="shared" si="21"/>
        <v/>
      </c>
      <c r="AX59" s="1" t="str">
        <f t="shared" si="22"/>
        <v/>
      </c>
      <c r="AY59" s="1" t="str">
        <f t="shared" si="23"/>
        <v/>
      </c>
      <c r="AZ59" s="1" t="str">
        <f t="shared" si="24"/>
        <v/>
      </c>
      <c r="BA59" s="1" t="str">
        <f t="shared" si="25"/>
        <v/>
      </c>
      <c r="BB59" s="1" t="str">
        <f t="shared" si="26"/>
        <v/>
      </c>
      <c r="BC59" s="1">
        <f t="shared" si="27"/>
        <v>3</v>
      </c>
      <c r="BD59" s="1">
        <f t="shared" si="28"/>
        <v>3</v>
      </c>
      <c r="BE59" s="1">
        <f t="shared" si="29"/>
        <v>3</v>
      </c>
      <c r="BF59" s="1">
        <f t="shared" si="30"/>
        <v>4</v>
      </c>
      <c r="BG59" s="1">
        <f t="shared" si="31"/>
        <v>2</v>
      </c>
      <c r="BH59" s="1">
        <f t="shared" si="32"/>
        <v>1</v>
      </c>
      <c r="BI59" s="1">
        <f t="shared" si="33"/>
        <v>2</v>
      </c>
      <c r="BJ59" s="1">
        <f t="shared" si="34"/>
        <v>4</v>
      </c>
    </row>
    <row r="60" ht="14.25" customHeight="1" spans="1:62">
      <c r="A60" s="10">
        <v>56</v>
      </c>
      <c r="B60" s="36" t="s">
        <v>312</v>
      </c>
      <c r="C60" s="10">
        <v>1920</v>
      </c>
      <c r="D60" s="10">
        <f t="shared" si="0"/>
        <v>1920</v>
      </c>
      <c r="E60" s="36" t="s">
        <v>136</v>
      </c>
      <c r="F60" s="35" t="s">
        <v>313</v>
      </c>
      <c r="G60" s="36" t="s">
        <v>314</v>
      </c>
      <c r="H60" s="10" t="s">
        <v>139</v>
      </c>
      <c r="I60" s="10" t="s">
        <v>140</v>
      </c>
      <c r="J60" s="36" t="s">
        <v>315</v>
      </c>
      <c r="K60" s="10">
        <v>5</v>
      </c>
      <c r="L60" s="10">
        <v>5</v>
      </c>
      <c r="M60" s="10">
        <v>5</v>
      </c>
      <c r="N60" s="10">
        <v>4</v>
      </c>
      <c r="O60" s="10">
        <v>5</v>
      </c>
      <c r="P60" s="10">
        <v>5</v>
      </c>
      <c r="Q60" s="10">
        <v>3</v>
      </c>
      <c r="R60" s="10">
        <v>5</v>
      </c>
      <c r="S60" s="10">
        <f t="shared" si="1"/>
        <v>1</v>
      </c>
      <c r="T60" s="10">
        <f t="shared" si="2"/>
        <v>1</v>
      </c>
      <c r="U60" s="10">
        <f t="shared" si="3"/>
        <v>1</v>
      </c>
      <c r="V60" s="10">
        <f t="shared" si="4"/>
        <v>0.75</v>
      </c>
      <c r="W60" s="10">
        <f t="shared" si="5"/>
        <v>1</v>
      </c>
      <c r="X60" s="10">
        <f t="shared" si="6"/>
        <v>1</v>
      </c>
      <c r="Y60" s="10">
        <f t="shared" si="7"/>
        <v>0.5</v>
      </c>
      <c r="Z60" s="10">
        <f t="shared" si="8"/>
        <v>1</v>
      </c>
      <c r="AA60" s="10">
        <f t="shared" si="9"/>
        <v>1</v>
      </c>
      <c r="AB60" s="10">
        <f t="shared" si="10"/>
        <v>1</v>
      </c>
      <c r="AC60" s="10">
        <f t="shared" si="11"/>
        <v>1</v>
      </c>
      <c r="AD60" s="10">
        <f t="shared" si="12"/>
        <v>0.75</v>
      </c>
      <c r="AE60" s="10">
        <f t="shared" si="13"/>
        <v>1</v>
      </c>
      <c r="AF60" s="10">
        <f t="shared" si="14"/>
        <v>1</v>
      </c>
      <c r="AG60" s="10">
        <f t="shared" si="15"/>
        <v>0.5</v>
      </c>
      <c r="AH60" s="10">
        <f t="shared" si="16"/>
        <v>1</v>
      </c>
      <c r="AI60" s="10">
        <f>IF(OR(S60="",'4_BENCHMARK'!$C$4=""),"",ABS(S60-'4_BENCHMARK'!$C$4))</f>
        <v>0</v>
      </c>
      <c r="AJ60" s="10">
        <f>IF(OR(T60="",'4_BENCHMARK'!$C$5=""),"",ABS(T60-'4_BENCHMARK'!$C$5))</f>
        <v>0</v>
      </c>
      <c r="AK60" s="10">
        <f>IF(OR(U60="",'4_BENCHMARK'!$C$6=""),"",ABS(U60-'4_BENCHMARK'!$C$6))</f>
        <v>0</v>
      </c>
      <c r="AL60" s="10">
        <f>IF(OR(V60="",'4_BENCHMARK'!$C$7=""),"",ABS(V60-'4_BENCHMARK'!$C$7))</f>
        <v>0.25</v>
      </c>
      <c r="AM60" s="10">
        <f>IF(OR(W60="",'4_BENCHMARK'!$C$8=""),"",ABS(W60-'4_BENCHMARK'!$C$8))</f>
        <v>1</v>
      </c>
      <c r="AN60" s="10">
        <f>IF(OR(X60="",'4_BENCHMARK'!$C$9=""),"",ABS(X60-'4_BENCHMARK'!$C$9))</f>
        <v>1</v>
      </c>
      <c r="AO60" s="10">
        <f>IF(OR(Y60="",'4_BENCHMARK'!$C$10=""),"",ABS(Y60-'4_BENCHMARK'!$C$10))</f>
        <v>0</v>
      </c>
      <c r="AP60" s="10">
        <f>IF(OR(Z60="",'4_BENCHMARK'!$C$11=""),"",ABS(Z60-'4_BENCHMARK'!$C$11))</f>
        <v>0</v>
      </c>
      <c r="AQ60" s="13">
        <f t="shared" si="17"/>
        <v>0.71875</v>
      </c>
      <c r="AR60" s="10"/>
      <c r="AS60" s="10" t="s">
        <v>141</v>
      </c>
      <c r="AT60" s="13">
        <f t="shared" si="18"/>
        <v>0.958333333333333</v>
      </c>
      <c r="AU60" s="1">
        <f t="shared" si="19"/>
        <v>5</v>
      </c>
      <c r="AV60" s="1">
        <f t="shared" si="20"/>
        <v>5</v>
      </c>
      <c r="AW60" s="1">
        <f t="shared" si="21"/>
        <v>5</v>
      </c>
      <c r="AX60" s="1">
        <f t="shared" si="22"/>
        <v>4</v>
      </c>
      <c r="AY60" s="1">
        <f t="shared" si="23"/>
        <v>5</v>
      </c>
      <c r="AZ60" s="1">
        <f t="shared" si="24"/>
        <v>5</v>
      </c>
      <c r="BA60" s="1">
        <f t="shared" si="25"/>
        <v>3</v>
      </c>
      <c r="BB60" s="1">
        <f t="shared" si="26"/>
        <v>5</v>
      </c>
      <c r="BC60" s="1" t="str">
        <f t="shared" si="27"/>
        <v/>
      </c>
      <c r="BD60" s="1" t="str">
        <f t="shared" si="28"/>
        <v/>
      </c>
      <c r="BE60" s="1" t="str">
        <f t="shared" si="29"/>
        <v/>
      </c>
      <c r="BF60" s="1" t="str">
        <f t="shared" si="30"/>
        <v/>
      </c>
      <c r="BG60" s="1" t="str">
        <f t="shared" si="31"/>
        <v/>
      </c>
      <c r="BH60" s="1" t="str">
        <f t="shared" si="32"/>
        <v/>
      </c>
      <c r="BI60" s="1" t="str">
        <f t="shared" si="33"/>
        <v/>
      </c>
      <c r="BJ60" s="1" t="str">
        <f t="shared" si="34"/>
        <v/>
      </c>
    </row>
    <row r="61" ht="14.25" customHeight="1" spans="1:62">
      <c r="A61" s="10">
        <v>57</v>
      </c>
      <c r="B61" s="36" t="s">
        <v>316</v>
      </c>
      <c r="C61" s="10">
        <v>2024</v>
      </c>
      <c r="D61" s="10">
        <f t="shared" si="0"/>
        <v>2020</v>
      </c>
      <c r="E61" s="36" t="s">
        <v>136</v>
      </c>
      <c r="F61" s="35" t="s">
        <v>317</v>
      </c>
      <c r="G61" s="36" t="s">
        <v>318</v>
      </c>
      <c r="H61" s="10" t="s">
        <v>140</v>
      </c>
      <c r="I61" s="10" t="s">
        <v>140</v>
      </c>
      <c r="J61" s="36" t="s">
        <v>319</v>
      </c>
      <c r="K61" s="10">
        <v>3</v>
      </c>
      <c r="L61" s="10">
        <v>3</v>
      </c>
      <c r="M61" s="10">
        <v>2</v>
      </c>
      <c r="N61" s="10">
        <v>5</v>
      </c>
      <c r="O61" s="10">
        <v>1</v>
      </c>
      <c r="P61" s="10">
        <v>1</v>
      </c>
      <c r="Q61" s="10">
        <v>2</v>
      </c>
      <c r="R61" s="10">
        <v>4</v>
      </c>
      <c r="S61" s="10">
        <f t="shared" si="1"/>
        <v>0.5</v>
      </c>
      <c r="T61" s="10">
        <f t="shared" si="2"/>
        <v>0.5</v>
      </c>
      <c r="U61" s="10">
        <f t="shared" si="3"/>
        <v>0.25</v>
      </c>
      <c r="V61" s="10">
        <f t="shared" si="4"/>
        <v>1</v>
      </c>
      <c r="W61" s="10">
        <f t="shared" si="5"/>
        <v>0</v>
      </c>
      <c r="X61" s="10">
        <f t="shared" si="6"/>
        <v>0</v>
      </c>
      <c r="Y61" s="10">
        <f t="shared" si="7"/>
        <v>0.25</v>
      </c>
      <c r="Z61" s="10">
        <f t="shared" si="8"/>
        <v>0.75</v>
      </c>
      <c r="AA61" s="10" t="str">
        <f t="shared" si="9"/>
        <v/>
      </c>
      <c r="AB61" s="10" t="str">
        <f t="shared" si="10"/>
        <v/>
      </c>
      <c r="AC61" s="10" t="str">
        <f t="shared" si="11"/>
        <v/>
      </c>
      <c r="AD61" s="10" t="str">
        <f t="shared" si="12"/>
        <v/>
      </c>
      <c r="AE61" s="10" t="str">
        <f t="shared" si="13"/>
        <v/>
      </c>
      <c r="AF61" s="10" t="str">
        <f t="shared" si="14"/>
        <v/>
      </c>
      <c r="AG61" s="10" t="str">
        <f t="shared" si="15"/>
        <v/>
      </c>
      <c r="AH61" s="10" t="str">
        <f t="shared" si="16"/>
        <v/>
      </c>
      <c r="AI61" s="10">
        <f>IF(OR(S61="",'4_BENCHMARK'!$C$4=""),"",ABS(S61-'4_BENCHMARK'!$C$4))</f>
        <v>0.5</v>
      </c>
      <c r="AJ61" s="10">
        <f>IF(OR(T61="",'4_BENCHMARK'!$C$5=""),"",ABS(T61-'4_BENCHMARK'!$C$5))</f>
        <v>0.5</v>
      </c>
      <c r="AK61" s="10">
        <f>IF(OR(U61="",'4_BENCHMARK'!$C$6=""),"",ABS(U61-'4_BENCHMARK'!$C$6))</f>
        <v>0.75</v>
      </c>
      <c r="AL61" s="10">
        <f>IF(OR(V61="",'4_BENCHMARK'!$C$7=""),"",ABS(V61-'4_BENCHMARK'!$C$7))</f>
        <v>0</v>
      </c>
      <c r="AM61" s="10">
        <f>IF(OR(W61="",'4_BENCHMARK'!$C$8=""),"",ABS(W61-'4_BENCHMARK'!$C$8))</f>
        <v>0</v>
      </c>
      <c r="AN61" s="10">
        <f>IF(OR(X61="",'4_BENCHMARK'!$C$9=""),"",ABS(X61-'4_BENCHMARK'!$C$9))</f>
        <v>0</v>
      </c>
      <c r="AO61" s="10">
        <f>IF(OR(Y61="",'4_BENCHMARK'!$C$10=""),"",ABS(Y61-'4_BENCHMARK'!$C$10))</f>
        <v>0.25</v>
      </c>
      <c r="AP61" s="10">
        <f>IF(OR(Z61="",'4_BENCHMARK'!$C$11=""),"",ABS(Z61-'4_BENCHMARK'!$C$11))</f>
        <v>0.25</v>
      </c>
      <c r="AQ61" s="13">
        <f t="shared" si="17"/>
        <v>0.71875</v>
      </c>
      <c r="AR61" s="10"/>
      <c r="AS61" s="10" t="s">
        <v>145</v>
      </c>
      <c r="AT61" s="13">
        <f t="shared" si="18"/>
        <v>0.625</v>
      </c>
      <c r="AU61" s="1" t="str">
        <f t="shared" si="19"/>
        <v/>
      </c>
      <c r="AV61" s="1" t="str">
        <f t="shared" si="20"/>
        <v/>
      </c>
      <c r="AW61" s="1" t="str">
        <f t="shared" si="21"/>
        <v/>
      </c>
      <c r="AX61" s="1" t="str">
        <f t="shared" si="22"/>
        <v/>
      </c>
      <c r="AY61" s="1" t="str">
        <f t="shared" si="23"/>
        <v/>
      </c>
      <c r="AZ61" s="1" t="str">
        <f t="shared" si="24"/>
        <v/>
      </c>
      <c r="BA61" s="1" t="str">
        <f t="shared" si="25"/>
        <v/>
      </c>
      <c r="BB61" s="1" t="str">
        <f t="shared" si="26"/>
        <v/>
      </c>
      <c r="BC61" s="1">
        <f t="shared" si="27"/>
        <v>3</v>
      </c>
      <c r="BD61" s="1">
        <f t="shared" si="28"/>
        <v>3</v>
      </c>
      <c r="BE61" s="1">
        <f t="shared" si="29"/>
        <v>2</v>
      </c>
      <c r="BF61" s="1">
        <f t="shared" si="30"/>
        <v>5</v>
      </c>
      <c r="BG61" s="1">
        <f t="shared" si="31"/>
        <v>1</v>
      </c>
      <c r="BH61" s="1">
        <f t="shared" si="32"/>
        <v>1</v>
      </c>
      <c r="BI61" s="1">
        <f t="shared" si="33"/>
        <v>2</v>
      </c>
      <c r="BJ61" s="1">
        <f t="shared" si="34"/>
        <v>4</v>
      </c>
    </row>
    <row r="62" ht="14.25" customHeight="1" spans="1:62">
      <c r="A62" s="10">
        <v>58</v>
      </c>
      <c r="B62" s="36" t="s">
        <v>292</v>
      </c>
      <c r="C62" s="10">
        <v>1930</v>
      </c>
      <c r="D62" s="10">
        <f t="shared" si="0"/>
        <v>1930</v>
      </c>
      <c r="E62" s="36" t="s">
        <v>136</v>
      </c>
      <c r="F62" s="35" t="s">
        <v>320</v>
      </c>
      <c r="G62" s="36" t="s">
        <v>321</v>
      </c>
      <c r="H62" s="10" t="s">
        <v>139</v>
      </c>
      <c r="I62" s="10" t="s">
        <v>140</v>
      </c>
      <c r="J62" s="10"/>
      <c r="K62" s="10">
        <v>5</v>
      </c>
      <c r="L62" s="10">
        <v>5</v>
      </c>
      <c r="M62" s="10">
        <v>5</v>
      </c>
      <c r="N62" s="10">
        <v>5</v>
      </c>
      <c r="O62" s="10">
        <v>5</v>
      </c>
      <c r="P62" s="10">
        <v>5</v>
      </c>
      <c r="Q62" s="10">
        <v>2</v>
      </c>
      <c r="R62" s="10">
        <v>5</v>
      </c>
      <c r="S62" s="10">
        <f t="shared" si="1"/>
        <v>1</v>
      </c>
      <c r="T62" s="10">
        <f t="shared" si="2"/>
        <v>1</v>
      </c>
      <c r="U62" s="10">
        <f t="shared" si="3"/>
        <v>1</v>
      </c>
      <c r="V62" s="10">
        <f t="shared" si="4"/>
        <v>1</v>
      </c>
      <c r="W62" s="10">
        <f t="shared" si="5"/>
        <v>1</v>
      </c>
      <c r="X62" s="10">
        <f t="shared" si="6"/>
        <v>1</v>
      </c>
      <c r="Y62" s="10">
        <f t="shared" si="7"/>
        <v>0.25</v>
      </c>
      <c r="Z62" s="10">
        <f t="shared" si="8"/>
        <v>1</v>
      </c>
      <c r="AA62" s="10">
        <f t="shared" si="9"/>
        <v>1</v>
      </c>
      <c r="AB62" s="10">
        <f t="shared" si="10"/>
        <v>1</v>
      </c>
      <c r="AC62" s="10">
        <f t="shared" si="11"/>
        <v>1</v>
      </c>
      <c r="AD62" s="10">
        <f t="shared" si="12"/>
        <v>1</v>
      </c>
      <c r="AE62" s="10">
        <f t="shared" si="13"/>
        <v>1</v>
      </c>
      <c r="AF62" s="10">
        <f t="shared" si="14"/>
        <v>1</v>
      </c>
      <c r="AG62" s="10">
        <f t="shared" si="15"/>
        <v>0.25</v>
      </c>
      <c r="AH62" s="10">
        <f t="shared" si="16"/>
        <v>1</v>
      </c>
      <c r="AI62" s="10">
        <f>IF(OR(S62="",'4_BENCHMARK'!$C$4=""),"",ABS(S62-'4_BENCHMARK'!$C$4))</f>
        <v>0</v>
      </c>
      <c r="AJ62" s="10">
        <f>IF(OR(T62="",'4_BENCHMARK'!$C$5=""),"",ABS(T62-'4_BENCHMARK'!$C$5))</f>
        <v>0</v>
      </c>
      <c r="AK62" s="10">
        <f>IF(OR(U62="",'4_BENCHMARK'!$C$6=""),"",ABS(U62-'4_BENCHMARK'!$C$6))</f>
        <v>0</v>
      </c>
      <c r="AL62" s="10">
        <f>IF(OR(V62="",'4_BENCHMARK'!$C$7=""),"",ABS(V62-'4_BENCHMARK'!$C$7))</f>
        <v>0</v>
      </c>
      <c r="AM62" s="10">
        <f>IF(OR(W62="",'4_BENCHMARK'!$C$8=""),"",ABS(W62-'4_BENCHMARK'!$C$8))</f>
        <v>1</v>
      </c>
      <c r="AN62" s="10">
        <f>IF(OR(X62="",'4_BENCHMARK'!$C$9=""),"",ABS(X62-'4_BENCHMARK'!$C$9))</f>
        <v>1</v>
      </c>
      <c r="AO62" s="10">
        <f>IF(OR(Y62="",'4_BENCHMARK'!$C$10=""),"",ABS(Y62-'4_BENCHMARK'!$C$10))</f>
        <v>0.25</v>
      </c>
      <c r="AP62" s="10">
        <f>IF(OR(Z62="",'4_BENCHMARK'!$C$11=""),"",ABS(Z62-'4_BENCHMARK'!$C$11))</f>
        <v>0</v>
      </c>
      <c r="AQ62" s="13">
        <f t="shared" si="17"/>
        <v>0.71875</v>
      </c>
      <c r="AR62" s="10"/>
      <c r="AS62" s="10" t="s">
        <v>141</v>
      </c>
      <c r="AT62" s="13">
        <f t="shared" si="18"/>
        <v>0.958333333333333</v>
      </c>
      <c r="AU62" s="1">
        <f t="shared" si="19"/>
        <v>5</v>
      </c>
      <c r="AV62" s="1">
        <f t="shared" si="20"/>
        <v>5</v>
      </c>
      <c r="AW62" s="1">
        <f t="shared" si="21"/>
        <v>5</v>
      </c>
      <c r="AX62" s="1">
        <f t="shared" si="22"/>
        <v>5</v>
      </c>
      <c r="AY62" s="1">
        <f t="shared" si="23"/>
        <v>5</v>
      </c>
      <c r="AZ62" s="1">
        <f t="shared" si="24"/>
        <v>5</v>
      </c>
      <c r="BA62" s="1">
        <f t="shared" si="25"/>
        <v>2</v>
      </c>
      <c r="BB62" s="1">
        <f t="shared" si="26"/>
        <v>5</v>
      </c>
      <c r="BC62" s="1" t="str">
        <f t="shared" si="27"/>
        <v/>
      </c>
      <c r="BD62" s="1" t="str">
        <f t="shared" si="28"/>
        <v/>
      </c>
      <c r="BE62" s="1" t="str">
        <f t="shared" si="29"/>
        <v/>
      </c>
      <c r="BF62" s="1" t="str">
        <f t="shared" si="30"/>
        <v/>
      </c>
      <c r="BG62" s="1" t="str">
        <f t="shared" si="31"/>
        <v/>
      </c>
      <c r="BH62" s="1" t="str">
        <f t="shared" si="32"/>
        <v/>
      </c>
      <c r="BI62" s="1" t="str">
        <f t="shared" si="33"/>
        <v/>
      </c>
      <c r="BJ62" s="1" t="str">
        <f t="shared" si="34"/>
        <v/>
      </c>
    </row>
    <row r="63" ht="14.25" customHeight="1" spans="1:62">
      <c r="A63" s="10">
        <v>59</v>
      </c>
      <c r="B63" s="36" t="s">
        <v>322</v>
      </c>
      <c r="C63" s="10">
        <v>2020</v>
      </c>
      <c r="D63" s="10">
        <f t="shared" si="0"/>
        <v>2020</v>
      </c>
      <c r="E63" s="36" t="s">
        <v>136</v>
      </c>
      <c r="F63" s="35" t="s">
        <v>323</v>
      </c>
      <c r="G63" s="36" t="s">
        <v>324</v>
      </c>
      <c r="H63" s="10" t="s">
        <v>140</v>
      </c>
      <c r="I63" s="10" t="s">
        <v>140</v>
      </c>
      <c r="J63" s="36" t="s">
        <v>325</v>
      </c>
      <c r="K63" s="10">
        <v>3</v>
      </c>
      <c r="L63" s="10">
        <v>4</v>
      </c>
      <c r="M63" s="10">
        <v>4</v>
      </c>
      <c r="N63" s="10">
        <v>4</v>
      </c>
      <c r="O63" s="10">
        <v>1</v>
      </c>
      <c r="P63" s="10">
        <v>1</v>
      </c>
      <c r="Q63" s="10">
        <v>2</v>
      </c>
      <c r="R63" s="10">
        <v>4</v>
      </c>
      <c r="S63" s="10">
        <f t="shared" si="1"/>
        <v>0.5</v>
      </c>
      <c r="T63" s="10">
        <f t="shared" si="2"/>
        <v>0.75</v>
      </c>
      <c r="U63" s="10">
        <f t="shared" si="3"/>
        <v>0.75</v>
      </c>
      <c r="V63" s="10">
        <f t="shared" si="4"/>
        <v>0.75</v>
      </c>
      <c r="W63" s="10">
        <f t="shared" si="5"/>
        <v>0</v>
      </c>
      <c r="X63" s="10">
        <f t="shared" si="6"/>
        <v>0</v>
      </c>
      <c r="Y63" s="10">
        <f t="shared" si="7"/>
        <v>0.25</v>
      </c>
      <c r="Z63" s="10">
        <f t="shared" si="8"/>
        <v>0.75</v>
      </c>
      <c r="AA63" s="10" t="str">
        <f t="shared" si="9"/>
        <v/>
      </c>
      <c r="AB63" s="10" t="str">
        <f t="shared" si="10"/>
        <v/>
      </c>
      <c r="AC63" s="10" t="str">
        <f t="shared" si="11"/>
        <v/>
      </c>
      <c r="AD63" s="10" t="str">
        <f t="shared" si="12"/>
        <v/>
      </c>
      <c r="AE63" s="10" t="str">
        <f t="shared" si="13"/>
        <v/>
      </c>
      <c r="AF63" s="10" t="str">
        <f t="shared" si="14"/>
        <v/>
      </c>
      <c r="AG63" s="10" t="str">
        <f t="shared" si="15"/>
        <v/>
      </c>
      <c r="AH63" s="10" t="str">
        <f t="shared" si="16"/>
        <v/>
      </c>
      <c r="AI63" s="10">
        <f>IF(OR(S63="",'4_BENCHMARK'!$C$4=""),"",ABS(S63-'4_BENCHMARK'!$C$4))</f>
        <v>0.5</v>
      </c>
      <c r="AJ63" s="10">
        <f>IF(OR(T63="",'4_BENCHMARK'!$C$5=""),"",ABS(T63-'4_BENCHMARK'!$C$5))</f>
        <v>0.25</v>
      </c>
      <c r="AK63" s="10">
        <f>IF(OR(U63="",'4_BENCHMARK'!$C$6=""),"",ABS(U63-'4_BENCHMARK'!$C$6))</f>
        <v>0.25</v>
      </c>
      <c r="AL63" s="10">
        <f>IF(OR(V63="",'4_BENCHMARK'!$C$7=""),"",ABS(V63-'4_BENCHMARK'!$C$7))</f>
        <v>0.25</v>
      </c>
      <c r="AM63" s="10">
        <f>IF(OR(W63="",'4_BENCHMARK'!$C$8=""),"",ABS(W63-'4_BENCHMARK'!$C$8))</f>
        <v>0</v>
      </c>
      <c r="AN63" s="10">
        <f>IF(OR(X63="",'4_BENCHMARK'!$C$9=""),"",ABS(X63-'4_BENCHMARK'!$C$9))</f>
        <v>0</v>
      </c>
      <c r="AO63" s="10">
        <f>IF(OR(Y63="",'4_BENCHMARK'!$C$10=""),"",ABS(Y63-'4_BENCHMARK'!$C$10))</f>
        <v>0.25</v>
      </c>
      <c r="AP63" s="10">
        <f>IF(OR(Z63="",'4_BENCHMARK'!$C$11=""),"",ABS(Z63-'4_BENCHMARK'!$C$11))</f>
        <v>0.25</v>
      </c>
      <c r="AQ63" s="13">
        <f t="shared" si="17"/>
        <v>0.78125</v>
      </c>
      <c r="AR63" s="10"/>
      <c r="AS63" s="10" t="s">
        <v>145</v>
      </c>
      <c r="AT63" s="13">
        <f t="shared" si="18"/>
        <v>0.708333333333333</v>
      </c>
      <c r="AU63" s="1" t="str">
        <f t="shared" si="19"/>
        <v/>
      </c>
      <c r="AV63" s="1" t="str">
        <f t="shared" si="20"/>
        <v/>
      </c>
      <c r="AW63" s="1" t="str">
        <f t="shared" si="21"/>
        <v/>
      </c>
      <c r="AX63" s="1" t="str">
        <f t="shared" si="22"/>
        <v/>
      </c>
      <c r="AY63" s="1" t="str">
        <f t="shared" si="23"/>
        <v/>
      </c>
      <c r="AZ63" s="1" t="str">
        <f t="shared" si="24"/>
        <v/>
      </c>
      <c r="BA63" s="1" t="str">
        <f t="shared" si="25"/>
        <v/>
      </c>
      <c r="BB63" s="1" t="str">
        <f t="shared" si="26"/>
        <v/>
      </c>
      <c r="BC63" s="1">
        <f t="shared" si="27"/>
        <v>3</v>
      </c>
      <c r="BD63" s="1">
        <f t="shared" si="28"/>
        <v>4</v>
      </c>
      <c r="BE63" s="1">
        <f t="shared" si="29"/>
        <v>4</v>
      </c>
      <c r="BF63" s="1">
        <f t="shared" si="30"/>
        <v>4</v>
      </c>
      <c r="BG63" s="1">
        <f t="shared" si="31"/>
        <v>1</v>
      </c>
      <c r="BH63" s="1">
        <f t="shared" si="32"/>
        <v>1</v>
      </c>
      <c r="BI63" s="1">
        <f t="shared" si="33"/>
        <v>2</v>
      </c>
      <c r="BJ63" s="1">
        <f t="shared" si="34"/>
        <v>4</v>
      </c>
    </row>
    <row r="64" ht="14.25" customHeight="1" spans="1:62">
      <c r="A64" s="10">
        <v>60</v>
      </c>
      <c r="B64" s="36" t="s">
        <v>326</v>
      </c>
      <c r="C64" s="10">
        <v>2023</v>
      </c>
      <c r="D64" s="10">
        <f t="shared" si="0"/>
        <v>2020</v>
      </c>
      <c r="E64" s="36" t="s">
        <v>136</v>
      </c>
      <c r="F64" s="35" t="s">
        <v>327</v>
      </c>
      <c r="G64" s="36" t="s">
        <v>328</v>
      </c>
      <c r="H64" s="10" t="s">
        <v>140</v>
      </c>
      <c r="I64" s="10" t="s">
        <v>140</v>
      </c>
      <c r="J64" s="10"/>
      <c r="K64" s="10">
        <v>3</v>
      </c>
      <c r="L64" s="10">
        <v>3</v>
      </c>
      <c r="M64" s="10">
        <v>3</v>
      </c>
      <c r="N64" s="10">
        <v>4</v>
      </c>
      <c r="O64" s="10">
        <v>5</v>
      </c>
      <c r="P64" s="10">
        <v>5</v>
      </c>
      <c r="Q64" s="10">
        <v>2</v>
      </c>
      <c r="R64" s="10">
        <v>4</v>
      </c>
      <c r="S64" s="10">
        <f t="shared" si="1"/>
        <v>0.5</v>
      </c>
      <c r="T64" s="10">
        <f t="shared" si="2"/>
        <v>0.5</v>
      </c>
      <c r="U64" s="10">
        <f t="shared" si="3"/>
        <v>0.5</v>
      </c>
      <c r="V64" s="10">
        <f t="shared" si="4"/>
        <v>0.75</v>
      </c>
      <c r="W64" s="10">
        <f t="shared" si="5"/>
        <v>1</v>
      </c>
      <c r="X64" s="10">
        <f t="shared" si="6"/>
        <v>1</v>
      </c>
      <c r="Y64" s="10">
        <f t="shared" si="7"/>
        <v>0.25</v>
      </c>
      <c r="Z64" s="10">
        <f t="shared" si="8"/>
        <v>0.75</v>
      </c>
      <c r="AA64" s="10" t="str">
        <f t="shared" si="9"/>
        <v/>
      </c>
      <c r="AB64" s="10" t="str">
        <f t="shared" si="10"/>
        <v/>
      </c>
      <c r="AC64" s="10" t="str">
        <f t="shared" si="11"/>
        <v/>
      </c>
      <c r="AD64" s="10" t="str">
        <f t="shared" si="12"/>
        <v/>
      </c>
      <c r="AE64" s="10" t="str">
        <f t="shared" si="13"/>
        <v/>
      </c>
      <c r="AF64" s="10" t="str">
        <f t="shared" si="14"/>
        <v/>
      </c>
      <c r="AG64" s="10" t="str">
        <f t="shared" si="15"/>
        <v/>
      </c>
      <c r="AH64" s="10" t="str">
        <f t="shared" si="16"/>
        <v/>
      </c>
      <c r="AI64" s="10">
        <f>IF(OR(S64="",'4_BENCHMARK'!$C$4=""),"",ABS(S64-'4_BENCHMARK'!$C$4))</f>
        <v>0.5</v>
      </c>
      <c r="AJ64" s="10">
        <f>IF(OR(T64="",'4_BENCHMARK'!$C$5=""),"",ABS(T64-'4_BENCHMARK'!$C$5))</f>
        <v>0.5</v>
      </c>
      <c r="AK64" s="10">
        <f>IF(OR(U64="",'4_BENCHMARK'!$C$6=""),"",ABS(U64-'4_BENCHMARK'!$C$6))</f>
        <v>0.5</v>
      </c>
      <c r="AL64" s="10">
        <f>IF(OR(V64="",'4_BENCHMARK'!$C$7=""),"",ABS(V64-'4_BENCHMARK'!$C$7))</f>
        <v>0.25</v>
      </c>
      <c r="AM64" s="10">
        <f>IF(OR(W64="",'4_BENCHMARK'!$C$8=""),"",ABS(W64-'4_BENCHMARK'!$C$8))</f>
        <v>1</v>
      </c>
      <c r="AN64" s="10">
        <f>IF(OR(X64="",'4_BENCHMARK'!$C$9=""),"",ABS(X64-'4_BENCHMARK'!$C$9))</f>
        <v>1</v>
      </c>
      <c r="AO64" s="10">
        <f>IF(OR(Y64="",'4_BENCHMARK'!$C$10=""),"",ABS(Y64-'4_BENCHMARK'!$C$10))</f>
        <v>0.25</v>
      </c>
      <c r="AP64" s="10">
        <f>IF(OR(Z64="",'4_BENCHMARK'!$C$11=""),"",ABS(Z64-'4_BENCHMARK'!$C$11))</f>
        <v>0.25</v>
      </c>
      <c r="AQ64" s="13">
        <f t="shared" si="17"/>
        <v>0.46875</v>
      </c>
      <c r="AR64" s="10"/>
      <c r="AS64" s="10" t="s">
        <v>145</v>
      </c>
      <c r="AT64" s="13">
        <f t="shared" si="18"/>
        <v>0.625</v>
      </c>
      <c r="AU64" s="1" t="str">
        <f t="shared" si="19"/>
        <v/>
      </c>
      <c r="AV64" s="1" t="str">
        <f t="shared" si="20"/>
        <v/>
      </c>
      <c r="AW64" s="1" t="str">
        <f t="shared" si="21"/>
        <v/>
      </c>
      <c r="AX64" s="1" t="str">
        <f t="shared" si="22"/>
        <v/>
      </c>
      <c r="AY64" s="1" t="str">
        <f t="shared" si="23"/>
        <v/>
      </c>
      <c r="AZ64" s="1" t="str">
        <f t="shared" si="24"/>
        <v/>
      </c>
      <c r="BA64" s="1" t="str">
        <f t="shared" si="25"/>
        <v/>
      </c>
      <c r="BB64" s="1" t="str">
        <f t="shared" si="26"/>
        <v/>
      </c>
      <c r="BC64" s="1">
        <f t="shared" si="27"/>
        <v>3</v>
      </c>
      <c r="BD64" s="1">
        <f t="shared" si="28"/>
        <v>3</v>
      </c>
      <c r="BE64" s="1">
        <f t="shared" si="29"/>
        <v>3</v>
      </c>
      <c r="BF64" s="1">
        <f t="shared" si="30"/>
        <v>4</v>
      </c>
      <c r="BG64" s="1">
        <f t="shared" si="31"/>
        <v>5</v>
      </c>
      <c r="BH64" s="1">
        <f t="shared" si="32"/>
        <v>5</v>
      </c>
      <c r="BI64" s="1">
        <f t="shared" si="33"/>
        <v>2</v>
      </c>
      <c r="BJ64" s="1">
        <f t="shared" si="34"/>
        <v>4</v>
      </c>
    </row>
    <row r="65" ht="14.25" customHeight="1" spans="1:62">
      <c r="A65" s="10">
        <v>61</v>
      </c>
      <c r="B65" s="36" t="s">
        <v>329</v>
      </c>
      <c r="C65" s="10">
        <v>2019</v>
      </c>
      <c r="D65" s="10">
        <f t="shared" si="0"/>
        <v>2010</v>
      </c>
      <c r="E65" s="36" t="s">
        <v>136</v>
      </c>
      <c r="F65" s="35" t="s">
        <v>330</v>
      </c>
      <c r="G65" s="36" t="s">
        <v>331</v>
      </c>
      <c r="H65" s="10" t="s">
        <v>140</v>
      </c>
      <c r="I65" s="10" t="s">
        <v>140</v>
      </c>
      <c r="J65" s="10"/>
      <c r="K65" s="10">
        <v>3</v>
      </c>
      <c r="L65" s="10">
        <v>3</v>
      </c>
      <c r="M65" s="10">
        <v>2</v>
      </c>
      <c r="N65" s="10">
        <v>2</v>
      </c>
      <c r="O65" s="10">
        <v>5</v>
      </c>
      <c r="P65" s="10">
        <v>1</v>
      </c>
      <c r="Q65" s="10">
        <v>1</v>
      </c>
      <c r="R65" s="10">
        <v>4</v>
      </c>
      <c r="S65" s="10">
        <f t="shared" si="1"/>
        <v>0.5</v>
      </c>
      <c r="T65" s="10">
        <f t="shared" si="2"/>
        <v>0.5</v>
      </c>
      <c r="U65" s="10">
        <f t="shared" si="3"/>
        <v>0.25</v>
      </c>
      <c r="V65" s="10">
        <f t="shared" si="4"/>
        <v>0.25</v>
      </c>
      <c r="W65" s="10">
        <f t="shared" si="5"/>
        <v>1</v>
      </c>
      <c r="X65" s="10">
        <f t="shared" si="6"/>
        <v>0</v>
      </c>
      <c r="Y65" s="10">
        <f t="shared" si="7"/>
        <v>0</v>
      </c>
      <c r="Z65" s="10">
        <f t="shared" si="8"/>
        <v>0.75</v>
      </c>
      <c r="AA65" s="10" t="str">
        <f t="shared" si="9"/>
        <v/>
      </c>
      <c r="AB65" s="10" t="str">
        <f t="shared" si="10"/>
        <v/>
      </c>
      <c r="AC65" s="10" t="str">
        <f t="shared" si="11"/>
        <v/>
      </c>
      <c r="AD65" s="10" t="str">
        <f t="shared" si="12"/>
        <v/>
      </c>
      <c r="AE65" s="10" t="str">
        <f t="shared" si="13"/>
        <v/>
      </c>
      <c r="AF65" s="10" t="str">
        <f t="shared" si="14"/>
        <v/>
      </c>
      <c r="AG65" s="10" t="str">
        <f t="shared" si="15"/>
        <v/>
      </c>
      <c r="AH65" s="10" t="str">
        <f t="shared" si="16"/>
        <v/>
      </c>
      <c r="AI65" s="10">
        <f>IF(OR(S65="",'4_BENCHMARK'!$C$4=""),"",ABS(S65-'4_BENCHMARK'!$C$4))</f>
        <v>0.5</v>
      </c>
      <c r="AJ65" s="10">
        <f>IF(OR(T65="",'4_BENCHMARK'!$C$5=""),"",ABS(T65-'4_BENCHMARK'!$C$5))</f>
        <v>0.5</v>
      </c>
      <c r="AK65" s="10">
        <f>IF(OR(U65="",'4_BENCHMARK'!$C$6=""),"",ABS(U65-'4_BENCHMARK'!$C$6))</f>
        <v>0.75</v>
      </c>
      <c r="AL65" s="10">
        <f>IF(OR(V65="",'4_BENCHMARK'!$C$7=""),"",ABS(V65-'4_BENCHMARK'!$C$7))</f>
        <v>0.75</v>
      </c>
      <c r="AM65" s="10">
        <f>IF(OR(W65="",'4_BENCHMARK'!$C$8=""),"",ABS(W65-'4_BENCHMARK'!$C$8))</f>
        <v>1</v>
      </c>
      <c r="AN65" s="10">
        <f>IF(OR(X65="",'4_BENCHMARK'!$C$9=""),"",ABS(X65-'4_BENCHMARK'!$C$9))</f>
        <v>0</v>
      </c>
      <c r="AO65" s="10">
        <f>IF(OR(Y65="",'4_BENCHMARK'!$C$10=""),"",ABS(Y65-'4_BENCHMARK'!$C$10))</f>
        <v>0.5</v>
      </c>
      <c r="AP65" s="10">
        <f>IF(OR(Z65="",'4_BENCHMARK'!$C$11=""),"",ABS(Z65-'4_BENCHMARK'!$C$11))</f>
        <v>0.25</v>
      </c>
      <c r="AQ65" s="13">
        <f t="shared" si="17"/>
        <v>0.46875</v>
      </c>
      <c r="AR65" s="10" t="s">
        <v>140</v>
      </c>
      <c r="AS65" s="10" t="s">
        <v>145</v>
      </c>
      <c r="AT65" s="13">
        <f t="shared" si="18"/>
        <v>0.458333333333333</v>
      </c>
      <c r="AU65" s="1" t="str">
        <f t="shared" si="19"/>
        <v/>
      </c>
      <c r="AV65" s="1" t="str">
        <f t="shared" si="20"/>
        <v/>
      </c>
      <c r="AW65" s="1" t="str">
        <f t="shared" si="21"/>
        <v/>
      </c>
      <c r="AX65" s="1" t="str">
        <f t="shared" si="22"/>
        <v/>
      </c>
      <c r="AY65" s="1" t="str">
        <f t="shared" si="23"/>
        <v/>
      </c>
      <c r="AZ65" s="1" t="str">
        <f t="shared" si="24"/>
        <v/>
      </c>
      <c r="BA65" s="1" t="str">
        <f t="shared" si="25"/>
        <v/>
      </c>
      <c r="BB65" s="1" t="str">
        <f t="shared" si="26"/>
        <v/>
      </c>
      <c r="BC65" s="1">
        <f t="shared" si="27"/>
        <v>3</v>
      </c>
      <c r="BD65" s="1">
        <f t="shared" si="28"/>
        <v>3</v>
      </c>
      <c r="BE65" s="1">
        <f t="shared" si="29"/>
        <v>2</v>
      </c>
      <c r="BF65" s="1">
        <f t="shared" si="30"/>
        <v>2</v>
      </c>
      <c r="BG65" s="1">
        <f t="shared" si="31"/>
        <v>5</v>
      </c>
      <c r="BH65" s="1">
        <f t="shared" si="32"/>
        <v>1</v>
      </c>
      <c r="BI65" s="1">
        <f t="shared" si="33"/>
        <v>1</v>
      </c>
      <c r="BJ65" s="1">
        <f t="shared" si="34"/>
        <v>4</v>
      </c>
    </row>
    <row r="66" ht="14.25" customHeight="1" spans="1:62">
      <c r="A66" s="10">
        <v>62</v>
      </c>
      <c r="B66" s="36" t="s">
        <v>332</v>
      </c>
      <c r="C66" s="10">
        <v>1870</v>
      </c>
      <c r="D66" s="10">
        <f t="shared" si="0"/>
        <v>1870</v>
      </c>
      <c r="E66" s="36" t="s">
        <v>136</v>
      </c>
      <c r="F66" s="35" t="s">
        <v>333</v>
      </c>
      <c r="G66" s="36" t="s">
        <v>334</v>
      </c>
      <c r="H66" s="10" t="s">
        <v>139</v>
      </c>
      <c r="I66" s="10" t="s">
        <v>140</v>
      </c>
      <c r="J66" s="36" t="s">
        <v>335</v>
      </c>
      <c r="K66" s="10">
        <v>5</v>
      </c>
      <c r="L66" s="10">
        <v>5</v>
      </c>
      <c r="M66" s="10">
        <v>5</v>
      </c>
      <c r="N66" s="10">
        <v>5</v>
      </c>
      <c r="O66" s="10">
        <v>1</v>
      </c>
      <c r="P66" s="10">
        <v>1</v>
      </c>
      <c r="Q66" s="10">
        <v>2</v>
      </c>
      <c r="R66" s="10">
        <v>5</v>
      </c>
      <c r="S66" s="10">
        <f t="shared" si="1"/>
        <v>1</v>
      </c>
      <c r="T66" s="10">
        <f t="shared" si="2"/>
        <v>1</v>
      </c>
      <c r="U66" s="10">
        <f t="shared" si="3"/>
        <v>1</v>
      </c>
      <c r="V66" s="10">
        <f t="shared" si="4"/>
        <v>1</v>
      </c>
      <c r="W66" s="10">
        <f t="shared" si="5"/>
        <v>0</v>
      </c>
      <c r="X66" s="10">
        <f t="shared" si="6"/>
        <v>0</v>
      </c>
      <c r="Y66" s="10">
        <f t="shared" si="7"/>
        <v>0.25</v>
      </c>
      <c r="Z66" s="10">
        <f t="shared" si="8"/>
        <v>1</v>
      </c>
      <c r="AA66" s="10">
        <f t="shared" si="9"/>
        <v>1</v>
      </c>
      <c r="AB66" s="10">
        <f t="shared" si="10"/>
        <v>1</v>
      </c>
      <c r="AC66" s="10">
        <f t="shared" si="11"/>
        <v>1</v>
      </c>
      <c r="AD66" s="10">
        <f t="shared" si="12"/>
        <v>1</v>
      </c>
      <c r="AE66" s="10">
        <f t="shared" si="13"/>
        <v>0</v>
      </c>
      <c r="AF66" s="10">
        <f t="shared" si="14"/>
        <v>0</v>
      </c>
      <c r="AG66" s="10">
        <f t="shared" si="15"/>
        <v>0.25</v>
      </c>
      <c r="AH66" s="10">
        <f t="shared" si="16"/>
        <v>1</v>
      </c>
      <c r="AI66" s="10">
        <f>IF(OR(S66="",'4_BENCHMARK'!$C$4=""),"",ABS(S66-'4_BENCHMARK'!$C$4))</f>
        <v>0</v>
      </c>
      <c r="AJ66" s="10">
        <f>IF(OR(T66="",'4_BENCHMARK'!$C$5=""),"",ABS(T66-'4_BENCHMARK'!$C$5))</f>
        <v>0</v>
      </c>
      <c r="AK66" s="10">
        <f>IF(OR(U66="",'4_BENCHMARK'!$C$6=""),"",ABS(U66-'4_BENCHMARK'!$C$6))</f>
        <v>0</v>
      </c>
      <c r="AL66" s="10">
        <f>IF(OR(V66="",'4_BENCHMARK'!$C$7=""),"",ABS(V66-'4_BENCHMARK'!$C$7))</f>
        <v>0</v>
      </c>
      <c r="AM66" s="10">
        <f>IF(OR(W66="",'4_BENCHMARK'!$C$8=""),"",ABS(W66-'4_BENCHMARK'!$C$8))</f>
        <v>0</v>
      </c>
      <c r="AN66" s="10">
        <f>IF(OR(X66="",'4_BENCHMARK'!$C$9=""),"",ABS(X66-'4_BENCHMARK'!$C$9))</f>
        <v>0</v>
      </c>
      <c r="AO66" s="10">
        <f>IF(OR(Y66="",'4_BENCHMARK'!$C$10=""),"",ABS(Y66-'4_BENCHMARK'!$C$10))</f>
        <v>0.25</v>
      </c>
      <c r="AP66" s="10">
        <f>IF(OR(Z66="",'4_BENCHMARK'!$C$11=""),"",ABS(Z66-'4_BENCHMARK'!$C$11))</f>
        <v>0</v>
      </c>
      <c r="AQ66" s="13">
        <f t="shared" si="17"/>
        <v>0.96875</v>
      </c>
      <c r="AR66" s="10"/>
      <c r="AS66" s="10" t="s">
        <v>141</v>
      </c>
      <c r="AT66" s="13">
        <f t="shared" si="18"/>
        <v>0.958333333333333</v>
      </c>
      <c r="AU66" s="1">
        <f t="shared" si="19"/>
        <v>5</v>
      </c>
      <c r="AV66" s="1">
        <f t="shared" si="20"/>
        <v>5</v>
      </c>
      <c r="AW66" s="1">
        <f t="shared" si="21"/>
        <v>5</v>
      </c>
      <c r="AX66" s="1">
        <f t="shared" si="22"/>
        <v>5</v>
      </c>
      <c r="AY66" s="1">
        <f t="shared" si="23"/>
        <v>1</v>
      </c>
      <c r="AZ66" s="1">
        <f t="shared" si="24"/>
        <v>1</v>
      </c>
      <c r="BA66" s="1">
        <f t="shared" si="25"/>
        <v>2</v>
      </c>
      <c r="BB66" s="1">
        <f t="shared" si="26"/>
        <v>5</v>
      </c>
      <c r="BC66" s="1" t="str">
        <f t="shared" si="27"/>
        <v/>
      </c>
      <c r="BD66" s="1" t="str">
        <f t="shared" si="28"/>
        <v/>
      </c>
      <c r="BE66" s="1" t="str">
        <f t="shared" si="29"/>
        <v/>
      </c>
      <c r="BF66" s="1" t="str">
        <f t="shared" si="30"/>
        <v/>
      </c>
      <c r="BG66" s="1" t="str">
        <f t="shared" si="31"/>
        <v/>
      </c>
      <c r="BH66" s="1" t="str">
        <f t="shared" si="32"/>
        <v/>
      </c>
      <c r="BI66" s="1" t="str">
        <f t="shared" si="33"/>
        <v/>
      </c>
      <c r="BJ66" s="1" t="str">
        <f t="shared" si="34"/>
        <v/>
      </c>
    </row>
    <row r="67" ht="14.25" customHeight="1" spans="1:62">
      <c r="A67" s="10">
        <v>63</v>
      </c>
      <c r="B67" s="36" t="s">
        <v>336</v>
      </c>
      <c r="C67" s="10">
        <v>1931</v>
      </c>
      <c r="D67" s="10">
        <f t="shared" si="0"/>
        <v>1930</v>
      </c>
      <c r="E67" s="36" t="s">
        <v>136</v>
      </c>
      <c r="F67" s="35" t="s">
        <v>337</v>
      </c>
      <c r="G67" s="36" t="s">
        <v>338</v>
      </c>
      <c r="H67" s="10" t="s">
        <v>139</v>
      </c>
      <c r="I67" s="10" t="s">
        <v>140</v>
      </c>
      <c r="J67" s="10"/>
      <c r="K67" s="10">
        <v>4</v>
      </c>
      <c r="L67" s="10">
        <v>5</v>
      </c>
      <c r="M67" s="10">
        <v>5</v>
      </c>
      <c r="N67" s="10">
        <v>5</v>
      </c>
      <c r="O67" s="10">
        <v>1</v>
      </c>
      <c r="P67" s="10">
        <v>1</v>
      </c>
      <c r="Q67" s="10">
        <v>2</v>
      </c>
      <c r="R67" s="10">
        <v>4</v>
      </c>
      <c r="S67" s="10">
        <f t="shared" si="1"/>
        <v>0.75</v>
      </c>
      <c r="T67" s="10">
        <f t="shared" si="2"/>
        <v>1</v>
      </c>
      <c r="U67" s="10">
        <f t="shared" si="3"/>
        <v>1</v>
      </c>
      <c r="V67" s="10">
        <f t="shared" si="4"/>
        <v>1</v>
      </c>
      <c r="W67" s="10">
        <f t="shared" si="5"/>
        <v>0</v>
      </c>
      <c r="X67" s="10">
        <f t="shared" si="6"/>
        <v>0</v>
      </c>
      <c r="Y67" s="10">
        <f t="shared" si="7"/>
        <v>0.25</v>
      </c>
      <c r="Z67" s="10">
        <f t="shared" si="8"/>
        <v>0.75</v>
      </c>
      <c r="AA67" s="10">
        <f t="shared" si="9"/>
        <v>0.75</v>
      </c>
      <c r="AB67" s="10">
        <f t="shared" si="10"/>
        <v>1</v>
      </c>
      <c r="AC67" s="10">
        <f t="shared" si="11"/>
        <v>1</v>
      </c>
      <c r="AD67" s="10">
        <f t="shared" si="12"/>
        <v>1</v>
      </c>
      <c r="AE67" s="10">
        <f t="shared" si="13"/>
        <v>0</v>
      </c>
      <c r="AF67" s="10">
        <f t="shared" si="14"/>
        <v>0</v>
      </c>
      <c r="AG67" s="10">
        <f t="shared" si="15"/>
        <v>0.25</v>
      </c>
      <c r="AH67" s="10">
        <f t="shared" si="16"/>
        <v>0.75</v>
      </c>
      <c r="AI67" s="10">
        <f>IF(OR(S67="",'4_BENCHMARK'!$C$4=""),"",ABS(S67-'4_BENCHMARK'!$C$4))</f>
        <v>0.25</v>
      </c>
      <c r="AJ67" s="10">
        <f>IF(OR(T67="",'4_BENCHMARK'!$C$5=""),"",ABS(T67-'4_BENCHMARK'!$C$5))</f>
        <v>0</v>
      </c>
      <c r="AK67" s="10">
        <f>IF(OR(U67="",'4_BENCHMARK'!$C$6=""),"",ABS(U67-'4_BENCHMARK'!$C$6))</f>
        <v>0</v>
      </c>
      <c r="AL67" s="10">
        <f>IF(OR(V67="",'4_BENCHMARK'!$C$7=""),"",ABS(V67-'4_BENCHMARK'!$C$7))</f>
        <v>0</v>
      </c>
      <c r="AM67" s="10">
        <f>IF(OR(W67="",'4_BENCHMARK'!$C$8=""),"",ABS(W67-'4_BENCHMARK'!$C$8))</f>
        <v>0</v>
      </c>
      <c r="AN67" s="10">
        <f>IF(OR(X67="",'4_BENCHMARK'!$C$9=""),"",ABS(X67-'4_BENCHMARK'!$C$9))</f>
        <v>0</v>
      </c>
      <c r="AO67" s="10">
        <f>IF(OR(Y67="",'4_BENCHMARK'!$C$10=""),"",ABS(Y67-'4_BENCHMARK'!$C$10))</f>
        <v>0.25</v>
      </c>
      <c r="AP67" s="10">
        <f>IF(OR(Z67="",'4_BENCHMARK'!$C$11=""),"",ABS(Z67-'4_BENCHMARK'!$C$11))</f>
        <v>0.25</v>
      </c>
      <c r="AQ67" s="13">
        <f t="shared" si="17"/>
        <v>0.90625</v>
      </c>
      <c r="AR67" s="10"/>
      <c r="AS67" s="10" t="s">
        <v>149</v>
      </c>
      <c r="AT67" s="13">
        <f t="shared" si="18"/>
        <v>0.875</v>
      </c>
      <c r="AU67" s="1">
        <f t="shared" si="19"/>
        <v>4</v>
      </c>
      <c r="AV67" s="1">
        <f t="shared" si="20"/>
        <v>5</v>
      </c>
      <c r="AW67" s="1">
        <f t="shared" si="21"/>
        <v>5</v>
      </c>
      <c r="AX67" s="1">
        <f t="shared" si="22"/>
        <v>5</v>
      </c>
      <c r="AY67" s="1">
        <f t="shared" si="23"/>
        <v>1</v>
      </c>
      <c r="AZ67" s="1">
        <f t="shared" si="24"/>
        <v>1</v>
      </c>
      <c r="BA67" s="1">
        <f t="shared" si="25"/>
        <v>2</v>
      </c>
      <c r="BB67" s="1">
        <f t="shared" si="26"/>
        <v>4</v>
      </c>
      <c r="BC67" s="1" t="str">
        <f t="shared" si="27"/>
        <v/>
      </c>
      <c r="BD67" s="1" t="str">
        <f t="shared" si="28"/>
        <v/>
      </c>
      <c r="BE67" s="1" t="str">
        <f t="shared" si="29"/>
        <v/>
      </c>
      <c r="BF67" s="1" t="str">
        <f t="shared" si="30"/>
        <v/>
      </c>
      <c r="BG67" s="1" t="str">
        <f t="shared" si="31"/>
        <v/>
      </c>
      <c r="BH67" s="1" t="str">
        <f t="shared" si="32"/>
        <v/>
      </c>
      <c r="BI67" s="1" t="str">
        <f t="shared" si="33"/>
        <v/>
      </c>
      <c r="BJ67" s="1" t="str">
        <f t="shared" si="34"/>
        <v/>
      </c>
    </row>
    <row r="68" ht="14.25" customHeight="1" spans="1:62">
      <c r="A68" s="10">
        <v>64</v>
      </c>
      <c r="B68" s="36" t="s">
        <v>260</v>
      </c>
      <c r="C68" s="10">
        <v>1916</v>
      </c>
      <c r="D68" s="10">
        <f t="shared" si="0"/>
        <v>1910</v>
      </c>
      <c r="E68" s="36" t="s">
        <v>136</v>
      </c>
      <c r="F68" s="35" t="s">
        <v>339</v>
      </c>
      <c r="G68" s="36" t="s">
        <v>340</v>
      </c>
      <c r="H68" s="10" t="s">
        <v>139</v>
      </c>
      <c r="I68" s="10" t="s">
        <v>140</v>
      </c>
      <c r="J68" s="10"/>
      <c r="K68" s="10">
        <v>4</v>
      </c>
      <c r="L68" s="10">
        <v>5</v>
      </c>
      <c r="M68" s="10">
        <v>5</v>
      </c>
      <c r="N68" s="10">
        <v>5</v>
      </c>
      <c r="O68" s="10">
        <v>1</v>
      </c>
      <c r="P68" s="10">
        <v>1</v>
      </c>
      <c r="Q68" s="10">
        <v>2</v>
      </c>
      <c r="R68" s="10">
        <v>5</v>
      </c>
      <c r="S68" s="10">
        <f t="shared" si="1"/>
        <v>0.75</v>
      </c>
      <c r="T68" s="10">
        <f t="shared" si="2"/>
        <v>1</v>
      </c>
      <c r="U68" s="10">
        <f t="shared" si="3"/>
        <v>1</v>
      </c>
      <c r="V68" s="10">
        <f t="shared" si="4"/>
        <v>1</v>
      </c>
      <c r="W68" s="10">
        <f t="shared" si="5"/>
        <v>0</v>
      </c>
      <c r="X68" s="10">
        <f t="shared" si="6"/>
        <v>0</v>
      </c>
      <c r="Y68" s="10">
        <f t="shared" si="7"/>
        <v>0.25</v>
      </c>
      <c r="Z68" s="10">
        <f t="shared" si="8"/>
        <v>1</v>
      </c>
      <c r="AA68" s="10">
        <f t="shared" si="9"/>
        <v>0.75</v>
      </c>
      <c r="AB68" s="10">
        <f t="shared" si="10"/>
        <v>1</v>
      </c>
      <c r="AC68" s="10">
        <f t="shared" si="11"/>
        <v>1</v>
      </c>
      <c r="AD68" s="10">
        <f t="shared" si="12"/>
        <v>1</v>
      </c>
      <c r="AE68" s="10">
        <f t="shared" si="13"/>
        <v>0</v>
      </c>
      <c r="AF68" s="10">
        <f t="shared" si="14"/>
        <v>0</v>
      </c>
      <c r="AG68" s="10">
        <f t="shared" si="15"/>
        <v>0.25</v>
      </c>
      <c r="AH68" s="10">
        <f t="shared" si="16"/>
        <v>1</v>
      </c>
      <c r="AI68" s="10">
        <f>IF(OR(S68="",'4_BENCHMARK'!$C$4=""),"",ABS(S68-'4_BENCHMARK'!$C$4))</f>
        <v>0.25</v>
      </c>
      <c r="AJ68" s="10">
        <f>IF(OR(T68="",'4_BENCHMARK'!$C$5=""),"",ABS(T68-'4_BENCHMARK'!$C$5))</f>
        <v>0</v>
      </c>
      <c r="AK68" s="10">
        <f>IF(OR(U68="",'4_BENCHMARK'!$C$6=""),"",ABS(U68-'4_BENCHMARK'!$C$6))</f>
        <v>0</v>
      </c>
      <c r="AL68" s="10">
        <f>IF(OR(V68="",'4_BENCHMARK'!$C$7=""),"",ABS(V68-'4_BENCHMARK'!$C$7))</f>
        <v>0</v>
      </c>
      <c r="AM68" s="10">
        <f>IF(OR(W68="",'4_BENCHMARK'!$C$8=""),"",ABS(W68-'4_BENCHMARK'!$C$8))</f>
        <v>0</v>
      </c>
      <c r="AN68" s="10">
        <f>IF(OR(X68="",'4_BENCHMARK'!$C$9=""),"",ABS(X68-'4_BENCHMARK'!$C$9))</f>
        <v>0</v>
      </c>
      <c r="AO68" s="10">
        <f>IF(OR(Y68="",'4_BENCHMARK'!$C$10=""),"",ABS(Y68-'4_BENCHMARK'!$C$10))</f>
        <v>0.25</v>
      </c>
      <c r="AP68" s="10">
        <f>IF(OR(Z68="",'4_BENCHMARK'!$C$11=""),"",ABS(Z68-'4_BENCHMARK'!$C$11))</f>
        <v>0</v>
      </c>
      <c r="AQ68" s="13">
        <f t="shared" si="17"/>
        <v>0.9375</v>
      </c>
      <c r="AR68" s="10"/>
      <c r="AS68" s="10" t="s">
        <v>141</v>
      </c>
      <c r="AT68" s="13">
        <f t="shared" si="18"/>
        <v>0.916666666666667</v>
      </c>
      <c r="AU68" s="1">
        <f t="shared" si="19"/>
        <v>4</v>
      </c>
      <c r="AV68" s="1">
        <f t="shared" si="20"/>
        <v>5</v>
      </c>
      <c r="AW68" s="1">
        <f t="shared" si="21"/>
        <v>5</v>
      </c>
      <c r="AX68" s="1">
        <f t="shared" si="22"/>
        <v>5</v>
      </c>
      <c r="AY68" s="1">
        <f t="shared" si="23"/>
        <v>1</v>
      </c>
      <c r="AZ68" s="1">
        <f t="shared" si="24"/>
        <v>1</v>
      </c>
      <c r="BA68" s="1">
        <f t="shared" si="25"/>
        <v>2</v>
      </c>
      <c r="BB68" s="1">
        <f t="shared" si="26"/>
        <v>5</v>
      </c>
      <c r="BC68" s="1" t="str">
        <f t="shared" si="27"/>
        <v/>
      </c>
      <c r="BD68" s="1" t="str">
        <f t="shared" si="28"/>
        <v/>
      </c>
      <c r="BE68" s="1" t="str">
        <f t="shared" si="29"/>
        <v/>
      </c>
      <c r="BF68" s="1" t="str">
        <f t="shared" si="30"/>
        <v/>
      </c>
      <c r="BG68" s="1" t="str">
        <f t="shared" si="31"/>
        <v/>
      </c>
      <c r="BH68" s="1" t="str">
        <f t="shared" si="32"/>
        <v/>
      </c>
      <c r="BI68" s="1" t="str">
        <f t="shared" si="33"/>
        <v/>
      </c>
      <c r="BJ68" s="1" t="str">
        <f t="shared" si="34"/>
        <v/>
      </c>
    </row>
    <row r="69" ht="14.25" customHeight="1" spans="1:62">
      <c r="A69" s="10">
        <v>65</v>
      </c>
      <c r="B69" s="36" t="s">
        <v>341</v>
      </c>
      <c r="C69" s="10">
        <v>1908</v>
      </c>
      <c r="D69" s="10">
        <f t="shared" ref="D69:D132" si="35">IF(C69="","",FLOOR(C69,10))</f>
        <v>1900</v>
      </c>
      <c r="E69" s="36" t="s">
        <v>136</v>
      </c>
      <c r="F69" s="35" t="s">
        <v>342</v>
      </c>
      <c r="G69" s="36" t="s">
        <v>343</v>
      </c>
      <c r="H69" s="10" t="s">
        <v>139</v>
      </c>
      <c r="I69" s="10" t="s">
        <v>140</v>
      </c>
      <c r="J69" s="10"/>
      <c r="K69" s="10">
        <v>5</v>
      </c>
      <c r="L69" s="10">
        <v>5</v>
      </c>
      <c r="M69" s="10">
        <v>5</v>
      </c>
      <c r="N69" s="10">
        <v>5</v>
      </c>
      <c r="O69" s="10">
        <v>5</v>
      </c>
      <c r="P69" s="10">
        <v>5</v>
      </c>
      <c r="Q69" s="10">
        <v>3</v>
      </c>
      <c r="R69" s="10">
        <v>5</v>
      </c>
      <c r="S69" s="10">
        <f t="shared" ref="S69:S132" si="36">IF(K69="","",(K69-1)/4)</f>
        <v>1</v>
      </c>
      <c r="T69" s="10">
        <f t="shared" ref="T69:T132" si="37">IF(L69="","",(L69-1)/4)</f>
        <v>1</v>
      </c>
      <c r="U69" s="10">
        <f t="shared" ref="U69:U132" si="38">IF(M69="","",(M69-1)/4)</f>
        <v>1</v>
      </c>
      <c r="V69" s="10">
        <f t="shared" ref="V69:V132" si="39">IF(N69="","",(N69-1)/4)</f>
        <v>1</v>
      </c>
      <c r="W69" s="10">
        <f t="shared" ref="W69:W132" si="40">IF(O69="","",(O69-1)/4)</f>
        <v>1</v>
      </c>
      <c r="X69" s="10">
        <f t="shared" ref="X69:X132" si="41">IF(P69="","",(P69-1)/4)</f>
        <v>1</v>
      </c>
      <c r="Y69" s="10">
        <f t="shared" ref="Y69:Y132" si="42">IF(Q69="","",(Q69-1)/4)</f>
        <v>0.5</v>
      </c>
      <c r="Z69" s="10">
        <f t="shared" ref="Z69:Z132" si="43">IF(R69="","",(R69-1)/4)</f>
        <v>1</v>
      </c>
      <c r="AA69" s="10">
        <f t="shared" ref="AA69:AA132" si="44">IF(AND(S69&lt;&gt;"",C69&lt;=1949,I69="yes"),S69,"")</f>
        <v>1</v>
      </c>
      <c r="AB69" s="10">
        <f t="shared" ref="AB69:AB132" si="45">IF(AND(T69&lt;&gt;"",C69&lt;=1949,I69="yes"),T69,"")</f>
        <v>1</v>
      </c>
      <c r="AC69" s="10">
        <f t="shared" ref="AC69:AC132" si="46">IF(AND(U69&lt;&gt;"",C69&lt;=1949,I69="yes"),U69,"")</f>
        <v>1</v>
      </c>
      <c r="AD69" s="10">
        <f t="shared" ref="AD69:AD132" si="47">IF(AND(V69&lt;&gt;"",C69&lt;=1949,I69="yes"),V69,"")</f>
        <v>1</v>
      </c>
      <c r="AE69" s="10">
        <f t="shared" ref="AE69:AE132" si="48">IF(AND(W69&lt;&gt;"",C69&lt;=1949,I69="yes"),W69,"")</f>
        <v>1</v>
      </c>
      <c r="AF69" s="10">
        <f t="shared" ref="AF69:AF132" si="49">IF(AND(X69&lt;&gt;"",C69&lt;=1949,I69="yes"),X69,"")</f>
        <v>1</v>
      </c>
      <c r="AG69" s="10">
        <f t="shared" ref="AG69:AG132" si="50">IF(AND(Y69&lt;&gt;"",C69&lt;=1949,I69="yes"),Y69,"")</f>
        <v>0.5</v>
      </c>
      <c r="AH69" s="10">
        <f t="shared" ref="AH69:AH132" si="51">IF(AND(Z69&lt;&gt;"",C69&lt;=1949,I69="yes"),Z69,"")</f>
        <v>1</v>
      </c>
      <c r="AI69" s="10">
        <f>IF(OR(S69="",'4_BENCHMARK'!$C$4=""),"",ABS(S69-'4_BENCHMARK'!$C$4))</f>
        <v>0</v>
      </c>
      <c r="AJ69" s="10">
        <f>IF(OR(T69="",'4_BENCHMARK'!$C$5=""),"",ABS(T69-'4_BENCHMARK'!$C$5))</f>
        <v>0</v>
      </c>
      <c r="AK69" s="10">
        <f>IF(OR(U69="",'4_BENCHMARK'!$C$6=""),"",ABS(U69-'4_BENCHMARK'!$C$6))</f>
        <v>0</v>
      </c>
      <c r="AL69" s="10">
        <f>IF(OR(V69="",'4_BENCHMARK'!$C$7=""),"",ABS(V69-'4_BENCHMARK'!$C$7))</f>
        <v>0</v>
      </c>
      <c r="AM69" s="10">
        <f>IF(OR(W69="",'4_BENCHMARK'!$C$8=""),"",ABS(W69-'4_BENCHMARK'!$C$8))</f>
        <v>1</v>
      </c>
      <c r="AN69" s="10">
        <f>IF(OR(X69="",'4_BENCHMARK'!$C$9=""),"",ABS(X69-'4_BENCHMARK'!$C$9))</f>
        <v>1</v>
      </c>
      <c r="AO69" s="10">
        <f>IF(OR(Y69="",'4_BENCHMARK'!$C$10=""),"",ABS(Y69-'4_BENCHMARK'!$C$10))</f>
        <v>0</v>
      </c>
      <c r="AP69" s="10">
        <f>IF(OR(Z69="",'4_BENCHMARK'!$C$11=""),"",ABS(Z69-'4_BENCHMARK'!$C$11))</f>
        <v>0</v>
      </c>
      <c r="AQ69" s="13">
        <f t="shared" ref="AQ69:AQ132" si="52">IF(COUNT(AI69:AP69)&lt;8,"",1-AVERAGE(AI69:AP69))</f>
        <v>0.75</v>
      </c>
      <c r="AR69" s="10"/>
      <c r="AS69" s="10" t="s">
        <v>141</v>
      </c>
      <c r="AT69" s="13">
        <f t="shared" ref="AT69:AT132" si="53">IF(COUNT(AI69:AL69,AO69:AP69)&lt;6,"",1-AVERAGE(AI69:AL69,AO69:AP69))</f>
        <v>1</v>
      </c>
      <c r="AU69" s="1">
        <f t="shared" ref="AU69:AU132" si="54">IF(AND($I69="yes",$C69&lt;=1949,K69&lt;&gt;""),K69,"")</f>
        <v>5</v>
      </c>
      <c r="AV69" s="1">
        <f t="shared" ref="AV69:AV132" si="55">IF(AND($I69="yes",$C69&lt;=1949,L69&lt;&gt;""),L69,"")</f>
        <v>5</v>
      </c>
      <c r="AW69" s="1">
        <f t="shared" ref="AW69:AW132" si="56">IF(AND($I69="yes",$C69&lt;=1949,M69&lt;&gt;""),M69,"")</f>
        <v>5</v>
      </c>
      <c r="AX69" s="1">
        <f t="shared" ref="AX69:AX132" si="57">IF(AND($I69="yes",$C69&lt;=1949,N69&lt;&gt;""),N69,"")</f>
        <v>5</v>
      </c>
      <c r="AY69" s="1">
        <f t="shared" ref="AY69:AY132" si="58">IF(AND($I69="yes",$C69&lt;=1949,O69&lt;&gt;""),O69,"")</f>
        <v>5</v>
      </c>
      <c r="AZ69" s="1">
        <f t="shared" ref="AZ69:AZ132" si="59">IF(AND($I69="yes",$C69&lt;=1949,P69&lt;&gt;""),P69,"")</f>
        <v>5</v>
      </c>
      <c r="BA69" s="1">
        <f t="shared" ref="BA69:BA132" si="60">IF(AND($I69="yes",$C69&lt;=1949,Q69&lt;&gt;""),Q69,"")</f>
        <v>3</v>
      </c>
      <c r="BB69" s="1">
        <f t="shared" ref="BB69:BB132" si="61">IF(AND($I69="yes",$C69&lt;=1949,R69&lt;&gt;""),R69,"")</f>
        <v>5</v>
      </c>
      <c r="BC69" s="1" t="str">
        <f t="shared" ref="BC69:BC132" si="62">IF(AND($I69="yes",$C69&gt;=2000,K69&lt;&gt;""),K69,"")</f>
        <v/>
      </c>
      <c r="BD69" s="1" t="str">
        <f t="shared" ref="BD69:BD132" si="63">IF(AND($I69="yes",$C69&gt;=2000,L69&lt;&gt;""),L69,"")</f>
        <v/>
      </c>
      <c r="BE69" s="1" t="str">
        <f t="shared" ref="BE69:BE132" si="64">IF(AND($I69="yes",$C69&gt;=2000,M69&lt;&gt;""),M69,"")</f>
        <v/>
      </c>
      <c r="BF69" s="1" t="str">
        <f t="shared" ref="BF69:BF132" si="65">IF(AND($I69="yes",$C69&gt;=2000,N69&lt;&gt;""),N69,"")</f>
        <v/>
      </c>
      <c r="BG69" s="1" t="str">
        <f t="shared" ref="BG69:BG132" si="66">IF(AND($I69="yes",$C69&gt;=2000,O69&lt;&gt;""),O69,"")</f>
        <v/>
      </c>
      <c r="BH69" s="1" t="str">
        <f t="shared" ref="BH69:BH132" si="67">IF(AND($I69="yes",$C69&gt;=2000,P69&lt;&gt;""),P69,"")</f>
        <v/>
      </c>
      <c r="BI69" s="1" t="str">
        <f t="shared" ref="BI69:BI132" si="68">IF(AND($I69="yes",$C69&gt;=2000,Q69&lt;&gt;""),Q69,"")</f>
        <v/>
      </c>
      <c r="BJ69" s="1" t="str">
        <f t="shared" ref="BJ69:BJ132" si="69">IF(AND($I69="yes",$C69&gt;=2000,R69&lt;&gt;""),R69,"")</f>
        <v/>
      </c>
    </row>
    <row r="70" ht="14.25" customHeight="1" spans="1:62">
      <c r="A70" s="10">
        <v>66</v>
      </c>
      <c r="B70" s="36" t="s">
        <v>344</v>
      </c>
      <c r="C70" s="10">
        <v>1886</v>
      </c>
      <c r="D70" s="10">
        <f t="shared" si="35"/>
        <v>1880</v>
      </c>
      <c r="E70" s="36" t="s">
        <v>136</v>
      </c>
      <c r="F70" s="35" t="s">
        <v>345</v>
      </c>
      <c r="G70" s="36" t="s">
        <v>346</v>
      </c>
      <c r="H70" s="10" t="s">
        <v>139</v>
      </c>
      <c r="I70" s="10" t="s">
        <v>140</v>
      </c>
      <c r="J70" s="10"/>
      <c r="K70" s="10">
        <v>5</v>
      </c>
      <c r="L70" s="10">
        <v>5</v>
      </c>
      <c r="M70" s="10">
        <v>5</v>
      </c>
      <c r="N70" s="10">
        <v>5</v>
      </c>
      <c r="O70" s="10">
        <v>1</v>
      </c>
      <c r="P70" s="10">
        <v>1</v>
      </c>
      <c r="Q70" s="10">
        <v>3</v>
      </c>
      <c r="R70" s="10">
        <v>5</v>
      </c>
      <c r="S70" s="10">
        <f t="shared" si="36"/>
        <v>1</v>
      </c>
      <c r="T70" s="10">
        <f t="shared" si="37"/>
        <v>1</v>
      </c>
      <c r="U70" s="10">
        <f t="shared" si="38"/>
        <v>1</v>
      </c>
      <c r="V70" s="10">
        <f t="shared" si="39"/>
        <v>1</v>
      </c>
      <c r="W70" s="10">
        <f t="shared" si="40"/>
        <v>0</v>
      </c>
      <c r="X70" s="10">
        <f t="shared" si="41"/>
        <v>0</v>
      </c>
      <c r="Y70" s="10">
        <f t="shared" si="42"/>
        <v>0.5</v>
      </c>
      <c r="Z70" s="10">
        <f t="shared" si="43"/>
        <v>1</v>
      </c>
      <c r="AA70" s="10">
        <f t="shared" si="44"/>
        <v>1</v>
      </c>
      <c r="AB70" s="10">
        <f t="shared" si="45"/>
        <v>1</v>
      </c>
      <c r="AC70" s="10">
        <f t="shared" si="46"/>
        <v>1</v>
      </c>
      <c r="AD70" s="10">
        <f t="shared" si="47"/>
        <v>1</v>
      </c>
      <c r="AE70" s="10">
        <f t="shared" si="48"/>
        <v>0</v>
      </c>
      <c r="AF70" s="10">
        <f t="shared" si="49"/>
        <v>0</v>
      </c>
      <c r="AG70" s="10">
        <f t="shared" si="50"/>
        <v>0.5</v>
      </c>
      <c r="AH70" s="10">
        <f t="shared" si="51"/>
        <v>1</v>
      </c>
      <c r="AI70" s="10">
        <f>IF(OR(S70="",'4_BENCHMARK'!$C$4=""),"",ABS(S70-'4_BENCHMARK'!$C$4))</f>
        <v>0</v>
      </c>
      <c r="AJ70" s="10">
        <f>IF(OR(T70="",'4_BENCHMARK'!$C$5=""),"",ABS(T70-'4_BENCHMARK'!$C$5))</f>
        <v>0</v>
      </c>
      <c r="AK70" s="10">
        <f>IF(OR(U70="",'4_BENCHMARK'!$C$6=""),"",ABS(U70-'4_BENCHMARK'!$C$6))</f>
        <v>0</v>
      </c>
      <c r="AL70" s="10">
        <f>IF(OR(V70="",'4_BENCHMARK'!$C$7=""),"",ABS(V70-'4_BENCHMARK'!$C$7))</f>
        <v>0</v>
      </c>
      <c r="AM70" s="10">
        <f>IF(OR(W70="",'4_BENCHMARK'!$C$8=""),"",ABS(W70-'4_BENCHMARK'!$C$8))</f>
        <v>0</v>
      </c>
      <c r="AN70" s="10">
        <f>IF(OR(X70="",'4_BENCHMARK'!$C$9=""),"",ABS(X70-'4_BENCHMARK'!$C$9))</f>
        <v>0</v>
      </c>
      <c r="AO70" s="10">
        <f>IF(OR(Y70="",'4_BENCHMARK'!$C$10=""),"",ABS(Y70-'4_BENCHMARK'!$C$10))</f>
        <v>0</v>
      </c>
      <c r="AP70" s="10">
        <f>IF(OR(Z70="",'4_BENCHMARK'!$C$11=""),"",ABS(Z70-'4_BENCHMARK'!$C$11))</f>
        <v>0</v>
      </c>
      <c r="AQ70" s="13">
        <f t="shared" si="52"/>
        <v>1</v>
      </c>
      <c r="AR70" s="10"/>
      <c r="AS70" s="10" t="s">
        <v>141</v>
      </c>
      <c r="AT70" s="13">
        <f t="shared" si="53"/>
        <v>1</v>
      </c>
      <c r="AU70" s="1">
        <f t="shared" si="54"/>
        <v>5</v>
      </c>
      <c r="AV70" s="1">
        <f t="shared" si="55"/>
        <v>5</v>
      </c>
      <c r="AW70" s="1">
        <f t="shared" si="56"/>
        <v>5</v>
      </c>
      <c r="AX70" s="1">
        <f t="shared" si="57"/>
        <v>5</v>
      </c>
      <c r="AY70" s="1">
        <f t="shared" si="58"/>
        <v>1</v>
      </c>
      <c r="AZ70" s="1">
        <f t="shared" si="59"/>
        <v>1</v>
      </c>
      <c r="BA70" s="1">
        <f t="shared" si="60"/>
        <v>3</v>
      </c>
      <c r="BB70" s="1">
        <f t="shared" si="61"/>
        <v>5</v>
      </c>
      <c r="BC70" s="1" t="str">
        <f t="shared" si="62"/>
        <v/>
      </c>
      <c r="BD70" s="1" t="str">
        <f t="shared" si="63"/>
        <v/>
      </c>
      <c r="BE70" s="1" t="str">
        <f t="shared" si="64"/>
        <v/>
      </c>
      <c r="BF70" s="1" t="str">
        <f t="shared" si="65"/>
        <v/>
      </c>
      <c r="BG70" s="1" t="str">
        <f t="shared" si="66"/>
        <v/>
      </c>
      <c r="BH70" s="1" t="str">
        <f t="shared" si="67"/>
        <v/>
      </c>
      <c r="BI70" s="1" t="str">
        <f t="shared" si="68"/>
        <v/>
      </c>
      <c r="BJ70" s="1" t="str">
        <f t="shared" si="69"/>
        <v/>
      </c>
    </row>
    <row r="71" ht="14.25" customHeight="1" spans="1:62">
      <c r="A71" s="10">
        <v>67</v>
      </c>
      <c r="B71" s="36" t="s">
        <v>347</v>
      </c>
      <c r="C71" s="10">
        <v>2024</v>
      </c>
      <c r="D71" s="10">
        <f t="shared" si="35"/>
        <v>2020</v>
      </c>
      <c r="E71" s="36" t="s">
        <v>136</v>
      </c>
      <c r="F71" s="35" t="s">
        <v>348</v>
      </c>
      <c r="G71" s="36" t="s">
        <v>349</v>
      </c>
      <c r="H71" s="10" t="s">
        <v>140</v>
      </c>
      <c r="I71" s="10" t="s">
        <v>140</v>
      </c>
      <c r="J71" s="10"/>
      <c r="K71" s="10">
        <v>3</v>
      </c>
      <c r="L71" s="10">
        <v>2</v>
      </c>
      <c r="M71" s="10">
        <v>1</v>
      </c>
      <c r="N71" s="10">
        <v>4</v>
      </c>
      <c r="O71" s="10">
        <v>5</v>
      </c>
      <c r="P71" s="10">
        <v>5</v>
      </c>
      <c r="Q71" s="10">
        <v>2</v>
      </c>
      <c r="R71" s="10">
        <v>3</v>
      </c>
      <c r="S71" s="10">
        <f t="shared" si="36"/>
        <v>0.5</v>
      </c>
      <c r="T71" s="10">
        <f t="shared" si="37"/>
        <v>0.25</v>
      </c>
      <c r="U71" s="10">
        <f t="shared" si="38"/>
        <v>0</v>
      </c>
      <c r="V71" s="10">
        <f t="shared" si="39"/>
        <v>0.75</v>
      </c>
      <c r="W71" s="10">
        <f t="shared" si="40"/>
        <v>1</v>
      </c>
      <c r="X71" s="10">
        <f t="shared" si="41"/>
        <v>1</v>
      </c>
      <c r="Y71" s="10">
        <f t="shared" si="42"/>
        <v>0.25</v>
      </c>
      <c r="Z71" s="10">
        <f t="shared" si="43"/>
        <v>0.5</v>
      </c>
      <c r="AA71" s="10" t="str">
        <f t="shared" si="44"/>
        <v/>
      </c>
      <c r="AB71" s="10" t="str">
        <f t="shared" si="45"/>
        <v/>
      </c>
      <c r="AC71" s="10" t="str">
        <f t="shared" si="46"/>
        <v/>
      </c>
      <c r="AD71" s="10" t="str">
        <f t="shared" si="47"/>
        <v/>
      </c>
      <c r="AE71" s="10" t="str">
        <f t="shared" si="48"/>
        <v/>
      </c>
      <c r="AF71" s="10" t="str">
        <f t="shared" si="49"/>
        <v/>
      </c>
      <c r="AG71" s="10" t="str">
        <f t="shared" si="50"/>
        <v/>
      </c>
      <c r="AH71" s="10" t="str">
        <f t="shared" si="51"/>
        <v/>
      </c>
      <c r="AI71" s="10">
        <f>IF(OR(S71="",'4_BENCHMARK'!$C$4=""),"",ABS(S71-'4_BENCHMARK'!$C$4))</f>
        <v>0.5</v>
      </c>
      <c r="AJ71" s="10">
        <f>IF(OR(T71="",'4_BENCHMARK'!$C$5=""),"",ABS(T71-'4_BENCHMARK'!$C$5))</f>
        <v>0.75</v>
      </c>
      <c r="AK71" s="10">
        <f>IF(OR(U71="",'4_BENCHMARK'!$C$6=""),"",ABS(U71-'4_BENCHMARK'!$C$6))</f>
        <v>1</v>
      </c>
      <c r="AL71" s="10">
        <f>IF(OR(V71="",'4_BENCHMARK'!$C$7=""),"",ABS(V71-'4_BENCHMARK'!$C$7))</f>
        <v>0.25</v>
      </c>
      <c r="AM71" s="10">
        <f>IF(OR(W71="",'4_BENCHMARK'!$C$8=""),"",ABS(W71-'4_BENCHMARK'!$C$8))</f>
        <v>1</v>
      </c>
      <c r="AN71" s="10">
        <f>IF(OR(X71="",'4_BENCHMARK'!$C$9=""),"",ABS(X71-'4_BENCHMARK'!$C$9))</f>
        <v>1</v>
      </c>
      <c r="AO71" s="10">
        <f>IF(OR(Y71="",'4_BENCHMARK'!$C$10=""),"",ABS(Y71-'4_BENCHMARK'!$C$10))</f>
        <v>0.25</v>
      </c>
      <c r="AP71" s="10">
        <f>IF(OR(Z71="",'4_BENCHMARK'!$C$11=""),"",ABS(Z71-'4_BENCHMARK'!$C$11))</f>
        <v>0.5</v>
      </c>
      <c r="AQ71" s="13">
        <f t="shared" si="52"/>
        <v>0.34375</v>
      </c>
      <c r="AR71" s="10"/>
      <c r="AS71" s="10" t="s">
        <v>145</v>
      </c>
      <c r="AT71" s="13">
        <f t="shared" si="53"/>
        <v>0.458333333333333</v>
      </c>
      <c r="AU71" s="1" t="str">
        <f t="shared" si="54"/>
        <v/>
      </c>
      <c r="AV71" s="1" t="str">
        <f t="shared" si="55"/>
        <v/>
      </c>
      <c r="AW71" s="1" t="str">
        <f t="shared" si="56"/>
        <v/>
      </c>
      <c r="AX71" s="1" t="str">
        <f t="shared" si="57"/>
        <v/>
      </c>
      <c r="AY71" s="1" t="str">
        <f t="shared" si="58"/>
        <v/>
      </c>
      <c r="AZ71" s="1" t="str">
        <f t="shared" si="59"/>
        <v/>
      </c>
      <c r="BA71" s="1" t="str">
        <f t="shared" si="60"/>
        <v/>
      </c>
      <c r="BB71" s="1" t="str">
        <f t="shared" si="61"/>
        <v/>
      </c>
      <c r="BC71" s="1">
        <f t="shared" si="62"/>
        <v>3</v>
      </c>
      <c r="BD71" s="1">
        <f t="shared" si="63"/>
        <v>2</v>
      </c>
      <c r="BE71" s="1">
        <f t="shared" si="64"/>
        <v>1</v>
      </c>
      <c r="BF71" s="1">
        <f t="shared" si="65"/>
        <v>4</v>
      </c>
      <c r="BG71" s="1">
        <f t="shared" si="66"/>
        <v>5</v>
      </c>
      <c r="BH71" s="1">
        <f t="shared" si="67"/>
        <v>5</v>
      </c>
      <c r="BI71" s="1">
        <f t="shared" si="68"/>
        <v>2</v>
      </c>
      <c r="BJ71" s="1">
        <f t="shared" si="69"/>
        <v>3</v>
      </c>
    </row>
    <row r="72" ht="14.25" customHeight="1" spans="1:62">
      <c r="A72" s="10">
        <v>68</v>
      </c>
      <c r="B72" s="36" t="s">
        <v>350</v>
      </c>
      <c r="C72" s="10">
        <v>1911</v>
      </c>
      <c r="D72" s="10">
        <f t="shared" si="35"/>
        <v>1910</v>
      </c>
      <c r="E72" s="36" t="s">
        <v>136</v>
      </c>
      <c r="F72" s="35" t="s">
        <v>351</v>
      </c>
      <c r="G72" s="36" t="s">
        <v>352</v>
      </c>
      <c r="H72" s="10" t="s">
        <v>139</v>
      </c>
      <c r="I72" s="10" t="s">
        <v>140</v>
      </c>
      <c r="J72" s="10"/>
      <c r="K72" s="10">
        <v>5</v>
      </c>
      <c r="L72" s="10">
        <v>5</v>
      </c>
      <c r="M72" s="10">
        <v>5</v>
      </c>
      <c r="N72" s="10">
        <v>4</v>
      </c>
      <c r="O72" s="10">
        <v>1</v>
      </c>
      <c r="P72" s="10">
        <v>1</v>
      </c>
      <c r="Q72" s="10">
        <v>2</v>
      </c>
      <c r="R72" s="10">
        <v>5</v>
      </c>
      <c r="S72" s="10">
        <f t="shared" si="36"/>
        <v>1</v>
      </c>
      <c r="T72" s="10">
        <f t="shared" si="37"/>
        <v>1</v>
      </c>
      <c r="U72" s="10">
        <f t="shared" si="38"/>
        <v>1</v>
      </c>
      <c r="V72" s="10">
        <f t="shared" si="39"/>
        <v>0.75</v>
      </c>
      <c r="W72" s="10">
        <f t="shared" si="40"/>
        <v>0</v>
      </c>
      <c r="X72" s="10">
        <f t="shared" si="41"/>
        <v>0</v>
      </c>
      <c r="Y72" s="10">
        <f t="shared" si="42"/>
        <v>0.25</v>
      </c>
      <c r="Z72" s="10">
        <f t="shared" si="43"/>
        <v>1</v>
      </c>
      <c r="AA72" s="10">
        <f t="shared" si="44"/>
        <v>1</v>
      </c>
      <c r="AB72" s="10">
        <f t="shared" si="45"/>
        <v>1</v>
      </c>
      <c r="AC72" s="10">
        <f t="shared" si="46"/>
        <v>1</v>
      </c>
      <c r="AD72" s="10">
        <f t="shared" si="47"/>
        <v>0.75</v>
      </c>
      <c r="AE72" s="10">
        <f t="shared" si="48"/>
        <v>0</v>
      </c>
      <c r="AF72" s="10">
        <f t="shared" si="49"/>
        <v>0</v>
      </c>
      <c r="AG72" s="10">
        <f t="shared" si="50"/>
        <v>0.25</v>
      </c>
      <c r="AH72" s="10">
        <f t="shared" si="51"/>
        <v>1</v>
      </c>
      <c r="AI72" s="10">
        <f>IF(OR(S72="",'4_BENCHMARK'!$C$4=""),"",ABS(S72-'4_BENCHMARK'!$C$4))</f>
        <v>0</v>
      </c>
      <c r="AJ72" s="10">
        <f>IF(OR(T72="",'4_BENCHMARK'!$C$5=""),"",ABS(T72-'4_BENCHMARK'!$C$5))</f>
        <v>0</v>
      </c>
      <c r="AK72" s="10">
        <f>IF(OR(U72="",'4_BENCHMARK'!$C$6=""),"",ABS(U72-'4_BENCHMARK'!$C$6))</f>
        <v>0</v>
      </c>
      <c r="AL72" s="10">
        <f>IF(OR(V72="",'4_BENCHMARK'!$C$7=""),"",ABS(V72-'4_BENCHMARK'!$C$7))</f>
        <v>0.25</v>
      </c>
      <c r="AM72" s="10">
        <f>IF(OR(W72="",'4_BENCHMARK'!$C$8=""),"",ABS(W72-'4_BENCHMARK'!$C$8))</f>
        <v>0</v>
      </c>
      <c r="AN72" s="10">
        <f>IF(OR(X72="",'4_BENCHMARK'!$C$9=""),"",ABS(X72-'4_BENCHMARK'!$C$9))</f>
        <v>0</v>
      </c>
      <c r="AO72" s="10">
        <f>IF(OR(Y72="",'4_BENCHMARK'!$C$10=""),"",ABS(Y72-'4_BENCHMARK'!$C$10))</f>
        <v>0.25</v>
      </c>
      <c r="AP72" s="10">
        <f>IF(OR(Z72="",'4_BENCHMARK'!$C$11=""),"",ABS(Z72-'4_BENCHMARK'!$C$11))</f>
        <v>0</v>
      </c>
      <c r="AQ72" s="13">
        <f t="shared" si="52"/>
        <v>0.9375</v>
      </c>
      <c r="AR72" s="10"/>
      <c r="AS72" s="10" t="s">
        <v>141</v>
      </c>
      <c r="AT72" s="13">
        <f t="shared" si="53"/>
        <v>0.916666666666667</v>
      </c>
      <c r="AU72" s="1">
        <f t="shared" si="54"/>
        <v>5</v>
      </c>
      <c r="AV72" s="1">
        <f t="shared" si="55"/>
        <v>5</v>
      </c>
      <c r="AW72" s="1">
        <f t="shared" si="56"/>
        <v>5</v>
      </c>
      <c r="AX72" s="1">
        <f t="shared" si="57"/>
        <v>4</v>
      </c>
      <c r="AY72" s="1">
        <f t="shared" si="58"/>
        <v>1</v>
      </c>
      <c r="AZ72" s="1">
        <f t="shared" si="59"/>
        <v>1</v>
      </c>
      <c r="BA72" s="1">
        <f t="shared" si="60"/>
        <v>2</v>
      </c>
      <c r="BB72" s="1">
        <f t="shared" si="61"/>
        <v>5</v>
      </c>
      <c r="BC72" s="1" t="str">
        <f t="shared" si="62"/>
        <v/>
      </c>
      <c r="BD72" s="1" t="str">
        <f t="shared" si="63"/>
        <v/>
      </c>
      <c r="BE72" s="1" t="str">
        <f t="shared" si="64"/>
        <v/>
      </c>
      <c r="BF72" s="1" t="str">
        <f t="shared" si="65"/>
        <v/>
      </c>
      <c r="BG72" s="1" t="str">
        <f t="shared" si="66"/>
        <v/>
      </c>
      <c r="BH72" s="1" t="str">
        <f t="shared" si="67"/>
        <v/>
      </c>
      <c r="BI72" s="1" t="str">
        <f t="shared" si="68"/>
        <v/>
      </c>
      <c r="BJ72" s="1" t="str">
        <f t="shared" si="69"/>
        <v/>
      </c>
    </row>
    <row r="73" ht="14.25" customHeight="1" spans="1:62">
      <c r="A73" s="10">
        <v>69</v>
      </c>
      <c r="B73" s="36" t="s">
        <v>353</v>
      </c>
      <c r="C73" s="10">
        <v>2009</v>
      </c>
      <c r="D73" s="10">
        <f t="shared" si="35"/>
        <v>2000</v>
      </c>
      <c r="E73" s="36" t="s">
        <v>136</v>
      </c>
      <c r="F73" s="35" t="s">
        <v>354</v>
      </c>
      <c r="G73" s="36" t="s">
        <v>355</v>
      </c>
      <c r="H73" s="10" t="s">
        <v>140</v>
      </c>
      <c r="I73" s="10" t="s">
        <v>140</v>
      </c>
      <c r="J73" s="10"/>
      <c r="K73" s="10">
        <v>3</v>
      </c>
      <c r="L73" s="10">
        <v>4</v>
      </c>
      <c r="M73" s="10">
        <v>4</v>
      </c>
      <c r="N73" s="10">
        <v>4</v>
      </c>
      <c r="O73" s="10">
        <v>1</v>
      </c>
      <c r="P73" s="10">
        <v>1</v>
      </c>
      <c r="Q73" s="10">
        <v>3</v>
      </c>
      <c r="R73" s="10">
        <v>4</v>
      </c>
      <c r="S73" s="10">
        <f t="shared" si="36"/>
        <v>0.5</v>
      </c>
      <c r="T73" s="10">
        <f t="shared" si="37"/>
        <v>0.75</v>
      </c>
      <c r="U73" s="10">
        <f t="shared" si="38"/>
        <v>0.75</v>
      </c>
      <c r="V73" s="10">
        <f t="shared" si="39"/>
        <v>0.75</v>
      </c>
      <c r="W73" s="10">
        <f t="shared" si="40"/>
        <v>0</v>
      </c>
      <c r="X73" s="10">
        <f t="shared" si="41"/>
        <v>0</v>
      </c>
      <c r="Y73" s="10">
        <f t="shared" si="42"/>
        <v>0.5</v>
      </c>
      <c r="Z73" s="10">
        <f t="shared" si="43"/>
        <v>0.75</v>
      </c>
      <c r="AA73" s="10" t="str">
        <f t="shared" si="44"/>
        <v/>
      </c>
      <c r="AB73" s="10" t="str">
        <f t="shared" si="45"/>
        <v/>
      </c>
      <c r="AC73" s="10" t="str">
        <f t="shared" si="46"/>
        <v/>
      </c>
      <c r="AD73" s="10" t="str">
        <f t="shared" si="47"/>
        <v/>
      </c>
      <c r="AE73" s="10" t="str">
        <f t="shared" si="48"/>
        <v/>
      </c>
      <c r="AF73" s="10" t="str">
        <f t="shared" si="49"/>
        <v/>
      </c>
      <c r="AG73" s="10" t="str">
        <f t="shared" si="50"/>
        <v/>
      </c>
      <c r="AH73" s="10" t="str">
        <f t="shared" si="51"/>
        <v/>
      </c>
      <c r="AI73" s="10">
        <f>IF(OR(S73="",'4_BENCHMARK'!$C$4=""),"",ABS(S73-'4_BENCHMARK'!$C$4))</f>
        <v>0.5</v>
      </c>
      <c r="AJ73" s="10">
        <f>IF(OR(T73="",'4_BENCHMARK'!$C$5=""),"",ABS(T73-'4_BENCHMARK'!$C$5))</f>
        <v>0.25</v>
      </c>
      <c r="AK73" s="10">
        <f>IF(OR(U73="",'4_BENCHMARK'!$C$6=""),"",ABS(U73-'4_BENCHMARK'!$C$6))</f>
        <v>0.25</v>
      </c>
      <c r="AL73" s="10">
        <f>IF(OR(V73="",'4_BENCHMARK'!$C$7=""),"",ABS(V73-'4_BENCHMARK'!$C$7))</f>
        <v>0.25</v>
      </c>
      <c r="AM73" s="10">
        <f>IF(OR(W73="",'4_BENCHMARK'!$C$8=""),"",ABS(W73-'4_BENCHMARK'!$C$8))</f>
        <v>0</v>
      </c>
      <c r="AN73" s="10">
        <f>IF(OR(X73="",'4_BENCHMARK'!$C$9=""),"",ABS(X73-'4_BENCHMARK'!$C$9))</f>
        <v>0</v>
      </c>
      <c r="AO73" s="10">
        <f>IF(OR(Y73="",'4_BENCHMARK'!$C$10=""),"",ABS(Y73-'4_BENCHMARK'!$C$10))</f>
        <v>0</v>
      </c>
      <c r="AP73" s="10">
        <f>IF(OR(Z73="",'4_BENCHMARK'!$C$11=""),"",ABS(Z73-'4_BENCHMARK'!$C$11))</f>
        <v>0.25</v>
      </c>
      <c r="AQ73" s="13">
        <f t="shared" si="52"/>
        <v>0.8125</v>
      </c>
      <c r="AR73" s="10"/>
      <c r="AS73" s="10" t="s">
        <v>145</v>
      </c>
      <c r="AT73" s="13">
        <f t="shared" si="53"/>
        <v>0.75</v>
      </c>
      <c r="AU73" s="1" t="str">
        <f t="shared" si="54"/>
        <v/>
      </c>
      <c r="AV73" s="1" t="str">
        <f t="shared" si="55"/>
        <v/>
      </c>
      <c r="AW73" s="1" t="str">
        <f t="shared" si="56"/>
        <v/>
      </c>
      <c r="AX73" s="1" t="str">
        <f t="shared" si="57"/>
        <v/>
      </c>
      <c r="AY73" s="1" t="str">
        <f t="shared" si="58"/>
        <v/>
      </c>
      <c r="AZ73" s="1" t="str">
        <f t="shared" si="59"/>
        <v/>
      </c>
      <c r="BA73" s="1" t="str">
        <f t="shared" si="60"/>
        <v/>
      </c>
      <c r="BB73" s="1" t="str">
        <f t="shared" si="61"/>
        <v/>
      </c>
      <c r="BC73" s="1">
        <f t="shared" si="62"/>
        <v>3</v>
      </c>
      <c r="BD73" s="1">
        <f t="shared" si="63"/>
        <v>4</v>
      </c>
      <c r="BE73" s="1">
        <f t="shared" si="64"/>
        <v>4</v>
      </c>
      <c r="BF73" s="1">
        <f t="shared" si="65"/>
        <v>4</v>
      </c>
      <c r="BG73" s="1">
        <f t="shared" si="66"/>
        <v>1</v>
      </c>
      <c r="BH73" s="1">
        <f t="shared" si="67"/>
        <v>1</v>
      </c>
      <c r="BI73" s="1">
        <f t="shared" si="68"/>
        <v>3</v>
      </c>
      <c r="BJ73" s="1">
        <f t="shared" si="69"/>
        <v>4</v>
      </c>
    </row>
    <row r="74" ht="14.25" customHeight="1" spans="1:62">
      <c r="A74" s="10">
        <v>70</v>
      </c>
      <c r="B74" s="36" t="s">
        <v>356</v>
      </c>
      <c r="C74" s="10">
        <v>1895</v>
      </c>
      <c r="D74" s="10">
        <f t="shared" si="35"/>
        <v>1890</v>
      </c>
      <c r="E74" s="36" t="s">
        <v>136</v>
      </c>
      <c r="F74" s="35" t="s">
        <v>357</v>
      </c>
      <c r="G74" s="36" t="s">
        <v>358</v>
      </c>
      <c r="H74" s="10" t="s">
        <v>139</v>
      </c>
      <c r="I74" s="10" t="s">
        <v>140</v>
      </c>
      <c r="J74" s="10"/>
      <c r="K74" s="10">
        <v>5</v>
      </c>
      <c r="L74" s="10">
        <v>5</v>
      </c>
      <c r="M74" s="10">
        <v>5</v>
      </c>
      <c r="N74" s="10">
        <v>5</v>
      </c>
      <c r="O74" s="10">
        <v>1</v>
      </c>
      <c r="P74" s="10">
        <v>1</v>
      </c>
      <c r="Q74" s="10">
        <v>3</v>
      </c>
      <c r="R74" s="10">
        <v>5</v>
      </c>
      <c r="S74" s="10">
        <f t="shared" si="36"/>
        <v>1</v>
      </c>
      <c r="T74" s="10">
        <f t="shared" si="37"/>
        <v>1</v>
      </c>
      <c r="U74" s="10">
        <f t="shared" si="38"/>
        <v>1</v>
      </c>
      <c r="V74" s="10">
        <f t="shared" si="39"/>
        <v>1</v>
      </c>
      <c r="W74" s="10">
        <f t="shared" si="40"/>
        <v>0</v>
      </c>
      <c r="X74" s="10">
        <f t="shared" si="41"/>
        <v>0</v>
      </c>
      <c r="Y74" s="10">
        <f t="shared" si="42"/>
        <v>0.5</v>
      </c>
      <c r="Z74" s="10">
        <f t="shared" si="43"/>
        <v>1</v>
      </c>
      <c r="AA74" s="10">
        <f t="shared" si="44"/>
        <v>1</v>
      </c>
      <c r="AB74" s="10">
        <f t="shared" si="45"/>
        <v>1</v>
      </c>
      <c r="AC74" s="10">
        <f t="shared" si="46"/>
        <v>1</v>
      </c>
      <c r="AD74" s="10">
        <f t="shared" si="47"/>
        <v>1</v>
      </c>
      <c r="AE74" s="10">
        <f t="shared" si="48"/>
        <v>0</v>
      </c>
      <c r="AF74" s="10">
        <f t="shared" si="49"/>
        <v>0</v>
      </c>
      <c r="AG74" s="10">
        <f t="shared" si="50"/>
        <v>0.5</v>
      </c>
      <c r="AH74" s="10">
        <f t="shared" si="51"/>
        <v>1</v>
      </c>
      <c r="AI74" s="10">
        <f>IF(OR(S74="",'4_BENCHMARK'!$C$4=""),"",ABS(S74-'4_BENCHMARK'!$C$4))</f>
        <v>0</v>
      </c>
      <c r="AJ74" s="10">
        <f>IF(OR(T74="",'4_BENCHMARK'!$C$5=""),"",ABS(T74-'4_BENCHMARK'!$C$5))</f>
        <v>0</v>
      </c>
      <c r="AK74" s="10">
        <f>IF(OR(U74="",'4_BENCHMARK'!$C$6=""),"",ABS(U74-'4_BENCHMARK'!$C$6))</f>
        <v>0</v>
      </c>
      <c r="AL74" s="10">
        <f>IF(OR(V74="",'4_BENCHMARK'!$C$7=""),"",ABS(V74-'4_BENCHMARK'!$C$7))</f>
        <v>0</v>
      </c>
      <c r="AM74" s="10">
        <f>IF(OR(W74="",'4_BENCHMARK'!$C$8=""),"",ABS(W74-'4_BENCHMARK'!$C$8))</f>
        <v>0</v>
      </c>
      <c r="AN74" s="10">
        <f>IF(OR(X74="",'4_BENCHMARK'!$C$9=""),"",ABS(X74-'4_BENCHMARK'!$C$9))</f>
        <v>0</v>
      </c>
      <c r="AO74" s="10">
        <f>IF(OR(Y74="",'4_BENCHMARK'!$C$10=""),"",ABS(Y74-'4_BENCHMARK'!$C$10))</f>
        <v>0</v>
      </c>
      <c r="AP74" s="10">
        <f>IF(OR(Z74="",'4_BENCHMARK'!$C$11=""),"",ABS(Z74-'4_BENCHMARK'!$C$11))</f>
        <v>0</v>
      </c>
      <c r="AQ74" s="13">
        <f t="shared" si="52"/>
        <v>1</v>
      </c>
      <c r="AR74" s="10"/>
      <c r="AS74" s="10" t="s">
        <v>141</v>
      </c>
      <c r="AT74" s="13">
        <f t="shared" si="53"/>
        <v>1</v>
      </c>
      <c r="AU74" s="1">
        <f t="shared" si="54"/>
        <v>5</v>
      </c>
      <c r="AV74" s="1">
        <f t="shared" si="55"/>
        <v>5</v>
      </c>
      <c r="AW74" s="1">
        <f t="shared" si="56"/>
        <v>5</v>
      </c>
      <c r="AX74" s="1">
        <f t="shared" si="57"/>
        <v>5</v>
      </c>
      <c r="AY74" s="1">
        <f t="shared" si="58"/>
        <v>1</v>
      </c>
      <c r="AZ74" s="1">
        <f t="shared" si="59"/>
        <v>1</v>
      </c>
      <c r="BA74" s="1">
        <f t="shared" si="60"/>
        <v>3</v>
      </c>
      <c r="BB74" s="1">
        <f t="shared" si="61"/>
        <v>5</v>
      </c>
      <c r="BC74" s="1" t="str">
        <f t="shared" si="62"/>
        <v/>
      </c>
      <c r="BD74" s="1" t="str">
        <f t="shared" si="63"/>
        <v/>
      </c>
      <c r="BE74" s="1" t="str">
        <f t="shared" si="64"/>
        <v/>
      </c>
      <c r="BF74" s="1" t="str">
        <f t="shared" si="65"/>
        <v/>
      </c>
      <c r="BG74" s="1" t="str">
        <f t="shared" si="66"/>
        <v/>
      </c>
      <c r="BH74" s="1" t="str">
        <f t="shared" si="67"/>
        <v/>
      </c>
      <c r="BI74" s="1" t="str">
        <f t="shared" si="68"/>
        <v/>
      </c>
      <c r="BJ74" s="1" t="str">
        <f t="shared" si="69"/>
        <v/>
      </c>
    </row>
    <row r="75" ht="14.25" customHeight="1" spans="1:62">
      <c r="A75" s="10">
        <v>71</v>
      </c>
      <c r="B75" s="36" t="s">
        <v>359</v>
      </c>
      <c r="C75" s="10">
        <v>1913</v>
      </c>
      <c r="D75" s="10">
        <f t="shared" si="35"/>
        <v>1910</v>
      </c>
      <c r="E75" s="36" t="s">
        <v>136</v>
      </c>
      <c r="F75" s="35" t="s">
        <v>360</v>
      </c>
      <c r="G75" s="36" t="s">
        <v>361</v>
      </c>
      <c r="H75" s="10" t="s">
        <v>139</v>
      </c>
      <c r="I75" s="10" t="s">
        <v>140</v>
      </c>
      <c r="J75" s="10"/>
      <c r="K75" s="10">
        <v>5</v>
      </c>
      <c r="L75" s="10">
        <v>5</v>
      </c>
      <c r="M75" s="10">
        <v>5</v>
      </c>
      <c r="N75" s="10">
        <v>5</v>
      </c>
      <c r="O75" s="10">
        <v>1</v>
      </c>
      <c r="P75" s="10">
        <v>1</v>
      </c>
      <c r="Q75" s="10">
        <v>2</v>
      </c>
      <c r="R75" s="10">
        <v>4</v>
      </c>
      <c r="S75" s="10">
        <f t="shared" si="36"/>
        <v>1</v>
      </c>
      <c r="T75" s="10">
        <f t="shared" si="37"/>
        <v>1</v>
      </c>
      <c r="U75" s="10">
        <f t="shared" si="38"/>
        <v>1</v>
      </c>
      <c r="V75" s="10">
        <f t="shared" si="39"/>
        <v>1</v>
      </c>
      <c r="W75" s="10">
        <f t="shared" si="40"/>
        <v>0</v>
      </c>
      <c r="X75" s="10">
        <f t="shared" si="41"/>
        <v>0</v>
      </c>
      <c r="Y75" s="10">
        <f t="shared" si="42"/>
        <v>0.25</v>
      </c>
      <c r="Z75" s="10">
        <f t="shared" si="43"/>
        <v>0.75</v>
      </c>
      <c r="AA75" s="10">
        <f t="shared" si="44"/>
        <v>1</v>
      </c>
      <c r="AB75" s="10">
        <f t="shared" si="45"/>
        <v>1</v>
      </c>
      <c r="AC75" s="10">
        <f t="shared" si="46"/>
        <v>1</v>
      </c>
      <c r="AD75" s="10">
        <f t="shared" si="47"/>
        <v>1</v>
      </c>
      <c r="AE75" s="10">
        <f t="shared" si="48"/>
        <v>0</v>
      </c>
      <c r="AF75" s="10">
        <f t="shared" si="49"/>
        <v>0</v>
      </c>
      <c r="AG75" s="10">
        <f t="shared" si="50"/>
        <v>0.25</v>
      </c>
      <c r="AH75" s="10">
        <f t="shared" si="51"/>
        <v>0.75</v>
      </c>
      <c r="AI75" s="10">
        <f>IF(OR(S75="",'4_BENCHMARK'!$C$4=""),"",ABS(S75-'4_BENCHMARK'!$C$4))</f>
        <v>0</v>
      </c>
      <c r="AJ75" s="10">
        <f>IF(OR(T75="",'4_BENCHMARK'!$C$5=""),"",ABS(T75-'4_BENCHMARK'!$C$5))</f>
        <v>0</v>
      </c>
      <c r="AK75" s="10">
        <f>IF(OR(U75="",'4_BENCHMARK'!$C$6=""),"",ABS(U75-'4_BENCHMARK'!$C$6))</f>
        <v>0</v>
      </c>
      <c r="AL75" s="10">
        <f>IF(OR(V75="",'4_BENCHMARK'!$C$7=""),"",ABS(V75-'4_BENCHMARK'!$C$7))</f>
        <v>0</v>
      </c>
      <c r="AM75" s="10">
        <f>IF(OR(W75="",'4_BENCHMARK'!$C$8=""),"",ABS(W75-'4_BENCHMARK'!$C$8))</f>
        <v>0</v>
      </c>
      <c r="AN75" s="10">
        <f>IF(OR(X75="",'4_BENCHMARK'!$C$9=""),"",ABS(X75-'4_BENCHMARK'!$C$9))</f>
        <v>0</v>
      </c>
      <c r="AO75" s="10">
        <f>IF(OR(Y75="",'4_BENCHMARK'!$C$10=""),"",ABS(Y75-'4_BENCHMARK'!$C$10))</f>
        <v>0.25</v>
      </c>
      <c r="AP75" s="10">
        <f>IF(OR(Z75="",'4_BENCHMARK'!$C$11=""),"",ABS(Z75-'4_BENCHMARK'!$C$11))</f>
        <v>0.25</v>
      </c>
      <c r="AQ75" s="13">
        <f t="shared" si="52"/>
        <v>0.9375</v>
      </c>
      <c r="AR75" s="10"/>
      <c r="AS75" s="10" t="s">
        <v>141</v>
      </c>
      <c r="AT75" s="13">
        <f t="shared" si="53"/>
        <v>0.916666666666667</v>
      </c>
      <c r="AU75" s="1">
        <f t="shared" si="54"/>
        <v>5</v>
      </c>
      <c r="AV75" s="1">
        <f t="shared" si="55"/>
        <v>5</v>
      </c>
      <c r="AW75" s="1">
        <f t="shared" si="56"/>
        <v>5</v>
      </c>
      <c r="AX75" s="1">
        <f t="shared" si="57"/>
        <v>5</v>
      </c>
      <c r="AY75" s="1">
        <f t="shared" si="58"/>
        <v>1</v>
      </c>
      <c r="AZ75" s="1">
        <f t="shared" si="59"/>
        <v>1</v>
      </c>
      <c r="BA75" s="1">
        <f t="shared" si="60"/>
        <v>2</v>
      </c>
      <c r="BB75" s="1">
        <f t="shared" si="61"/>
        <v>4</v>
      </c>
      <c r="BC75" s="1" t="str">
        <f t="shared" si="62"/>
        <v/>
      </c>
      <c r="BD75" s="1" t="str">
        <f t="shared" si="63"/>
        <v/>
      </c>
      <c r="BE75" s="1" t="str">
        <f t="shared" si="64"/>
        <v/>
      </c>
      <c r="BF75" s="1" t="str">
        <f t="shared" si="65"/>
        <v/>
      </c>
      <c r="BG75" s="1" t="str">
        <f t="shared" si="66"/>
        <v/>
      </c>
      <c r="BH75" s="1" t="str">
        <f t="shared" si="67"/>
        <v/>
      </c>
      <c r="BI75" s="1" t="str">
        <f t="shared" si="68"/>
        <v/>
      </c>
      <c r="BJ75" s="1" t="str">
        <f t="shared" si="69"/>
        <v/>
      </c>
    </row>
    <row r="76" ht="14.25" customHeight="1" spans="1:62">
      <c r="A76" s="10">
        <v>72</v>
      </c>
      <c r="B76" s="36" t="s">
        <v>362</v>
      </c>
      <c r="C76" s="10">
        <v>1907</v>
      </c>
      <c r="D76" s="10">
        <f t="shared" si="35"/>
        <v>1900</v>
      </c>
      <c r="E76" s="36" t="s">
        <v>136</v>
      </c>
      <c r="F76" s="35" t="s">
        <v>363</v>
      </c>
      <c r="G76" s="36" t="s">
        <v>364</v>
      </c>
      <c r="H76" s="10" t="s">
        <v>139</v>
      </c>
      <c r="I76" s="10" t="s">
        <v>140</v>
      </c>
      <c r="J76" s="10"/>
      <c r="K76" s="10">
        <v>5</v>
      </c>
      <c r="L76" s="10">
        <v>5</v>
      </c>
      <c r="M76" s="10">
        <v>5</v>
      </c>
      <c r="N76" s="10">
        <v>5</v>
      </c>
      <c r="O76" s="10">
        <v>5</v>
      </c>
      <c r="P76" s="10">
        <v>5</v>
      </c>
      <c r="Q76" s="10">
        <v>3</v>
      </c>
      <c r="R76" s="10">
        <v>5</v>
      </c>
      <c r="S76" s="10">
        <f t="shared" si="36"/>
        <v>1</v>
      </c>
      <c r="T76" s="10">
        <f t="shared" si="37"/>
        <v>1</v>
      </c>
      <c r="U76" s="10">
        <f t="shared" si="38"/>
        <v>1</v>
      </c>
      <c r="V76" s="10">
        <f t="shared" si="39"/>
        <v>1</v>
      </c>
      <c r="W76" s="10">
        <f t="shared" si="40"/>
        <v>1</v>
      </c>
      <c r="X76" s="10">
        <f t="shared" si="41"/>
        <v>1</v>
      </c>
      <c r="Y76" s="10">
        <f t="shared" si="42"/>
        <v>0.5</v>
      </c>
      <c r="Z76" s="10">
        <f t="shared" si="43"/>
        <v>1</v>
      </c>
      <c r="AA76" s="10">
        <f t="shared" si="44"/>
        <v>1</v>
      </c>
      <c r="AB76" s="10">
        <f t="shared" si="45"/>
        <v>1</v>
      </c>
      <c r="AC76" s="10">
        <f t="shared" si="46"/>
        <v>1</v>
      </c>
      <c r="AD76" s="10">
        <f t="shared" si="47"/>
        <v>1</v>
      </c>
      <c r="AE76" s="10">
        <f t="shared" si="48"/>
        <v>1</v>
      </c>
      <c r="AF76" s="10">
        <f t="shared" si="49"/>
        <v>1</v>
      </c>
      <c r="AG76" s="10">
        <f t="shared" si="50"/>
        <v>0.5</v>
      </c>
      <c r="AH76" s="10">
        <f t="shared" si="51"/>
        <v>1</v>
      </c>
      <c r="AI76" s="10">
        <f>IF(OR(S76="",'4_BENCHMARK'!$C$4=""),"",ABS(S76-'4_BENCHMARK'!$C$4))</f>
        <v>0</v>
      </c>
      <c r="AJ76" s="10">
        <f>IF(OR(T76="",'4_BENCHMARK'!$C$5=""),"",ABS(T76-'4_BENCHMARK'!$C$5))</f>
        <v>0</v>
      </c>
      <c r="AK76" s="10">
        <f>IF(OR(U76="",'4_BENCHMARK'!$C$6=""),"",ABS(U76-'4_BENCHMARK'!$C$6))</f>
        <v>0</v>
      </c>
      <c r="AL76" s="10">
        <f>IF(OR(V76="",'4_BENCHMARK'!$C$7=""),"",ABS(V76-'4_BENCHMARK'!$C$7))</f>
        <v>0</v>
      </c>
      <c r="AM76" s="10">
        <f>IF(OR(W76="",'4_BENCHMARK'!$C$8=""),"",ABS(W76-'4_BENCHMARK'!$C$8))</f>
        <v>1</v>
      </c>
      <c r="AN76" s="10">
        <f>IF(OR(X76="",'4_BENCHMARK'!$C$9=""),"",ABS(X76-'4_BENCHMARK'!$C$9))</f>
        <v>1</v>
      </c>
      <c r="AO76" s="10">
        <f>IF(OR(Y76="",'4_BENCHMARK'!$C$10=""),"",ABS(Y76-'4_BENCHMARK'!$C$10))</f>
        <v>0</v>
      </c>
      <c r="AP76" s="10">
        <f>IF(OR(Z76="",'4_BENCHMARK'!$C$11=""),"",ABS(Z76-'4_BENCHMARK'!$C$11))</f>
        <v>0</v>
      </c>
      <c r="AQ76" s="13">
        <f t="shared" si="52"/>
        <v>0.75</v>
      </c>
      <c r="AR76" s="10"/>
      <c r="AS76" s="10" t="s">
        <v>141</v>
      </c>
      <c r="AT76" s="13">
        <f t="shared" si="53"/>
        <v>1</v>
      </c>
      <c r="AU76" s="1">
        <f t="shared" si="54"/>
        <v>5</v>
      </c>
      <c r="AV76" s="1">
        <f t="shared" si="55"/>
        <v>5</v>
      </c>
      <c r="AW76" s="1">
        <f t="shared" si="56"/>
        <v>5</v>
      </c>
      <c r="AX76" s="1">
        <f t="shared" si="57"/>
        <v>5</v>
      </c>
      <c r="AY76" s="1">
        <f t="shared" si="58"/>
        <v>5</v>
      </c>
      <c r="AZ76" s="1">
        <f t="shared" si="59"/>
        <v>5</v>
      </c>
      <c r="BA76" s="1">
        <f t="shared" si="60"/>
        <v>3</v>
      </c>
      <c r="BB76" s="1">
        <f t="shared" si="61"/>
        <v>5</v>
      </c>
      <c r="BC76" s="1" t="str">
        <f t="shared" si="62"/>
        <v/>
      </c>
      <c r="BD76" s="1" t="str">
        <f t="shared" si="63"/>
        <v/>
      </c>
      <c r="BE76" s="1" t="str">
        <f t="shared" si="64"/>
        <v/>
      </c>
      <c r="BF76" s="1" t="str">
        <f t="shared" si="65"/>
        <v/>
      </c>
      <c r="BG76" s="1" t="str">
        <f t="shared" si="66"/>
        <v/>
      </c>
      <c r="BH76" s="1" t="str">
        <f t="shared" si="67"/>
        <v/>
      </c>
      <c r="BI76" s="1" t="str">
        <f t="shared" si="68"/>
        <v/>
      </c>
      <c r="BJ76" s="1" t="str">
        <f t="shared" si="69"/>
        <v/>
      </c>
    </row>
    <row r="77" ht="14.25" customHeight="1" spans="1:62">
      <c r="A77" s="10">
        <v>73</v>
      </c>
      <c r="B77" s="36" t="s">
        <v>365</v>
      </c>
      <c r="C77" s="10">
        <v>1882</v>
      </c>
      <c r="D77" s="10">
        <f t="shared" si="35"/>
        <v>1880</v>
      </c>
      <c r="E77" s="36" t="s">
        <v>136</v>
      </c>
      <c r="F77" s="35" t="s">
        <v>366</v>
      </c>
      <c r="G77" s="36" t="s">
        <v>367</v>
      </c>
      <c r="H77" s="10" t="s">
        <v>139</v>
      </c>
      <c r="I77" s="10" t="s">
        <v>140</v>
      </c>
      <c r="J77" s="10"/>
      <c r="K77" s="10">
        <v>5</v>
      </c>
      <c r="L77" s="10">
        <v>5</v>
      </c>
      <c r="M77" s="10">
        <v>5</v>
      </c>
      <c r="N77" s="10">
        <v>5</v>
      </c>
      <c r="O77" s="10">
        <v>1</v>
      </c>
      <c r="P77" s="10">
        <v>1</v>
      </c>
      <c r="Q77" s="10">
        <v>3</v>
      </c>
      <c r="R77" s="10">
        <v>5</v>
      </c>
      <c r="S77" s="10">
        <f t="shared" si="36"/>
        <v>1</v>
      </c>
      <c r="T77" s="10">
        <f t="shared" si="37"/>
        <v>1</v>
      </c>
      <c r="U77" s="10">
        <f t="shared" si="38"/>
        <v>1</v>
      </c>
      <c r="V77" s="10">
        <f t="shared" si="39"/>
        <v>1</v>
      </c>
      <c r="W77" s="10">
        <f t="shared" si="40"/>
        <v>0</v>
      </c>
      <c r="X77" s="10">
        <f t="shared" si="41"/>
        <v>0</v>
      </c>
      <c r="Y77" s="10">
        <f t="shared" si="42"/>
        <v>0.5</v>
      </c>
      <c r="Z77" s="10">
        <f t="shared" si="43"/>
        <v>1</v>
      </c>
      <c r="AA77" s="10">
        <f t="shared" si="44"/>
        <v>1</v>
      </c>
      <c r="AB77" s="10">
        <f t="shared" si="45"/>
        <v>1</v>
      </c>
      <c r="AC77" s="10">
        <f t="shared" si="46"/>
        <v>1</v>
      </c>
      <c r="AD77" s="10">
        <f t="shared" si="47"/>
        <v>1</v>
      </c>
      <c r="AE77" s="10">
        <f t="shared" si="48"/>
        <v>0</v>
      </c>
      <c r="AF77" s="10">
        <f t="shared" si="49"/>
        <v>0</v>
      </c>
      <c r="AG77" s="10">
        <f t="shared" si="50"/>
        <v>0.5</v>
      </c>
      <c r="AH77" s="10">
        <f t="shared" si="51"/>
        <v>1</v>
      </c>
      <c r="AI77" s="10">
        <f>IF(OR(S77="",'4_BENCHMARK'!$C$4=""),"",ABS(S77-'4_BENCHMARK'!$C$4))</f>
        <v>0</v>
      </c>
      <c r="AJ77" s="10">
        <f>IF(OR(T77="",'4_BENCHMARK'!$C$5=""),"",ABS(T77-'4_BENCHMARK'!$C$5))</f>
        <v>0</v>
      </c>
      <c r="AK77" s="10">
        <f>IF(OR(U77="",'4_BENCHMARK'!$C$6=""),"",ABS(U77-'4_BENCHMARK'!$C$6))</f>
        <v>0</v>
      </c>
      <c r="AL77" s="10">
        <f>IF(OR(V77="",'4_BENCHMARK'!$C$7=""),"",ABS(V77-'4_BENCHMARK'!$C$7))</f>
        <v>0</v>
      </c>
      <c r="AM77" s="10">
        <f>IF(OR(W77="",'4_BENCHMARK'!$C$8=""),"",ABS(W77-'4_BENCHMARK'!$C$8))</f>
        <v>0</v>
      </c>
      <c r="AN77" s="10">
        <f>IF(OR(X77="",'4_BENCHMARK'!$C$9=""),"",ABS(X77-'4_BENCHMARK'!$C$9))</f>
        <v>0</v>
      </c>
      <c r="AO77" s="10">
        <f>IF(OR(Y77="",'4_BENCHMARK'!$C$10=""),"",ABS(Y77-'4_BENCHMARK'!$C$10))</f>
        <v>0</v>
      </c>
      <c r="AP77" s="10">
        <f>IF(OR(Z77="",'4_BENCHMARK'!$C$11=""),"",ABS(Z77-'4_BENCHMARK'!$C$11))</f>
        <v>0</v>
      </c>
      <c r="AQ77" s="13">
        <f t="shared" si="52"/>
        <v>1</v>
      </c>
      <c r="AR77" s="10"/>
      <c r="AS77" s="10" t="s">
        <v>141</v>
      </c>
      <c r="AT77" s="13">
        <f t="shared" si="53"/>
        <v>1</v>
      </c>
      <c r="AU77" s="1">
        <f t="shared" si="54"/>
        <v>5</v>
      </c>
      <c r="AV77" s="1">
        <f t="shared" si="55"/>
        <v>5</v>
      </c>
      <c r="AW77" s="1">
        <f t="shared" si="56"/>
        <v>5</v>
      </c>
      <c r="AX77" s="1">
        <f t="shared" si="57"/>
        <v>5</v>
      </c>
      <c r="AY77" s="1">
        <f t="shared" si="58"/>
        <v>1</v>
      </c>
      <c r="AZ77" s="1">
        <f t="shared" si="59"/>
        <v>1</v>
      </c>
      <c r="BA77" s="1">
        <f t="shared" si="60"/>
        <v>3</v>
      </c>
      <c r="BB77" s="1">
        <f t="shared" si="61"/>
        <v>5</v>
      </c>
      <c r="BC77" s="1" t="str">
        <f t="shared" si="62"/>
        <v/>
      </c>
      <c r="BD77" s="1" t="str">
        <f t="shared" si="63"/>
        <v/>
      </c>
      <c r="BE77" s="1" t="str">
        <f t="shared" si="64"/>
        <v/>
      </c>
      <c r="BF77" s="1" t="str">
        <f t="shared" si="65"/>
        <v/>
      </c>
      <c r="BG77" s="1" t="str">
        <f t="shared" si="66"/>
        <v/>
      </c>
      <c r="BH77" s="1" t="str">
        <f t="shared" si="67"/>
        <v/>
      </c>
      <c r="BI77" s="1" t="str">
        <f t="shared" si="68"/>
        <v/>
      </c>
      <c r="BJ77" s="1" t="str">
        <f t="shared" si="69"/>
        <v/>
      </c>
    </row>
    <row r="78" ht="14.25" customHeight="1" spans="1:62">
      <c r="A78" s="10">
        <v>74</v>
      </c>
      <c r="B78" s="36" t="s">
        <v>368</v>
      </c>
      <c r="C78" s="10">
        <v>2022</v>
      </c>
      <c r="D78" s="10">
        <f t="shared" si="35"/>
        <v>2020</v>
      </c>
      <c r="E78" s="36" t="s">
        <v>136</v>
      </c>
      <c r="F78" s="35" t="s">
        <v>369</v>
      </c>
      <c r="G78" s="36" t="s">
        <v>370</v>
      </c>
      <c r="H78" s="10" t="s">
        <v>140</v>
      </c>
      <c r="I78" s="10" t="s">
        <v>140</v>
      </c>
      <c r="J78" s="10"/>
      <c r="K78" s="10">
        <v>5</v>
      </c>
      <c r="L78" s="10">
        <v>5</v>
      </c>
      <c r="M78" s="10">
        <v>5</v>
      </c>
      <c r="N78" s="10">
        <v>4</v>
      </c>
      <c r="O78" s="10">
        <v>4</v>
      </c>
      <c r="P78" s="10">
        <v>5</v>
      </c>
      <c r="Q78" s="10">
        <v>2</v>
      </c>
      <c r="R78" s="10">
        <v>4</v>
      </c>
      <c r="S78" s="10">
        <f t="shared" si="36"/>
        <v>1</v>
      </c>
      <c r="T78" s="10">
        <f t="shared" si="37"/>
        <v>1</v>
      </c>
      <c r="U78" s="10">
        <f t="shared" si="38"/>
        <v>1</v>
      </c>
      <c r="V78" s="10">
        <f t="shared" si="39"/>
        <v>0.75</v>
      </c>
      <c r="W78" s="10">
        <f t="shared" si="40"/>
        <v>0.75</v>
      </c>
      <c r="X78" s="10">
        <f t="shared" si="41"/>
        <v>1</v>
      </c>
      <c r="Y78" s="10">
        <f t="shared" si="42"/>
        <v>0.25</v>
      </c>
      <c r="Z78" s="10">
        <f t="shared" si="43"/>
        <v>0.75</v>
      </c>
      <c r="AA78" s="10" t="str">
        <f t="shared" si="44"/>
        <v/>
      </c>
      <c r="AB78" s="10" t="str">
        <f t="shared" si="45"/>
        <v/>
      </c>
      <c r="AC78" s="10" t="str">
        <f t="shared" si="46"/>
        <v/>
      </c>
      <c r="AD78" s="10" t="str">
        <f t="shared" si="47"/>
        <v/>
      </c>
      <c r="AE78" s="10" t="str">
        <f t="shared" si="48"/>
        <v/>
      </c>
      <c r="AF78" s="10" t="str">
        <f t="shared" si="49"/>
        <v/>
      </c>
      <c r="AG78" s="10" t="str">
        <f t="shared" si="50"/>
        <v/>
      </c>
      <c r="AH78" s="10" t="str">
        <f t="shared" si="51"/>
        <v/>
      </c>
      <c r="AI78" s="10">
        <f>IF(OR(S78="",'4_BENCHMARK'!$C$4=""),"",ABS(S78-'4_BENCHMARK'!$C$4))</f>
        <v>0</v>
      </c>
      <c r="AJ78" s="10">
        <f>IF(OR(T78="",'4_BENCHMARK'!$C$5=""),"",ABS(T78-'4_BENCHMARK'!$C$5))</f>
        <v>0</v>
      </c>
      <c r="AK78" s="10">
        <f>IF(OR(U78="",'4_BENCHMARK'!$C$6=""),"",ABS(U78-'4_BENCHMARK'!$C$6))</f>
        <v>0</v>
      </c>
      <c r="AL78" s="10">
        <f>IF(OR(V78="",'4_BENCHMARK'!$C$7=""),"",ABS(V78-'4_BENCHMARK'!$C$7))</f>
        <v>0.25</v>
      </c>
      <c r="AM78" s="10">
        <f>IF(OR(W78="",'4_BENCHMARK'!$C$8=""),"",ABS(W78-'4_BENCHMARK'!$C$8))</f>
        <v>0.75</v>
      </c>
      <c r="AN78" s="10">
        <f>IF(OR(X78="",'4_BENCHMARK'!$C$9=""),"",ABS(X78-'4_BENCHMARK'!$C$9))</f>
        <v>1</v>
      </c>
      <c r="AO78" s="10">
        <f>IF(OR(Y78="",'4_BENCHMARK'!$C$10=""),"",ABS(Y78-'4_BENCHMARK'!$C$10))</f>
        <v>0.25</v>
      </c>
      <c r="AP78" s="10">
        <f>IF(OR(Z78="",'4_BENCHMARK'!$C$11=""),"",ABS(Z78-'4_BENCHMARK'!$C$11))</f>
        <v>0.25</v>
      </c>
      <c r="AQ78" s="13">
        <f t="shared" si="52"/>
        <v>0.6875</v>
      </c>
      <c r="AR78" s="10"/>
      <c r="AS78" s="10" t="s">
        <v>149</v>
      </c>
      <c r="AT78" s="13">
        <f t="shared" si="53"/>
        <v>0.875</v>
      </c>
      <c r="AU78" s="1" t="str">
        <f t="shared" si="54"/>
        <v/>
      </c>
      <c r="AV78" s="1" t="str">
        <f t="shared" si="55"/>
        <v/>
      </c>
      <c r="AW78" s="1" t="str">
        <f t="shared" si="56"/>
        <v/>
      </c>
      <c r="AX78" s="1" t="str">
        <f t="shared" si="57"/>
        <v/>
      </c>
      <c r="AY78" s="1" t="str">
        <f t="shared" si="58"/>
        <v/>
      </c>
      <c r="AZ78" s="1" t="str">
        <f t="shared" si="59"/>
        <v/>
      </c>
      <c r="BA78" s="1" t="str">
        <f t="shared" si="60"/>
        <v/>
      </c>
      <c r="BB78" s="1" t="str">
        <f t="shared" si="61"/>
        <v/>
      </c>
      <c r="BC78" s="1">
        <f t="shared" si="62"/>
        <v>5</v>
      </c>
      <c r="BD78" s="1">
        <f t="shared" si="63"/>
        <v>5</v>
      </c>
      <c r="BE78" s="1">
        <f t="shared" si="64"/>
        <v>5</v>
      </c>
      <c r="BF78" s="1">
        <f t="shared" si="65"/>
        <v>4</v>
      </c>
      <c r="BG78" s="1">
        <f t="shared" si="66"/>
        <v>4</v>
      </c>
      <c r="BH78" s="1">
        <f t="shared" si="67"/>
        <v>5</v>
      </c>
      <c r="BI78" s="1">
        <f t="shared" si="68"/>
        <v>2</v>
      </c>
      <c r="BJ78" s="1">
        <f t="shared" si="69"/>
        <v>4</v>
      </c>
    </row>
    <row r="79" ht="14.25" customHeight="1" spans="1:62">
      <c r="A79" s="10">
        <v>75</v>
      </c>
      <c r="B79" s="36" t="s">
        <v>371</v>
      </c>
      <c r="C79" s="10">
        <v>1960</v>
      </c>
      <c r="D79" s="10">
        <f t="shared" si="35"/>
        <v>1960</v>
      </c>
      <c r="E79" s="36" t="s">
        <v>136</v>
      </c>
      <c r="F79" s="35" t="s">
        <v>372</v>
      </c>
      <c r="G79" s="36" t="s">
        <v>373</v>
      </c>
      <c r="H79" s="10" t="s">
        <v>139</v>
      </c>
      <c r="I79" s="10" t="s">
        <v>140</v>
      </c>
      <c r="J79" s="36" t="s">
        <v>374</v>
      </c>
      <c r="K79" s="10">
        <v>5</v>
      </c>
      <c r="L79" s="10">
        <v>5</v>
      </c>
      <c r="M79" s="10">
        <v>5</v>
      </c>
      <c r="N79" s="10">
        <v>5</v>
      </c>
      <c r="O79" s="10">
        <v>5</v>
      </c>
      <c r="P79" s="10">
        <v>5</v>
      </c>
      <c r="Q79" s="10">
        <v>2</v>
      </c>
      <c r="R79" s="10">
        <v>4</v>
      </c>
      <c r="S79" s="10">
        <f t="shared" si="36"/>
        <v>1</v>
      </c>
      <c r="T79" s="10">
        <f t="shared" si="37"/>
        <v>1</v>
      </c>
      <c r="U79" s="10">
        <f t="shared" si="38"/>
        <v>1</v>
      </c>
      <c r="V79" s="10">
        <f t="shared" si="39"/>
        <v>1</v>
      </c>
      <c r="W79" s="10">
        <f t="shared" si="40"/>
        <v>1</v>
      </c>
      <c r="X79" s="10">
        <f t="shared" si="41"/>
        <v>1</v>
      </c>
      <c r="Y79" s="10">
        <f t="shared" si="42"/>
        <v>0.25</v>
      </c>
      <c r="Z79" s="10">
        <f t="shared" si="43"/>
        <v>0.75</v>
      </c>
      <c r="AA79" s="10" t="str">
        <f t="shared" si="44"/>
        <v/>
      </c>
      <c r="AB79" s="10" t="str">
        <f t="shared" si="45"/>
        <v/>
      </c>
      <c r="AC79" s="10" t="str">
        <f t="shared" si="46"/>
        <v/>
      </c>
      <c r="AD79" s="10" t="str">
        <f t="shared" si="47"/>
        <v/>
      </c>
      <c r="AE79" s="10" t="str">
        <f t="shared" si="48"/>
        <v/>
      </c>
      <c r="AF79" s="10" t="str">
        <f t="shared" si="49"/>
        <v/>
      </c>
      <c r="AG79" s="10" t="str">
        <f t="shared" si="50"/>
        <v/>
      </c>
      <c r="AH79" s="10" t="str">
        <f t="shared" si="51"/>
        <v/>
      </c>
      <c r="AI79" s="10">
        <f>IF(OR(S79="",'4_BENCHMARK'!$C$4=""),"",ABS(S79-'4_BENCHMARK'!$C$4))</f>
        <v>0</v>
      </c>
      <c r="AJ79" s="10">
        <f>IF(OR(T79="",'4_BENCHMARK'!$C$5=""),"",ABS(T79-'4_BENCHMARK'!$C$5))</f>
        <v>0</v>
      </c>
      <c r="AK79" s="10">
        <f>IF(OR(U79="",'4_BENCHMARK'!$C$6=""),"",ABS(U79-'4_BENCHMARK'!$C$6))</f>
        <v>0</v>
      </c>
      <c r="AL79" s="10">
        <f>IF(OR(V79="",'4_BENCHMARK'!$C$7=""),"",ABS(V79-'4_BENCHMARK'!$C$7))</f>
        <v>0</v>
      </c>
      <c r="AM79" s="10">
        <f>IF(OR(W79="",'4_BENCHMARK'!$C$8=""),"",ABS(W79-'4_BENCHMARK'!$C$8))</f>
        <v>1</v>
      </c>
      <c r="AN79" s="10">
        <f>IF(OR(X79="",'4_BENCHMARK'!$C$9=""),"",ABS(X79-'4_BENCHMARK'!$C$9))</f>
        <v>1</v>
      </c>
      <c r="AO79" s="10">
        <f>IF(OR(Y79="",'4_BENCHMARK'!$C$10=""),"",ABS(Y79-'4_BENCHMARK'!$C$10))</f>
        <v>0.25</v>
      </c>
      <c r="AP79" s="10">
        <f>IF(OR(Z79="",'4_BENCHMARK'!$C$11=""),"",ABS(Z79-'4_BENCHMARK'!$C$11))</f>
        <v>0.25</v>
      </c>
      <c r="AQ79" s="13">
        <f t="shared" si="52"/>
        <v>0.6875</v>
      </c>
      <c r="AR79" s="10"/>
      <c r="AS79" s="10" t="s">
        <v>149</v>
      </c>
      <c r="AT79" s="13">
        <f t="shared" si="53"/>
        <v>0.916666666666667</v>
      </c>
      <c r="AU79" s="1" t="str">
        <f t="shared" si="54"/>
        <v/>
      </c>
      <c r="AV79" s="1" t="str">
        <f t="shared" si="55"/>
        <v/>
      </c>
      <c r="AW79" s="1" t="str">
        <f t="shared" si="56"/>
        <v/>
      </c>
      <c r="AX79" s="1" t="str">
        <f t="shared" si="57"/>
        <v/>
      </c>
      <c r="AY79" s="1" t="str">
        <f t="shared" si="58"/>
        <v/>
      </c>
      <c r="AZ79" s="1" t="str">
        <f t="shared" si="59"/>
        <v/>
      </c>
      <c r="BA79" s="1" t="str">
        <f t="shared" si="60"/>
        <v/>
      </c>
      <c r="BB79" s="1" t="str">
        <f t="shared" si="61"/>
        <v/>
      </c>
      <c r="BC79" s="1" t="str">
        <f t="shared" si="62"/>
        <v/>
      </c>
      <c r="BD79" s="1" t="str">
        <f t="shared" si="63"/>
        <v/>
      </c>
      <c r="BE79" s="1" t="str">
        <f t="shared" si="64"/>
        <v/>
      </c>
      <c r="BF79" s="1" t="str">
        <f t="shared" si="65"/>
        <v/>
      </c>
      <c r="BG79" s="1" t="str">
        <f t="shared" si="66"/>
        <v/>
      </c>
      <c r="BH79" s="1" t="str">
        <f t="shared" si="67"/>
        <v/>
      </c>
      <c r="BI79" s="1" t="str">
        <f t="shared" si="68"/>
        <v/>
      </c>
      <c r="BJ79" s="1" t="str">
        <f t="shared" si="69"/>
        <v/>
      </c>
    </row>
    <row r="80" ht="14.25" customHeight="1" spans="1:62">
      <c r="A80" s="10">
        <v>76</v>
      </c>
      <c r="B80" s="36" t="s">
        <v>375</v>
      </c>
      <c r="C80" s="10">
        <v>1904</v>
      </c>
      <c r="D80" s="10">
        <f t="shared" si="35"/>
        <v>1900</v>
      </c>
      <c r="E80" s="36" t="s">
        <v>136</v>
      </c>
      <c r="F80" s="35" t="s">
        <v>376</v>
      </c>
      <c r="G80" s="36" t="s">
        <v>377</v>
      </c>
      <c r="H80" s="10" t="s">
        <v>139</v>
      </c>
      <c r="I80" s="10" t="s">
        <v>140</v>
      </c>
      <c r="J80" s="36" t="s">
        <v>378</v>
      </c>
      <c r="K80" s="10">
        <v>5</v>
      </c>
      <c r="L80" s="10">
        <v>5</v>
      </c>
      <c r="M80" s="10">
        <v>5</v>
      </c>
      <c r="N80" s="10">
        <v>5</v>
      </c>
      <c r="O80" s="10">
        <v>1</v>
      </c>
      <c r="P80" s="10">
        <v>1</v>
      </c>
      <c r="Q80" s="10">
        <v>2</v>
      </c>
      <c r="R80" s="10">
        <v>5</v>
      </c>
      <c r="S80" s="10">
        <f t="shared" si="36"/>
        <v>1</v>
      </c>
      <c r="T80" s="10">
        <f t="shared" si="37"/>
        <v>1</v>
      </c>
      <c r="U80" s="10">
        <f t="shared" si="38"/>
        <v>1</v>
      </c>
      <c r="V80" s="10">
        <f t="shared" si="39"/>
        <v>1</v>
      </c>
      <c r="W80" s="10">
        <f t="shared" si="40"/>
        <v>0</v>
      </c>
      <c r="X80" s="10">
        <f t="shared" si="41"/>
        <v>0</v>
      </c>
      <c r="Y80" s="10">
        <f t="shared" si="42"/>
        <v>0.25</v>
      </c>
      <c r="Z80" s="10">
        <f t="shared" si="43"/>
        <v>1</v>
      </c>
      <c r="AA80" s="10">
        <f t="shared" si="44"/>
        <v>1</v>
      </c>
      <c r="AB80" s="10">
        <f t="shared" si="45"/>
        <v>1</v>
      </c>
      <c r="AC80" s="10">
        <f t="shared" si="46"/>
        <v>1</v>
      </c>
      <c r="AD80" s="10">
        <f t="shared" si="47"/>
        <v>1</v>
      </c>
      <c r="AE80" s="10">
        <f t="shared" si="48"/>
        <v>0</v>
      </c>
      <c r="AF80" s="10">
        <f t="shared" si="49"/>
        <v>0</v>
      </c>
      <c r="AG80" s="10">
        <f t="shared" si="50"/>
        <v>0.25</v>
      </c>
      <c r="AH80" s="10">
        <f t="shared" si="51"/>
        <v>1</v>
      </c>
      <c r="AI80" s="10">
        <f>IF(OR(S80="",'4_BENCHMARK'!$C$4=""),"",ABS(S80-'4_BENCHMARK'!$C$4))</f>
        <v>0</v>
      </c>
      <c r="AJ80" s="10">
        <f>IF(OR(T80="",'4_BENCHMARK'!$C$5=""),"",ABS(T80-'4_BENCHMARK'!$C$5))</f>
        <v>0</v>
      </c>
      <c r="AK80" s="10">
        <f>IF(OR(U80="",'4_BENCHMARK'!$C$6=""),"",ABS(U80-'4_BENCHMARK'!$C$6))</f>
        <v>0</v>
      </c>
      <c r="AL80" s="10">
        <f>IF(OR(V80="",'4_BENCHMARK'!$C$7=""),"",ABS(V80-'4_BENCHMARK'!$C$7))</f>
        <v>0</v>
      </c>
      <c r="AM80" s="10">
        <f>IF(OR(W80="",'4_BENCHMARK'!$C$8=""),"",ABS(W80-'4_BENCHMARK'!$C$8))</f>
        <v>0</v>
      </c>
      <c r="AN80" s="10">
        <f>IF(OR(X80="",'4_BENCHMARK'!$C$9=""),"",ABS(X80-'4_BENCHMARK'!$C$9))</f>
        <v>0</v>
      </c>
      <c r="AO80" s="10">
        <f>IF(OR(Y80="",'4_BENCHMARK'!$C$10=""),"",ABS(Y80-'4_BENCHMARK'!$C$10))</f>
        <v>0.25</v>
      </c>
      <c r="AP80" s="10">
        <f>IF(OR(Z80="",'4_BENCHMARK'!$C$11=""),"",ABS(Z80-'4_BENCHMARK'!$C$11))</f>
        <v>0</v>
      </c>
      <c r="AQ80" s="13">
        <f t="shared" si="52"/>
        <v>0.96875</v>
      </c>
      <c r="AR80" s="10"/>
      <c r="AS80" s="10" t="s">
        <v>141</v>
      </c>
      <c r="AT80" s="13">
        <f t="shared" si="53"/>
        <v>0.958333333333333</v>
      </c>
      <c r="AU80" s="1">
        <f t="shared" si="54"/>
        <v>5</v>
      </c>
      <c r="AV80" s="1">
        <f t="shared" si="55"/>
        <v>5</v>
      </c>
      <c r="AW80" s="1">
        <f t="shared" si="56"/>
        <v>5</v>
      </c>
      <c r="AX80" s="1">
        <f t="shared" si="57"/>
        <v>5</v>
      </c>
      <c r="AY80" s="1">
        <f t="shared" si="58"/>
        <v>1</v>
      </c>
      <c r="AZ80" s="1">
        <f t="shared" si="59"/>
        <v>1</v>
      </c>
      <c r="BA80" s="1">
        <f t="shared" si="60"/>
        <v>2</v>
      </c>
      <c r="BB80" s="1">
        <f t="shared" si="61"/>
        <v>5</v>
      </c>
      <c r="BC80" s="1" t="str">
        <f t="shared" si="62"/>
        <v/>
      </c>
      <c r="BD80" s="1" t="str">
        <f t="shared" si="63"/>
        <v/>
      </c>
      <c r="BE80" s="1" t="str">
        <f t="shared" si="64"/>
        <v/>
      </c>
      <c r="BF80" s="1" t="str">
        <f t="shared" si="65"/>
        <v/>
      </c>
      <c r="BG80" s="1" t="str">
        <f t="shared" si="66"/>
        <v/>
      </c>
      <c r="BH80" s="1" t="str">
        <f t="shared" si="67"/>
        <v/>
      </c>
      <c r="BI80" s="1" t="str">
        <f t="shared" si="68"/>
        <v/>
      </c>
      <c r="BJ80" s="1" t="str">
        <f t="shared" si="69"/>
        <v/>
      </c>
    </row>
    <row r="81" ht="14.25" customHeight="1" spans="1:62">
      <c r="A81" s="10">
        <v>77</v>
      </c>
      <c r="B81" s="36" t="s">
        <v>379</v>
      </c>
      <c r="C81" s="10">
        <v>1888</v>
      </c>
      <c r="D81" s="10">
        <f t="shared" si="35"/>
        <v>1880</v>
      </c>
      <c r="E81" s="36" t="s">
        <v>136</v>
      </c>
      <c r="F81" s="35" t="s">
        <v>380</v>
      </c>
      <c r="G81" s="36" t="s">
        <v>381</v>
      </c>
      <c r="H81" s="10" t="s">
        <v>139</v>
      </c>
      <c r="I81" s="10" t="s">
        <v>140</v>
      </c>
      <c r="J81" s="10"/>
      <c r="K81" s="10">
        <v>5</v>
      </c>
      <c r="L81" s="10">
        <v>5</v>
      </c>
      <c r="M81" s="10">
        <v>5</v>
      </c>
      <c r="N81" s="10">
        <v>5</v>
      </c>
      <c r="O81" s="10">
        <v>1</v>
      </c>
      <c r="P81" s="10">
        <v>1</v>
      </c>
      <c r="Q81" s="10">
        <v>3</v>
      </c>
      <c r="R81" s="10">
        <v>5</v>
      </c>
      <c r="S81" s="10">
        <f t="shared" si="36"/>
        <v>1</v>
      </c>
      <c r="T81" s="10">
        <f t="shared" si="37"/>
        <v>1</v>
      </c>
      <c r="U81" s="10">
        <f t="shared" si="38"/>
        <v>1</v>
      </c>
      <c r="V81" s="10">
        <f t="shared" si="39"/>
        <v>1</v>
      </c>
      <c r="W81" s="10">
        <f t="shared" si="40"/>
        <v>0</v>
      </c>
      <c r="X81" s="10">
        <f t="shared" si="41"/>
        <v>0</v>
      </c>
      <c r="Y81" s="10">
        <f t="shared" si="42"/>
        <v>0.5</v>
      </c>
      <c r="Z81" s="10">
        <f t="shared" si="43"/>
        <v>1</v>
      </c>
      <c r="AA81" s="10">
        <f t="shared" si="44"/>
        <v>1</v>
      </c>
      <c r="AB81" s="10">
        <f t="shared" si="45"/>
        <v>1</v>
      </c>
      <c r="AC81" s="10">
        <f t="shared" si="46"/>
        <v>1</v>
      </c>
      <c r="AD81" s="10">
        <f t="shared" si="47"/>
        <v>1</v>
      </c>
      <c r="AE81" s="10">
        <f t="shared" si="48"/>
        <v>0</v>
      </c>
      <c r="AF81" s="10">
        <f t="shared" si="49"/>
        <v>0</v>
      </c>
      <c r="AG81" s="10">
        <f t="shared" si="50"/>
        <v>0.5</v>
      </c>
      <c r="AH81" s="10">
        <f t="shared" si="51"/>
        <v>1</v>
      </c>
      <c r="AI81" s="10">
        <f>IF(OR(S81="",'4_BENCHMARK'!$C$4=""),"",ABS(S81-'4_BENCHMARK'!$C$4))</f>
        <v>0</v>
      </c>
      <c r="AJ81" s="10">
        <f>IF(OR(T81="",'4_BENCHMARK'!$C$5=""),"",ABS(T81-'4_BENCHMARK'!$C$5))</f>
        <v>0</v>
      </c>
      <c r="AK81" s="10">
        <f>IF(OR(U81="",'4_BENCHMARK'!$C$6=""),"",ABS(U81-'4_BENCHMARK'!$C$6))</f>
        <v>0</v>
      </c>
      <c r="AL81" s="10">
        <f>IF(OR(V81="",'4_BENCHMARK'!$C$7=""),"",ABS(V81-'4_BENCHMARK'!$C$7))</f>
        <v>0</v>
      </c>
      <c r="AM81" s="10">
        <f>IF(OR(W81="",'4_BENCHMARK'!$C$8=""),"",ABS(W81-'4_BENCHMARK'!$C$8))</f>
        <v>0</v>
      </c>
      <c r="AN81" s="10">
        <f>IF(OR(X81="",'4_BENCHMARK'!$C$9=""),"",ABS(X81-'4_BENCHMARK'!$C$9))</f>
        <v>0</v>
      </c>
      <c r="AO81" s="10">
        <f>IF(OR(Y81="",'4_BENCHMARK'!$C$10=""),"",ABS(Y81-'4_BENCHMARK'!$C$10))</f>
        <v>0</v>
      </c>
      <c r="AP81" s="10">
        <f>IF(OR(Z81="",'4_BENCHMARK'!$C$11=""),"",ABS(Z81-'4_BENCHMARK'!$C$11))</f>
        <v>0</v>
      </c>
      <c r="AQ81" s="13">
        <f t="shared" si="52"/>
        <v>1</v>
      </c>
      <c r="AR81" s="10"/>
      <c r="AS81" s="10" t="s">
        <v>141</v>
      </c>
      <c r="AT81" s="13">
        <f t="shared" si="53"/>
        <v>1</v>
      </c>
      <c r="AU81" s="1">
        <f t="shared" si="54"/>
        <v>5</v>
      </c>
      <c r="AV81" s="1">
        <f t="shared" si="55"/>
        <v>5</v>
      </c>
      <c r="AW81" s="1">
        <f t="shared" si="56"/>
        <v>5</v>
      </c>
      <c r="AX81" s="1">
        <f t="shared" si="57"/>
        <v>5</v>
      </c>
      <c r="AY81" s="1">
        <f t="shared" si="58"/>
        <v>1</v>
      </c>
      <c r="AZ81" s="1">
        <f t="shared" si="59"/>
        <v>1</v>
      </c>
      <c r="BA81" s="1">
        <f t="shared" si="60"/>
        <v>3</v>
      </c>
      <c r="BB81" s="1">
        <f t="shared" si="61"/>
        <v>5</v>
      </c>
      <c r="BC81" s="1" t="str">
        <f t="shared" si="62"/>
        <v/>
      </c>
      <c r="BD81" s="1" t="str">
        <f t="shared" si="63"/>
        <v/>
      </c>
      <c r="BE81" s="1" t="str">
        <f t="shared" si="64"/>
        <v/>
      </c>
      <c r="BF81" s="1" t="str">
        <f t="shared" si="65"/>
        <v/>
      </c>
      <c r="BG81" s="1" t="str">
        <f t="shared" si="66"/>
        <v/>
      </c>
      <c r="BH81" s="1" t="str">
        <f t="shared" si="67"/>
        <v/>
      </c>
      <c r="BI81" s="1" t="str">
        <f t="shared" si="68"/>
        <v/>
      </c>
      <c r="BJ81" s="1" t="str">
        <f t="shared" si="69"/>
        <v/>
      </c>
    </row>
    <row r="82" ht="14.25" customHeight="1" spans="1:62">
      <c r="A82" s="10">
        <v>78</v>
      </c>
      <c r="B82" s="36" t="s">
        <v>382</v>
      </c>
      <c r="C82" s="10">
        <v>2018</v>
      </c>
      <c r="D82" s="10">
        <f t="shared" si="35"/>
        <v>2010</v>
      </c>
      <c r="E82" s="36" t="s">
        <v>136</v>
      </c>
      <c r="F82" s="35" t="s">
        <v>383</v>
      </c>
      <c r="G82" s="36" t="s">
        <v>384</v>
      </c>
      <c r="H82" s="10" t="s">
        <v>140</v>
      </c>
      <c r="I82" s="10" t="s">
        <v>140</v>
      </c>
      <c r="J82" s="10"/>
      <c r="K82" s="10">
        <v>5</v>
      </c>
      <c r="L82" s="10">
        <v>4</v>
      </c>
      <c r="M82" s="10">
        <v>4</v>
      </c>
      <c r="N82" s="10">
        <v>4</v>
      </c>
      <c r="O82" s="10">
        <v>3</v>
      </c>
      <c r="P82" s="10">
        <v>1</v>
      </c>
      <c r="Q82" s="10">
        <v>3</v>
      </c>
      <c r="R82" s="10">
        <v>3</v>
      </c>
      <c r="S82" s="10">
        <f t="shared" si="36"/>
        <v>1</v>
      </c>
      <c r="T82" s="10">
        <f t="shared" si="37"/>
        <v>0.75</v>
      </c>
      <c r="U82" s="10">
        <f t="shared" si="38"/>
        <v>0.75</v>
      </c>
      <c r="V82" s="10">
        <f t="shared" si="39"/>
        <v>0.75</v>
      </c>
      <c r="W82" s="10">
        <f t="shared" si="40"/>
        <v>0.5</v>
      </c>
      <c r="X82" s="10">
        <f t="shared" si="41"/>
        <v>0</v>
      </c>
      <c r="Y82" s="10">
        <f t="shared" si="42"/>
        <v>0.5</v>
      </c>
      <c r="Z82" s="10">
        <f t="shared" si="43"/>
        <v>0.5</v>
      </c>
      <c r="AA82" s="10" t="str">
        <f t="shared" si="44"/>
        <v/>
      </c>
      <c r="AB82" s="10" t="str">
        <f t="shared" si="45"/>
        <v/>
      </c>
      <c r="AC82" s="10" t="str">
        <f t="shared" si="46"/>
        <v/>
      </c>
      <c r="AD82" s="10" t="str">
        <f t="shared" si="47"/>
        <v/>
      </c>
      <c r="AE82" s="10" t="str">
        <f t="shared" si="48"/>
        <v/>
      </c>
      <c r="AF82" s="10" t="str">
        <f t="shared" si="49"/>
        <v/>
      </c>
      <c r="AG82" s="10" t="str">
        <f t="shared" si="50"/>
        <v/>
      </c>
      <c r="AH82" s="10" t="str">
        <f t="shared" si="51"/>
        <v/>
      </c>
      <c r="AI82" s="10">
        <f>IF(OR(S82="",'4_BENCHMARK'!$C$4=""),"",ABS(S82-'4_BENCHMARK'!$C$4))</f>
        <v>0</v>
      </c>
      <c r="AJ82" s="10">
        <f>IF(OR(T82="",'4_BENCHMARK'!$C$5=""),"",ABS(T82-'4_BENCHMARK'!$C$5))</f>
        <v>0.25</v>
      </c>
      <c r="AK82" s="10">
        <f>IF(OR(U82="",'4_BENCHMARK'!$C$6=""),"",ABS(U82-'4_BENCHMARK'!$C$6))</f>
        <v>0.25</v>
      </c>
      <c r="AL82" s="10">
        <f>IF(OR(V82="",'4_BENCHMARK'!$C$7=""),"",ABS(V82-'4_BENCHMARK'!$C$7))</f>
        <v>0.25</v>
      </c>
      <c r="AM82" s="10">
        <f>IF(OR(W82="",'4_BENCHMARK'!$C$8=""),"",ABS(W82-'4_BENCHMARK'!$C$8))</f>
        <v>0.5</v>
      </c>
      <c r="AN82" s="10">
        <f>IF(OR(X82="",'4_BENCHMARK'!$C$9=""),"",ABS(X82-'4_BENCHMARK'!$C$9))</f>
        <v>0</v>
      </c>
      <c r="AO82" s="10">
        <f>IF(OR(Y82="",'4_BENCHMARK'!$C$10=""),"",ABS(Y82-'4_BENCHMARK'!$C$10))</f>
        <v>0</v>
      </c>
      <c r="AP82" s="10">
        <f>IF(OR(Z82="",'4_BENCHMARK'!$C$11=""),"",ABS(Z82-'4_BENCHMARK'!$C$11))</f>
        <v>0.5</v>
      </c>
      <c r="AQ82" s="13">
        <f t="shared" si="52"/>
        <v>0.78125</v>
      </c>
      <c r="AR82" s="10"/>
      <c r="AS82" s="10" t="s">
        <v>145</v>
      </c>
      <c r="AT82" s="13">
        <f t="shared" si="53"/>
        <v>0.791666666666667</v>
      </c>
      <c r="AU82" s="1" t="str">
        <f t="shared" si="54"/>
        <v/>
      </c>
      <c r="AV82" s="1" t="str">
        <f t="shared" si="55"/>
        <v/>
      </c>
      <c r="AW82" s="1" t="str">
        <f t="shared" si="56"/>
        <v/>
      </c>
      <c r="AX82" s="1" t="str">
        <f t="shared" si="57"/>
        <v/>
      </c>
      <c r="AY82" s="1" t="str">
        <f t="shared" si="58"/>
        <v/>
      </c>
      <c r="AZ82" s="1" t="str">
        <f t="shared" si="59"/>
        <v/>
      </c>
      <c r="BA82" s="1" t="str">
        <f t="shared" si="60"/>
        <v/>
      </c>
      <c r="BB82" s="1" t="str">
        <f t="shared" si="61"/>
        <v/>
      </c>
      <c r="BC82" s="1">
        <f t="shared" si="62"/>
        <v>5</v>
      </c>
      <c r="BD82" s="1">
        <f t="shared" si="63"/>
        <v>4</v>
      </c>
      <c r="BE82" s="1">
        <f t="shared" si="64"/>
        <v>4</v>
      </c>
      <c r="BF82" s="1">
        <f t="shared" si="65"/>
        <v>4</v>
      </c>
      <c r="BG82" s="1">
        <f t="shared" si="66"/>
        <v>3</v>
      </c>
      <c r="BH82" s="1">
        <f t="shared" si="67"/>
        <v>1</v>
      </c>
      <c r="BI82" s="1">
        <f t="shared" si="68"/>
        <v>3</v>
      </c>
      <c r="BJ82" s="1">
        <f t="shared" si="69"/>
        <v>3</v>
      </c>
    </row>
    <row r="83" ht="14.25" customHeight="1" spans="1:62">
      <c r="A83" s="10">
        <v>79</v>
      </c>
      <c r="B83" s="36" t="s">
        <v>385</v>
      </c>
      <c r="C83" s="10">
        <v>2003</v>
      </c>
      <c r="D83" s="10">
        <f t="shared" si="35"/>
        <v>2000</v>
      </c>
      <c r="E83" s="36" t="s">
        <v>136</v>
      </c>
      <c r="F83" s="35" t="s">
        <v>386</v>
      </c>
      <c r="G83" s="36" t="s">
        <v>387</v>
      </c>
      <c r="H83" s="10" t="s">
        <v>140</v>
      </c>
      <c r="I83" s="10" t="s">
        <v>140</v>
      </c>
      <c r="J83" s="10"/>
      <c r="K83" s="10">
        <v>4</v>
      </c>
      <c r="L83" s="10">
        <v>4</v>
      </c>
      <c r="M83" s="10">
        <v>4</v>
      </c>
      <c r="N83" s="10">
        <v>4</v>
      </c>
      <c r="O83" s="10">
        <v>5</v>
      </c>
      <c r="P83" s="10">
        <v>5</v>
      </c>
      <c r="Q83" s="10">
        <v>1</v>
      </c>
      <c r="R83" s="10">
        <v>5</v>
      </c>
      <c r="S83" s="10">
        <f t="shared" si="36"/>
        <v>0.75</v>
      </c>
      <c r="T83" s="10">
        <f t="shared" si="37"/>
        <v>0.75</v>
      </c>
      <c r="U83" s="10">
        <f t="shared" si="38"/>
        <v>0.75</v>
      </c>
      <c r="V83" s="10">
        <f t="shared" si="39"/>
        <v>0.75</v>
      </c>
      <c r="W83" s="10">
        <f t="shared" si="40"/>
        <v>1</v>
      </c>
      <c r="X83" s="10">
        <f t="shared" si="41"/>
        <v>1</v>
      </c>
      <c r="Y83" s="10">
        <f t="shared" si="42"/>
        <v>0</v>
      </c>
      <c r="Z83" s="10">
        <f t="shared" si="43"/>
        <v>1</v>
      </c>
      <c r="AA83" s="10" t="str">
        <f t="shared" si="44"/>
        <v/>
      </c>
      <c r="AB83" s="10" t="str">
        <f t="shared" si="45"/>
        <v/>
      </c>
      <c r="AC83" s="10" t="str">
        <f t="shared" si="46"/>
        <v/>
      </c>
      <c r="AD83" s="10" t="str">
        <f t="shared" si="47"/>
        <v/>
      </c>
      <c r="AE83" s="10" t="str">
        <f t="shared" si="48"/>
        <v/>
      </c>
      <c r="AF83" s="10" t="str">
        <f t="shared" si="49"/>
        <v/>
      </c>
      <c r="AG83" s="10" t="str">
        <f t="shared" si="50"/>
        <v/>
      </c>
      <c r="AH83" s="10" t="str">
        <f t="shared" si="51"/>
        <v/>
      </c>
      <c r="AI83" s="10">
        <f>IF(OR(S83="",'4_BENCHMARK'!$C$4=""),"",ABS(S83-'4_BENCHMARK'!$C$4))</f>
        <v>0.25</v>
      </c>
      <c r="AJ83" s="10">
        <f>IF(OR(T83="",'4_BENCHMARK'!$C$5=""),"",ABS(T83-'4_BENCHMARK'!$C$5))</f>
        <v>0.25</v>
      </c>
      <c r="AK83" s="10">
        <f>IF(OR(U83="",'4_BENCHMARK'!$C$6=""),"",ABS(U83-'4_BENCHMARK'!$C$6))</f>
        <v>0.25</v>
      </c>
      <c r="AL83" s="10">
        <f>IF(OR(V83="",'4_BENCHMARK'!$C$7=""),"",ABS(V83-'4_BENCHMARK'!$C$7))</f>
        <v>0.25</v>
      </c>
      <c r="AM83" s="10">
        <f>IF(OR(W83="",'4_BENCHMARK'!$C$8=""),"",ABS(W83-'4_BENCHMARK'!$C$8))</f>
        <v>1</v>
      </c>
      <c r="AN83" s="10">
        <f>IF(OR(X83="",'4_BENCHMARK'!$C$9=""),"",ABS(X83-'4_BENCHMARK'!$C$9))</f>
        <v>1</v>
      </c>
      <c r="AO83" s="10">
        <f>IF(OR(Y83="",'4_BENCHMARK'!$C$10=""),"",ABS(Y83-'4_BENCHMARK'!$C$10))</f>
        <v>0.5</v>
      </c>
      <c r="AP83" s="10">
        <f>IF(OR(Z83="",'4_BENCHMARK'!$C$11=""),"",ABS(Z83-'4_BENCHMARK'!$C$11))</f>
        <v>0</v>
      </c>
      <c r="AQ83" s="13">
        <f t="shared" si="52"/>
        <v>0.5625</v>
      </c>
      <c r="AR83" s="10"/>
      <c r="AS83" s="10" t="s">
        <v>299</v>
      </c>
      <c r="AT83" s="13">
        <f t="shared" si="53"/>
        <v>0.75</v>
      </c>
      <c r="AU83" s="1" t="str">
        <f t="shared" si="54"/>
        <v/>
      </c>
      <c r="AV83" s="1" t="str">
        <f t="shared" si="55"/>
        <v/>
      </c>
      <c r="AW83" s="1" t="str">
        <f t="shared" si="56"/>
        <v/>
      </c>
      <c r="AX83" s="1" t="str">
        <f t="shared" si="57"/>
        <v/>
      </c>
      <c r="AY83" s="1" t="str">
        <f t="shared" si="58"/>
        <v/>
      </c>
      <c r="AZ83" s="1" t="str">
        <f t="shared" si="59"/>
        <v/>
      </c>
      <c r="BA83" s="1" t="str">
        <f t="shared" si="60"/>
        <v/>
      </c>
      <c r="BB83" s="1" t="str">
        <f t="shared" si="61"/>
        <v/>
      </c>
      <c r="BC83" s="1">
        <f t="shared" si="62"/>
        <v>4</v>
      </c>
      <c r="BD83" s="1">
        <f t="shared" si="63"/>
        <v>4</v>
      </c>
      <c r="BE83" s="1">
        <f t="shared" si="64"/>
        <v>4</v>
      </c>
      <c r="BF83" s="1">
        <f t="shared" si="65"/>
        <v>4</v>
      </c>
      <c r="BG83" s="1">
        <f t="shared" si="66"/>
        <v>5</v>
      </c>
      <c r="BH83" s="1">
        <f t="shared" si="67"/>
        <v>5</v>
      </c>
      <c r="BI83" s="1">
        <f t="shared" si="68"/>
        <v>1</v>
      </c>
      <c r="BJ83" s="1">
        <f t="shared" si="69"/>
        <v>5</v>
      </c>
    </row>
    <row r="84" ht="14.25" customHeight="1" spans="1:62">
      <c r="A84" s="10">
        <v>80</v>
      </c>
      <c r="B84" s="36" t="s">
        <v>292</v>
      </c>
      <c r="C84" s="10">
        <v>1906</v>
      </c>
      <c r="D84" s="10">
        <f t="shared" si="35"/>
        <v>1900</v>
      </c>
      <c r="E84" s="36" t="s">
        <v>136</v>
      </c>
      <c r="F84" s="35" t="s">
        <v>388</v>
      </c>
      <c r="G84" s="36" t="s">
        <v>389</v>
      </c>
      <c r="H84" s="10" t="s">
        <v>139</v>
      </c>
      <c r="I84" s="10" t="s">
        <v>140</v>
      </c>
      <c r="J84" s="10"/>
      <c r="K84" s="10">
        <v>5</v>
      </c>
      <c r="L84" s="10">
        <v>5</v>
      </c>
      <c r="M84" s="10">
        <v>5</v>
      </c>
      <c r="N84" s="10">
        <v>5</v>
      </c>
      <c r="O84" s="10">
        <v>5</v>
      </c>
      <c r="P84" s="10">
        <v>5</v>
      </c>
      <c r="Q84" s="10">
        <v>2</v>
      </c>
      <c r="R84" s="10">
        <v>5</v>
      </c>
      <c r="S84" s="10">
        <f t="shared" si="36"/>
        <v>1</v>
      </c>
      <c r="T84" s="10">
        <f t="shared" si="37"/>
        <v>1</v>
      </c>
      <c r="U84" s="10">
        <f t="shared" si="38"/>
        <v>1</v>
      </c>
      <c r="V84" s="10">
        <f t="shared" si="39"/>
        <v>1</v>
      </c>
      <c r="W84" s="10">
        <f t="shared" si="40"/>
        <v>1</v>
      </c>
      <c r="X84" s="10">
        <f t="shared" si="41"/>
        <v>1</v>
      </c>
      <c r="Y84" s="10">
        <f t="shared" si="42"/>
        <v>0.25</v>
      </c>
      <c r="Z84" s="10">
        <f t="shared" si="43"/>
        <v>1</v>
      </c>
      <c r="AA84" s="10">
        <f t="shared" si="44"/>
        <v>1</v>
      </c>
      <c r="AB84" s="10">
        <f t="shared" si="45"/>
        <v>1</v>
      </c>
      <c r="AC84" s="10">
        <f t="shared" si="46"/>
        <v>1</v>
      </c>
      <c r="AD84" s="10">
        <f t="shared" si="47"/>
        <v>1</v>
      </c>
      <c r="AE84" s="10">
        <f t="shared" si="48"/>
        <v>1</v>
      </c>
      <c r="AF84" s="10">
        <f t="shared" si="49"/>
        <v>1</v>
      </c>
      <c r="AG84" s="10">
        <f t="shared" si="50"/>
        <v>0.25</v>
      </c>
      <c r="AH84" s="10">
        <f t="shared" si="51"/>
        <v>1</v>
      </c>
      <c r="AI84" s="10">
        <f>IF(OR(S84="",'4_BENCHMARK'!$C$4=""),"",ABS(S84-'4_BENCHMARK'!$C$4))</f>
        <v>0</v>
      </c>
      <c r="AJ84" s="10">
        <f>IF(OR(T84="",'4_BENCHMARK'!$C$5=""),"",ABS(T84-'4_BENCHMARK'!$C$5))</f>
        <v>0</v>
      </c>
      <c r="AK84" s="10">
        <f>IF(OR(U84="",'4_BENCHMARK'!$C$6=""),"",ABS(U84-'4_BENCHMARK'!$C$6))</f>
        <v>0</v>
      </c>
      <c r="AL84" s="10">
        <f>IF(OR(V84="",'4_BENCHMARK'!$C$7=""),"",ABS(V84-'4_BENCHMARK'!$C$7))</f>
        <v>0</v>
      </c>
      <c r="AM84" s="10">
        <f>IF(OR(W84="",'4_BENCHMARK'!$C$8=""),"",ABS(W84-'4_BENCHMARK'!$C$8))</f>
        <v>1</v>
      </c>
      <c r="AN84" s="10">
        <f>IF(OR(X84="",'4_BENCHMARK'!$C$9=""),"",ABS(X84-'4_BENCHMARK'!$C$9))</f>
        <v>1</v>
      </c>
      <c r="AO84" s="10">
        <f>IF(OR(Y84="",'4_BENCHMARK'!$C$10=""),"",ABS(Y84-'4_BENCHMARK'!$C$10))</f>
        <v>0.25</v>
      </c>
      <c r="AP84" s="10">
        <f>IF(OR(Z84="",'4_BENCHMARK'!$C$11=""),"",ABS(Z84-'4_BENCHMARK'!$C$11))</f>
        <v>0</v>
      </c>
      <c r="AQ84" s="13">
        <f t="shared" si="52"/>
        <v>0.71875</v>
      </c>
      <c r="AR84" s="10"/>
      <c r="AS84" s="10" t="s">
        <v>141</v>
      </c>
      <c r="AT84" s="13">
        <f t="shared" si="53"/>
        <v>0.958333333333333</v>
      </c>
      <c r="AU84" s="1">
        <f t="shared" si="54"/>
        <v>5</v>
      </c>
      <c r="AV84" s="1">
        <f t="shared" si="55"/>
        <v>5</v>
      </c>
      <c r="AW84" s="1">
        <f t="shared" si="56"/>
        <v>5</v>
      </c>
      <c r="AX84" s="1">
        <f t="shared" si="57"/>
        <v>5</v>
      </c>
      <c r="AY84" s="1">
        <f t="shared" si="58"/>
        <v>5</v>
      </c>
      <c r="AZ84" s="1">
        <f t="shared" si="59"/>
        <v>5</v>
      </c>
      <c r="BA84" s="1">
        <f t="shared" si="60"/>
        <v>2</v>
      </c>
      <c r="BB84" s="1">
        <f t="shared" si="61"/>
        <v>5</v>
      </c>
      <c r="BC84" s="1" t="str">
        <f t="shared" si="62"/>
        <v/>
      </c>
      <c r="BD84" s="1" t="str">
        <f t="shared" si="63"/>
        <v/>
      </c>
      <c r="BE84" s="1" t="str">
        <f t="shared" si="64"/>
        <v/>
      </c>
      <c r="BF84" s="1" t="str">
        <f t="shared" si="65"/>
        <v/>
      </c>
      <c r="BG84" s="1" t="str">
        <f t="shared" si="66"/>
        <v/>
      </c>
      <c r="BH84" s="1" t="str">
        <f t="shared" si="67"/>
        <v/>
      </c>
      <c r="BI84" s="1" t="str">
        <f t="shared" si="68"/>
        <v/>
      </c>
      <c r="BJ84" s="1" t="str">
        <f t="shared" si="69"/>
        <v/>
      </c>
    </row>
    <row r="85" ht="14.25" customHeight="1" spans="1:62">
      <c r="A85" s="10">
        <v>81</v>
      </c>
      <c r="B85" s="36" t="s">
        <v>390</v>
      </c>
      <c r="C85" s="10">
        <v>1910</v>
      </c>
      <c r="D85" s="10">
        <f t="shared" si="35"/>
        <v>1910</v>
      </c>
      <c r="E85" s="36" t="s">
        <v>391</v>
      </c>
      <c r="F85" s="35" t="s">
        <v>392</v>
      </c>
      <c r="G85" s="36" t="s">
        <v>393</v>
      </c>
      <c r="H85" s="10" t="s">
        <v>140</v>
      </c>
      <c r="I85" s="10" t="s">
        <v>140</v>
      </c>
      <c r="J85" s="36" t="s">
        <v>252</v>
      </c>
      <c r="K85" s="10">
        <v>5</v>
      </c>
      <c r="L85" s="10">
        <v>5</v>
      </c>
      <c r="M85" s="10">
        <v>5</v>
      </c>
      <c r="N85" s="10">
        <v>5</v>
      </c>
      <c r="O85" s="10">
        <v>1</v>
      </c>
      <c r="P85" s="10">
        <v>1</v>
      </c>
      <c r="Q85" s="10">
        <v>3</v>
      </c>
      <c r="R85" s="10">
        <v>5</v>
      </c>
      <c r="S85" s="10">
        <f t="shared" si="36"/>
        <v>1</v>
      </c>
      <c r="T85" s="10">
        <f t="shared" si="37"/>
        <v>1</v>
      </c>
      <c r="U85" s="10">
        <f t="shared" si="38"/>
        <v>1</v>
      </c>
      <c r="V85" s="10">
        <f t="shared" si="39"/>
        <v>1</v>
      </c>
      <c r="W85" s="10">
        <f t="shared" si="40"/>
        <v>0</v>
      </c>
      <c r="X85" s="10">
        <f t="shared" si="41"/>
        <v>0</v>
      </c>
      <c r="Y85" s="10">
        <f t="shared" si="42"/>
        <v>0.5</v>
      </c>
      <c r="Z85" s="10">
        <f t="shared" si="43"/>
        <v>1</v>
      </c>
      <c r="AA85" s="10">
        <f t="shared" si="44"/>
        <v>1</v>
      </c>
      <c r="AB85" s="10">
        <f t="shared" si="45"/>
        <v>1</v>
      </c>
      <c r="AC85" s="10">
        <f t="shared" si="46"/>
        <v>1</v>
      </c>
      <c r="AD85" s="10">
        <f t="shared" si="47"/>
        <v>1</v>
      </c>
      <c r="AE85" s="10">
        <f t="shared" si="48"/>
        <v>0</v>
      </c>
      <c r="AF85" s="10">
        <f t="shared" si="49"/>
        <v>0</v>
      </c>
      <c r="AG85" s="10">
        <f t="shared" si="50"/>
        <v>0.5</v>
      </c>
      <c r="AH85" s="10">
        <f t="shared" si="51"/>
        <v>1</v>
      </c>
      <c r="AI85" s="10">
        <f>IF(OR(S85="",'4_BENCHMARK'!$C$4=""),"",ABS(S85-'4_BENCHMARK'!$C$4))</f>
        <v>0</v>
      </c>
      <c r="AJ85" s="10">
        <f>IF(OR(T85="",'4_BENCHMARK'!$C$5=""),"",ABS(T85-'4_BENCHMARK'!$C$5))</f>
        <v>0</v>
      </c>
      <c r="AK85" s="10">
        <f>IF(OR(U85="",'4_BENCHMARK'!$C$6=""),"",ABS(U85-'4_BENCHMARK'!$C$6))</f>
        <v>0</v>
      </c>
      <c r="AL85" s="10">
        <f>IF(OR(V85="",'4_BENCHMARK'!$C$7=""),"",ABS(V85-'4_BENCHMARK'!$C$7))</f>
        <v>0</v>
      </c>
      <c r="AM85" s="10">
        <f>IF(OR(W85="",'4_BENCHMARK'!$C$8=""),"",ABS(W85-'4_BENCHMARK'!$C$8))</f>
        <v>0</v>
      </c>
      <c r="AN85" s="10">
        <f>IF(OR(X85="",'4_BENCHMARK'!$C$9=""),"",ABS(X85-'4_BENCHMARK'!$C$9))</f>
        <v>0</v>
      </c>
      <c r="AO85" s="10">
        <f>IF(OR(Y85="",'4_BENCHMARK'!$C$10=""),"",ABS(Y85-'4_BENCHMARK'!$C$10))</f>
        <v>0</v>
      </c>
      <c r="AP85" s="10">
        <f>IF(OR(Z85="",'4_BENCHMARK'!$C$11=""),"",ABS(Z85-'4_BENCHMARK'!$C$11))</f>
        <v>0</v>
      </c>
      <c r="AQ85" s="13">
        <f t="shared" si="52"/>
        <v>1</v>
      </c>
      <c r="AR85" s="10"/>
      <c r="AS85" s="10" t="s">
        <v>141</v>
      </c>
      <c r="AT85" s="13">
        <f t="shared" si="53"/>
        <v>1</v>
      </c>
      <c r="AU85" s="1">
        <f t="shared" si="54"/>
        <v>5</v>
      </c>
      <c r="AV85" s="1">
        <f t="shared" si="55"/>
        <v>5</v>
      </c>
      <c r="AW85" s="1">
        <f t="shared" si="56"/>
        <v>5</v>
      </c>
      <c r="AX85" s="1">
        <f t="shared" si="57"/>
        <v>5</v>
      </c>
      <c r="AY85" s="1">
        <f t="shared" si="58"/>
        <v>1</v>
      </c>
      <c r="AZ85" s="1">
        <f t="shared" si="59"/>
        <v>1</v>
      </c>
      <c r="BA85" s="1">
        <f t="shared" si="60"/>
        <v>3</v>
      </c>
      <c r="BB85" s="1">
        <f t="shared" si="61"/>
        <v>5</v>
      </c>
      <c r="BC85" s="1" t="str">
        <f t="shared" si="62"/>
        <v/>
      </c>
      <c r="BD85" s="1" t="str">
        <f t="shared" si="63"/>
        <v/>
      </c>
      <c r="BE85" s="1" t="str">
        <f t="shared" si="64"/>
        <v/>
      </c>
      <c r="BF85" s="1" t="str">
        <f t="shared" si="65"/>
        <v/>
      </c>
      <c r="BG85" s="1" t="str">
        <f t="shared" si="66"/>
        <v/>
      </c>
      <c r="BH85" s="1" t="str">
        <f t="shared" si="67"/>
        <v/>
      </c>
      <c r="BI85" s="1" t="str">
        <f t="shared" si="68"/>
        <v/>
      </c>
      <c r="BJ85" s="1" t="str">
        <f t="shared" si="69"/>
        <v/>
      </c>
    </row>
    <row r="86" ht="14.25" customHeight="1" spans="1:62">
      <c r="A86" s="10">
        <v>82</v>
      </c>
      <c r="B86" s="36" t="s">
        <v>394</v>
      </c>
      <c r="C86" s="10">
        <v>2006</v>
      </c>
      <c r="D86" s="10">
        <f t="shared" si="35"/>
        <v>2000</v>
      </c>
      <c r="E86" s="36" t="s">
        <v>391</v>
      </c>
      <c r="F86" s="35" t="s">
        <v>395</v>
      </c>
      <c r="G86" s="36" t="s">
        <v>396</v>
      </c>
      <c r="H86" s="10" t="s">
        <v>140</v>
      </c>
      <c r="I86" s="10" t="s">
        <v>140</v>
      </c>
      <c r="J86" s="10"/>
      <c r="K86" s="10">
        <v>3</v>
      </c>
      <c r="L86" s="10">
        <v>3</v>
      </c>
      <c r="M86" s="10">
        <v>3</v>
      </c>
      <c r="N86" s="10">
        <v>4</v>
      </c>
      <c r="O86" s="10">
        <v>5</v>
      </c>
      <c r="P86" s="10">
        <v>5</v>
      </c>
      <c r="Q86" s="10">
        <v>1</v>
      </c>
      <c r="R86" s="10">
        <v>4</v>
      </c>
      <c r="S86" s="10">
        <f t="shared" si="36"/>
        <v>0.5</v>
      </c>
      <c r="T86" s="10">
        <f t="shared" si="37"/>
        <v>0.5</v>
      </c>
      <c r="U86" s="10">
        <f t="shared" si="38"/>
        <v>0.5</v>
      </c>
      <c r="V86" s="10">
        <f t="shared" si="39"/>
        <v>0.75</v>
      </c>
      <c r="W86" s="10">
        <f t="shared" si="40"/>
        <v>1</v>
      </c>
      <c r="X86" s="10">
        <f t="shared" si="41"/>
        <v>1</v>
      </c>
      <c r="Y86" s="10">
        <f t="shared" si="42"/>
        <v>0</v>
      </c>
      <c r="Z86" s="10">
        <f t="shared" si="43"/>
        <v>0.75</v>
      </c>
      <c r="AA86" s="10" t="str">
        <f t="shared" si="44"/>
        <v/>
      </c>
      <c r="AB86" s="10" t="str">
        <f t="shared" si="45"/>
        <v/>
      </c>
      <c r="AC86" s="10" t="str">
        <f t="shared" si="46"/>
        <v/>
      </c>
      <c r="AD86" s="10" t="str">
        <f t="shared" si="47"/>
        <v/>
      </c>
      <c r="AE86" s="10" t="str">
        <f t="shared" si="48"/>
        <v/>
      </c>
      <c r="AF86" s="10" t="str">
        <f t="shared" si="49"/>
        <v/>
      </c>
      <c r="AG86" s="10" t="str">
        <f t="shared" si="50"/>
        <v/>
      </c>
      <c r="AH86" s="10" t="str">
        <f t="shared" si="51"/>
        <v/>
      </c>
      <c r="AI86" s="10">
        <f>IF(OR(S86="",'4_BENCHMARK'!$C$4=""),"",ABS(S86-'4_BENCHMARK'!$C$4))</f>
        <v>0.5</v>
      </c>
      <c r="AJ86" s="10">
        <f>IF(OR(T86="",'4_BENCHMARK'!$C$5=""),"",ABS(T86-'4_BENCHMARK'!$C$5))</f>
        <v>0.5</v>
      </c>
      <c r="AK86" s="10">
        <f>IF(OR(U86="",'4_BENCHMARK'!$C$6=""),"",ABS(U86-'4_BENCHMARK'!$C$6))</f>
        <v>0.5</v>
      </c>
      <c r="AL86" s="10">
        <f>IF(OR(V86="",'4_BENCHMARK'!$C$7=""),"",ABS(V86-'4_BENCHMARK'!$C$7))</f>
        <v>0.25</v>
      </c>
      <c r="AM86" s="10">
        <f>IF(OR(W86="",'4_BENCHMARK'!$C$8=""),"",ABS(W86-'4_BENCHMARK'!$C$8))</f>
        <v>1</v>
      </c>
      <c r="AN86" s="10">
        <f>IF(OR(X86="",'4_BENCHMARK'!$C$9=""),"",ABS(X86-'4_BENCHMARK'!$C$9))</f>
        <v>1</v>
      </c>
      <c r="AO86" s="10">
        <f>IF(OR(Y86="",'4_BENCHMARK'!$C$10=""),"",ABS(Y86-'4_BENCHMARK'!$C$10))</f>
        <v>0.5</v>
      </c>
      <c r="AP86" s="10">
        <f>IF(OR(Z86="",'4_BENCHMARK'!$C$11=""),"",ABS(Z86-'4_BENCHMARK'!$C$11))</f>
        <v>0.25</v>
      </c>
      <c r="AQ86" s="13">
        <f t="shared" si="52"/>
        <v>0.4375</v>
      </c>
      <c r="AR86" s="10"/>
      <c r="AS86" s="10" t="s">
        <v>145</v>
      </c>
      <c r="AT86" s="13">
        <f t="shared" si="53"/>
        <v>0.583333333333333</v>
      </c>
      <c r="AU86" s="1" t="str">
        <f t="shared" si="54"/>
        <v/>
      </c>
      <c r="AV86" s="1" t="str">
        <f t="shared" si="55"/>
        <v/>
      </c>
      <c r="AW86" s="1" t="str">
        <f t="shared" si="56"/>
        <v/>
      </c>
      <c r="AX86" s="1" t="str">
        <f t="shared" si="57"/>
        <v/>
      </c>
      <c r="AY86" s="1" t="str">
        <f t="shared" si="58"/>
        <v/>
      </c>
      <c r="AZ86" s="1" t="str">
        <f t="shared" si="59"/>
        <v/>
      </c>
      <c r="BA86" s="1" t="str">
        <f t="shared" si="60"/>
        <v/>
      </c>
      <c r="BB86" s="1" t="str">
        <f t="shared" si="61"/>
        <v/>
      </c>
      <c r="BC86" s="1">
        <f t="shared" si="62"/>
        <v>3</v>
      </c>
      <c r="BD86" s="1">
        <f t="shared" si="63"/>
        <v>3</v>
      </c>
      <c r="BE86" s="1">
        <f t="shared" si="64"/>
        <v>3</v>
      </c>
      <c r="BF86" s="1">
        <f t="shared" si="65"/>
        <v>4</v>
      </c>
      <c r="BG86" s="1">
        <f t="shared" si="66"/>
        <v>5</v>
      </c>
      <c r="BH86" s="1">
        <f t="shared" si="67"/>
        <v>5</v>
      </c>
      <c r="BI86" s="1">
        <f t="shared" si="68"/>
        <v>1</v>
      </c>
      <c r="BJ86" s="1">
        <f t="shared" si="69"/>
        <v>4</v>
      </c>
    </row>
    <row r="87" ht="14.25" customHeight="1" spans="1:62">
      <c r="A87" s="10">
        <v>83</v>
      </c>
      <c r="B87" s="36" t="s">
        <v>397</v>
      </c>
      <c r="C87" s="10">
        <v>2017</v>
      </c>
      <c r="D87" s="10">
        <f t="shared" si="35"/>
        <v>2010</v>
      </c>
      <c r="E87" s="36" t="s">
        <v>391</v>
      </c>
      <c r="F87" s="35" t="s">
        <v>398</v>
      </c>
      <c r="G87" s="36" t="s">
        <v>399</v>
      </c>
      <c r="H87" s="10" t="s">
        <v>140</v>
      </c>
      <c r="I87" s="10" t="s">
        <v>140</v>
      </c>
      <c r="J87" s="10"/>
      <c r="K87" s="10">
        <v>2</v>
      </c>
      <c r="L87" s="10">
        <v>3</v>
      </c>
      <c r="M87" s="10">
        <v>4</v>
      </c>
      <c r="N87" s="10">
        <v>4</v>
      </c>
      <c r="O87" s="10">
        <v>2</v>
      </c>
      <c r="P87" s="10">
        <v>1</v>
      </c>
      <c r="Q87" s="10">
        <v>2</v>
      </c>
      <c r="R87" s="10">
        <v>4</v>
      </c>
      <c r="S87" s="10">
        <f t="shared" si="36"/>
        <v>0.25</v>
      </c>
      <c r="T87" s="10">
        <f t="shared" si="37"/>
        <v>0.5</v>
      </c>
      <c r="U87" s="10">
        <f t="shared" si="38"/>
        <v>0.75</v>
      </c>
      <c r="V87" s="10">
        <f t="shared" si="39"/>
        <v>0.75</v>
      </c>
      <c r="W87" s="10">
        <f t="shared" si="40"/>
        <v>0.25</v>
      </c>
      <c r="X87" s="10">
        <f t="shared" si="41"/>
        <v>0</v>
      </c>
      <c r="Y87" s="10">
        <f t="shared" si="42"/>
        <v>0.25</v>
      </c>
      <c r="Z87" s="10">
        <f t="shared" si="43"/>
        <v>0.75</v>
      </c>
      <c r="AA87" s="10" t="str">
        <f t="shared" si="44"/>
        <v/>
      </c>
      <c r="AB87" s="10" t="str">
        <f t="shared" si="45"/>
        <v/>
      </c>
      <c r="AC87" s="10" t="str">
        <f t="shared" si="46"/>
        <v/>
      </c>
      <c r="AD87" s="10" t="str">
        <f t="shared" si="47"/>
        <v/>
      </c>
      <c r="AE87" s="10" t="str">
        <f t="shared" si="48"/>
        <v/>
      </c>
      <c r="AF87" s="10" t="str">
        <f t="shared" si="49"/>
        <v/>
      </c>
      <c r="AG87" s="10" t="str">
        <f t="shared" si="50"/>
        <v/>
      </c>
      <c r="AH87" s="10" t="str">
        <f t="shared" si="51"/>
        <v/>
      </c>
      <c r="AI87" s="10">
        <f>IF(OR(S87="",'4_BENCHMARK'!$C$4=""),"",ABS(S87-'4_BENCHMARK'!$C$4))</f>
        <v>0.75</v>
      </c>
      <c r="AJ87" s="10">
        <f>IF(OR(T87="",'4_BENCHMARK'!$C$5=""),"",ABS(T87-'4_BENCHMARK'!$C$5))</f>
        <v>0.5</v>
      </c>
      <c r="AK87" s="10">
        <f>IF(OR(U87="",'4_BENCHMARK'!$C$6=""),"",ABS(U87-'4_BENCHMARK'!$C$6))</f>
        <v>0.25</v>
      </c>
      <c r="AL87" s="10">
        <f>IF(OR(V87="",'4_BENCHMARK'!$C$7=""),"",ABS(V87-'4_BENCHMARK'!$C$7))</f>
        <v>0.25</v>
      </c>
      <c r="AM87" s="10">
        <f>IF(OR(W87="",'4_BENCHMARK'!$C$8=""),"",ABS(W87-'4_BENCHMARK'!$C$8))</f>
        <v>0.25</v>
      </c>
      <c r="AN87" s="10">
        <f>IF(OR(X87="",'4_BENCHMARK'!$C$9=""),"",ABS(X87-'4_BENCHMARK'!$C$9))</f>
        <v>0</v>
      </c>
      <c r="AO87" s="10">
        <f>IF(OR(Y87="",'4_BENCHMARK'!$C$10=""),"",ABS(Y87-'4_BENCHMARK'!$C$10))</f>
        <v>0.25</v>
      </c>
      <c r="AP87" s="10">
        <f>IF(OR(Z87="",'4_BENCHMARK'!$C$11=""),"",ABS(Z87-'4_BENCHMARK'!$C$11))</f>
        <v>0.25</v>
      </c>
      <c r="AQ87" s="13">
        <f t="shared" si="52"/>
        <v>0.6875</v>
      </c>
      <c r="AR87" s="10"/>
      <c r="AS87" s="10" t="s">
        <v>145</v>
      </c>
      <c r="AT87" s="13">
        <f t="shared" si="53"/>
        <v>0.625</v>
      </c>
      <c r="AU87" s="1" t="str">
        <f t="shared" si="54"/>
        <v/>
      </c>
      <c r="AV87" s="1" t="str">
        <f t="shared" si="55"/>
        <v/>
      </c>
      <c r="AW87" s="1" t="str">
        <f t="shared" si="56"/>
        <v/>
      </c>
      <c r="AX87" s="1" t="str">
        <f t="shared" si="57"/>
        <v/>
      </c>
      <c r="AY87" s="1" t="str">
        <f t="shared" si="58"/>
        <v/>
      </c>
      <c r="AZ87" s="1" t="str">
        <f t="shared" si="59"/>
        <v/>
      </c>
      <c r="BA87" s="1" t="str">
        <f t="shared" si="60"/>
        <v/>
      </c>
      <c r="BB87" s="1" t="str">
        <f t="shared" si="61"/>
        <v/>
      </c>
      <c r="BC87" s="1">
        <f t="shared" si="62"/>
        <v>2</v>
      </c>
      <c r="BD87" s="1">
        <f t="shared" si="63"/>
        <v>3</v>
      </c>
      <c r="BE87" s="1">
        <f t="shared" si="64"/>
        <v>4</v>
      </c>
      <c r="BF87" s="1">
        <f t="shared" si="65"/>
        <v>4</v>
      </c>
      <c r="BG87" s="1">
        <f t="shared" si="66"/>
        <v>2</v>
      </c>
      <c r="BH87" s="1">
        <f t="shared" si="67"/>
        <v>1</v>
      </c>
      <c r="BI87" s="1">
        <f t="shared" si="68"/>
        <v>2</v>
      </c>
      <c r="BJ87" s="1">
        <f t="shared" si="69"/>
        <v>4</v>
      </c>
    </row>
    <row r="88" ht="14.25" customHeight="1" spans="1:62">
      <c r="A88" s="10">
        <v>84</v>
      </c>
      <c r="B88" s="36" t="s">
        <v>400</v>
      </c>
      <c r="C88" s="10">
        <v>2001</v>
      </c>
      <c r="D88" s="10">
        <f t="shared" si="35"/>
        <v>2000</v>
      </c>
      <c r="E88" s="36" t="s">
        <v>391</v>
      </c>
      <c r="F88" s="35" t="s">
        <v>401</v>
      </c>
      <c r="G88" s="36" t="s">
        <v>402</v>
      </c>
      <c r="H88" s="10" t="s">
        <v>140</v>
      </c>
      <c r="I88" s="10" t="s">
        <v>140</v>
      </c>
      <c r="J88" s="10"/>
      <c r="K88" s="10">
        <v>3</v>
      </c>
      <c r="L88" s="10">
        <v>3</v>
      </c>
      <c r="M88" s="10">
        <v>4</v>
      </c>
      <c r="N88" s="10">
        <v>4</v>
      </c>
      <c r="O88" s="10">
        <v>5</v>
      </c>
      <c r="P88" s="10">
        <v>3</v>
      </c>
      <c r="Q88" s="10">
        <v>2</v>
      </c>
      <c r="R88" s="10">
        <v>4</v>
      </c>
      <c r="S88" s="10">
        <f t="shared" si="36"/>
        <v>0.5</v>
      </c>
      <c r="T88" s="10">
        <f t="shared" si="37"/>
        <v>0.5</v>
      </c>
      <c r="U88" s="10">
        <f t="shared" si="38"/>
        <v>0.75</v>
      </c>
      <c r="V88" s="10">
        <f t="shared" si="39"/>
        <v>0.75</v>
      </c>
      <c r="W88" s="10">
        <f t="shared" si="40"/>
        <v>1</v>
      </c>
      <c r="X88" s="10">
        <f t="shared" si="41"/>
        <v>0.5</v>
      </c>
      <c r="Y88" s="10">
        <f t="shared" si="42"/>
        <v>0.25</v>
      </c>
      <c r="Z88" s="10">
        <f t="shared" si="43"/>
        <v>0.75</v>
      </c>
      <c r="AA88" s="10" t="str">
        <f t="shared" si="44"/>
        <v/>
      </c>
      <c r="AB88" s="10" t="str">
        <f t="shared" si="45"/>
        <v/>
      </c>
      <c r="AC88" s="10" t="str">
        <f t="shared" si="46"/>
        <v/>
      </c>
      <c r="AD88" s="10" t="str">
        <f t="shared" si="47"/>
        <v/>
      </c>
      <c r="AE88" s="10" t="str">
        <f t="shared" si="48"/>
        <v/>
      </c>
      <c r="AF88" s="10" t="str">
        <f t="shared" si="49"/>
        <v/>
      </c>
      <c r="AG88" s="10" t="str">
        <f t="shared" si="50"/>
        <v/>
      </c>
      <c r="AH88" s="10" t="str">
        <f t="shared" si="51"/>
        <v/>
      </c>
      <c r="AI88" s="10">
        <f>IF(OR(S88="",'4_BENCHMARK'!$C$4=""),"",ABS(S88-'4_BENCHMARK'!$C$4))</f>
        <v>0.5</v>
      </c>
      <c r="AJ88" s="10">
        <f>IF(OR(T88="",'4_BENCHMARK'!$C$5=""),"",ABS(T88-'4_BENCHMARK'!$C$5))</f>
        <v>0.5</v>
      </c>
      <c r="AK88" s="10">
        <f>IF(OR(U88="",'4_BENCHMARK'!$C$6=""),"",ABS(U88-'4_BENCHMARK'!$C$6))</f>
        <v>0.25</v>
      </c>
      <c r="AL88" s="10">
        <f>IF(OR(V88="",'4_BENCHMARK'!$C$7=""),"",ABS(V88-'4_BENCHMARK'!$C$7))</f>
        <v>0.25</v>
      </c>
      <c r="AM88" s="10">
        <f>IF(OR(W88="",'4_BENCHMARK'!$C$8=""),"",ABS(W88-'4_BENCHMARK'!$C$8))</f>
        <v>1</v>
      </c>
      <c r="AN88" s="10">
        <f>IF(OR(X88="",'4_BENCHMARK'!$C$9=""),"",ABS(X88-'4_BENCHMARK'!$C$9))</f>
        <v>0.5</v>
      </c>
      <c r="AO88" s="10">
        <f>IF(OR(Y88="",'4_BENCHMARK'!$C$10=""),"",ABS(Y88-'4_BENCHMARK'!$C$10))</f>
        <v>0.25</v>
      </c>
      <c r="AP88" s="10">
        <f>IF(OR(Z88="",'4_BENCHMARK'!$C$11=""),"",ABS(Z88-'4_BENCHMARK'!$C$11))</f>
        <v>0.25</v>
      </c>
      <c r="AQ88" s="13">
        <f t="shared" si="52"/>
        <v>0.5625</v>
      </c>
      <c r="AR88" s="10"/>
      <c r="AS88" s="10" t="s">
        <v>145</v>
      </c>
      <c r="AT88" s="13">
        <f t="shared" si="53"/>
        <v>0.666666666666667</v>
      </c>
      <c r="AU88" s="1" t="str">
        <f t="shared" si="54"/>
        <v/>
      </c>
      <c r="AV88" s="1" t="str">
        <f t="shared" si="55"/>
        <v/>
      </c>
      <c r="AW88" s="1" t="str">
        <f t="shared" si="56"/>
        <v/>
      </c>
      <c r="AX88" s="1" t="str">
        <f t="shared" si="57"/>
        <v/>
      </c>
      <c r="AY88" s="1" t="str">
        <f t="shared" si="58"/>
        <v/>
      </c>
      <c r="AZ88" s="1" t="str">
        <f t="shared" si="59"/>
        <v/>
      </c>
      <c r="BA88" s="1" t="str">
        <f t="shared" si="60"/>
        <v/>
      </c>
      <c r="BB88" s="1" t="str">
        <f t="shared" si="61"/>
        <v/>
      </c>
      <c r="BC88" s="1">
        <f t="shared" si="62"/>
        <v>3</v>
      </c>
      <c r="BD88" s="1">
        <f t="shared" si="63"/>
        <v>3</v>
      </c>
      <c r="BE88" s="1">
        <f t="shared" si="64"/>
        <v>4</v>
      </c>
      <c r="BF88" s="1">
        <f t="shared" si="65"/>
        <v>4</v>
      </c>
      <c r="BG88" s="1">
        <f t="shared" si="66"/>
        <v>5</v>
      </c>
      <c r="BH88" s="1">
        <f t="shared" si="67"/>
        <v>3</v>
      </c>
      <c r="BI88" s="1">
        <f t="shared" si="68"/>
        <v>2</v>
      </c>
      <c r="BJ88" s="1">
        <f t="shared" si="69"/>
        <v>4</v>
      </c>
    </row>
    <row r="89" ht="14.25" customHeight="1" spans="1:62">
      <c r="A89" s="10">
        <v>85</v>
      </c>
      <c r="B89" s="36" t="s">
        <v>403</v>
      </c>
      <c r="C89" s="10">
        <v>2003</v>
      </c>
      <c r="D89" s="10">
        <f t="shared" si="35"/>
        <v>2000</v>
      </c>
      <c r="E89" s="36" t="s">
        <v>391</v>
      </c>
      <c r="F89" s="35" t="s">
        <v>404</v>
      </c>
      <c r="G89" s="36" t="s">
        <v>405</v>
      </c>
      <c r="H89" s="10" t="s">
        <v>140</v>
      </c>
      <c r="I89" s="10" t="s">
        <v>140</v>
      </c>
      <c r="J89" s="10"/>
      <c r="K89" s="10">
        <v>3</v>
      </c>
      <c r="L89" s="10">
        <v>3</v>
      </c>
      <c r="M89" s="10">
        <v>4</v>
      </c>
      <c r="N89" s="10">
        <v>4</v>
      </c>
      <c r="O89" s="10">
        <v>5</v>
      </c>
      <c r="P89" s="10">
        <v>4</v>
      </c>
      <c r="Q89" s="10">
        <v>2</v>
      </c>
      <c r="R89" s="10">
        <v>3</v>
      </c>
      <c r="S89" s="10">
        <f t="shared" si="36"/>
        <v>0.5</v>
      </c>
      <c r="T89" s="10">
        <f t="shared" si="37"/>
        <v>0.5</v>
      </c>
      <c r="U89" s="10">
        <f t="shared" si="38"/>
        <v>0.75</v>
      </c>
      <c r="V89" s="10">
        <f t="shared" si="39"/>
        <v>0.75</v>
      </c>
      <c r="W89" s="10">
        <f t="shared" si="40"/>
        <v>1</v>
      </c>
      <c r="X89" s="10">
        <f t="shared" si="41"/>
        <v>0.75</v>
      </c>
      <c r="Y89" s="10">
        <f t="shared" si="42"/>
        <v>0.25</v>
      </c>
      <c r="Z89" s="10">
        <f t="shared" si="43"/>
        <v>0.5</v>
      </c>
      <c r="AA89" s="10" t="str">
        <f t="shared" si="44"/>
        <v/>
      </c>
      <c r="AB89" s="10" t="str">
        <f t="shared" si="45"/>
        <v/>
      </c>
      <c r="AC89" s="10" t="str">
        <f t="shared" si="46"/>
        <v/>
      </c>
      <c r="AD89" s="10" t="str">
        <f t="shared" si="47"/>
        <v/>
      </c>
      <c r="AE89" s="10" t="str">
        <f t="shared" si="48"/>
        <v/>
      </c>
      <c r="AF89" s="10" t="str">
        <f t="shared" si="49"/>
        <v/>
      </c>
      <c r="AG89" s="10" t="str">
        <f t="shared" si="50"/>
        <v/>
      </c>
      <c r="AH89" s="10" t="str">
        <f t="shared" si="51"/>
        <v/>
      </c>
      <c r="AI89" s="10">
        <f>IF(OR(S89="",'4_BENCHMARK'!$C$4=""),"",ABS(S89-'4_BENCHMARK'!$C$4))</f>
        <v>0.5</v>
      </c>
      <c r="AJ89" s="10">
        <f>IF(OR(T89="",'4_BENCHMARK'!$C$5=""),"",ABS(T89-'4_BENCHMARK'!$C$5))</f>
        <v>0.5</v>
      </c>
      <c r="AK89" s="10">
        <f>IF(OR(U89="",'4_BENCHMARK'!$C$6=""),"",ABS(U89-'4_BENCHMARK'!$C$6))</f>
        <v>0.25</v>
      </c>
      <c r="AL89" s="10">
        <f>IF(OR(V89="",'4_BENCHMARK'!$C$7=""),"",ABS(V89-'4_BENCHMARK'!$C$7))</f>
        <v>0.25</v>
      </c>
      <c r="AM89" s="10">
        <f>IF(OR(W89="",'4_BENCHMARK'!$C$8=""),"",ABS(W89-'4_BENCHMARK'!$C$8))</f>
        <v>1</v>
      </c>
      <c r="AN89" s="10">
        <f>IF(OR(X89="",'4_BENCHMARK'!$C$9=""),"",ABS(X89-'4_BENCHMARK'!$C$9))</f>
        <v>0.75</v>
      </c>
      <c r="AO89" s="10">
        <f>IF(OR(Y89="",'4_BENCHMARK'!$C$10=""),"",ABS(Y89-'4_BENCHMARK'!$C$10))</f>
        <v>0.25</v>
      </c>
      <c r="AP89" s="10">
        <f>IF(OR(Z89="",'4_BENCHMARK'!$C$11=""),"",ABS(Z89-'4_BENCHMARK'!$C$11))</f>
        <v>0.5</v>
      </c>
      <c r="AQ89" s="13">
        <f t="shared" si="52"/>
        <v>0.5</v>
      </c>
      <c r="AR89" s="10"/>
      <c r="AS89" s="10" t="s">
        <v>145</v>
      </c>
      <c r="AT89" s="13">
        <f t="shared" si="53"/>
        <v>0.625</v>
      </c>
      <c r="AU89" s="1" t="str">
        <f t="shared" si="54"/>
        <v/>
      </c>
      <c r="AV89" s="1" t="str">
        <f t="shared" si="55"/>
        <v/>
      </c>
      <c r="AW89" s="1" t="str">
        <f t="shared" si="56"/>
        <v/>
      </c>
      <c r="AX89" s="1" t="str">
        <f t="shared" si="57"/>
        <v/>
      </c>
      <c r="AY89" s="1" t="str">
        <f t="shared" si="58"/>
        <v/>
      </c>
      <c r="AZ89" s="1" t="str">
        <f t="shared" si="59"/>
        <v/>
      </c>
      <c r="BA89" s="1" t="str">
        <f t="shared" si="60"/>
        <v/>
      </c>
      <c r="BB89" s="1" t="str">
        <f t="shared" si="61"/>
        <v/>
      </c>
      <c r="BC89" s="1">
        <f t="shared" si="62"/>
        <v>3</v>
      </c>
      <c r="BD89" s="1">
        <f t="shared" si="63"/>
        <v>3</v>
      </c>
      <c r="BE89" s="1">
        <f t="shared" si="64"/>
        <v>4</v>
      </c>
      <c r="BF89" s="1">
        <f t="shared" si="65"/>
        <v>4</v>
      </c>
      <c r="BG89" s="1">
        <f t="shared" si="66"/>
        <v>5</v>
      </c>
      <c r="BH89" s="1">
        <f t="shared" si="67"/>
        <v>4</v>
      </c>
      <c r="BI89" s="1">
        <f t="shared" si="68"/>
        <v>2</v>
      </c>
      <c r="BJ89" s="1">
        <f t="shared" si="69"/>
        <v>3</v>
      </c>
    </row>
    <row r="90" ht="14.25" customHeight="1" spans="1:62">
      <c r="A90" s="10">
        <v>86</v>
      </c>
      <c r="B90" s="10" t="s">
        <v>406</v>
      </c>
      <c r="C90" s="10">
        <v>2018</v>
      </c>
      <c r="D90" s="10">
        <f t="shared" si="35"/>
        <v>2010</v>
      </c>
      <c r="E90" s="10" t="s">
        <v>136</v>
      </c>
      <c r="F90" s="35" t="s">
        <v>407</v>
      </c>
      <c r="G90" s="10" t="s">
        <v>408</v>
      </c>
      <c r="H90" s="10" t="s">
        <v>140</v>
      </c>
      <c r="I90" s="10" t="s">
        <v>140</v>
      </c>
      <c r="J90" s="10"/>
      <c r="K90" s="10">
        <v>3</v>
      </c>
      <c r="L90" s="10">
        <v>3</v>
      </c>
      <c r="M90" s="10">
        <v>4</v>
      </c>
      <c r="N90" s="10">
        <v>4</v>
      </c>
      <c r="O90" s="10">
        <v>4</v>
      </c>
      <c r="P90" s="10">
        <v>4</v>
      </c>
      <c r="Q90" s="10">
        <v>2</v>
      </c>
      <c r="R90" s="10">
        <v>4</v>
      </c>
      <c r="S90" s="10">
        <f t="shared" si="36"/>
        <v>0.5</v>
      </c>
      <c r="T90" s="10">
        <f t="shared" si="37"/>
        <v>0.5</v>
      </c>
      <c r="U90" s="10">
        <f t="shared" si="38"/>
        <v>0.75</v>
      </c>
      <c r="V90" s="10">
        <f t="shared" si="39"/>
        <v>0.75</v>
      </c>
      <c r="W90" s="10">
        <f t="shared" si="40"/>
        <v>0.75</v>
      </c>
      <c r="X90" s="10">
        <f t="shared" si="41"/>
        <v>0.75</v>
      </c>
      <c r="Y90" s="10">
        <f t="shared" si="42"/>
        <v>0.25</v>
      </c>
      <c r="Z90" s="10">
        <f t="shared" si="43"/>
        <v>0.75</v>
      </c>
      <c r="AA90" s="10" t="str">
        <f t="shared" si="44"/>
        <v/>
      </c>
      <c r="AB90" s="10" t="str">
        <f t="shared" si="45"/>
        <v/>
      </c>
      <c r="AC90" s="10" t="str">
        <f t="shared" si="46"/>
        <v/>
      </c>
      <c r="AD90" s="10" t="str">
        <f t="shared" si="47"/>
        <v/>
      </c>
      <c r="AE90" s="10" t="str">
        <f t="shared" si="48"/>
        <v/>
      </c>
      <c r="AF90" s="10" t="str">
        <f t="shared" si="49"/>
        <v/>
      </c>
      <c r="AG90" s="10" t="str">
        <f t="shared" si="50"/>
        <v/>
      </c>
      <c r="AH90" s="10" t="str">
        <f t="shared" si="51"/>
        <v/>
      </c>
      <c r="AI90" s="10">
        <f>IF(OR(S90="",'4_BENCHMARK'!$C$4=""),"",ABS(S90-'4_BENCHMARK'!$C$4))</f>
        <v>0.5</v>
      </c>
      <c r="AJ90" s="10">
        <f>IF(OR(T90="",'4_BENCHMARK'!$C$5=""),"",ABS(T90-'4_BENCHMARK'!$C$5))</f>
        <v>0.5</v>
      </c>
      <c r="AK90" s="10">
        <f>IF(OR(U90="",'4_BENCHMARK'!$C$6=""),"",ABS(U90-'4_BENCHMARK'!$C$6))</f>
        <v>0.25</v>
      </c>
      <c r="AL90" s="10">
        <f>IF(OR(V90="",'4_BENCHMARK'!$C$7=""),"",ABS(V90-'4_BENCHMARK'!$C$7))</f>
        <v>0.25</v>
      </c>
      <c r="AM90" s="10">
        <f>IF(OR(W90="",'4_BENCHMARK'!$C$8=""),"",ABS(W90-'4_BENCHMARK'!$C$8))</f>
        <v>0.75</v>
      </c>
      <c r="AN90" s="10">
        <f>IF(OR(X90="",'4_BENCHMARK'!$C$9=""),"",ABS(X90-'4_BENCHMARK'!$C$9))</f>
        <v>0.75</v>
      </c>
      <c r="AO90" s="10">
        <f>IF(OR(Y90="",'4_BENCHMARK'!$C$10=""),"",ABS(Y90-'4_BENCHMARK'!$C$10))</f>
        <v>0.25</v>
      </c>
      <c r="AP90" s="10">
        <f>IF(OR(Z90="",'4_BENCHMARK'!$C$11=""),"",ABS(Z90-'4_BENCHMARK'!$C$11))</f>
        <v>0.25</v>
      </c>
      <c r="AQ90" s="13">
        <f t="shared" si="52"/>
        <v>0.5625</v>
      </c>
      <c r="AR90" s="10"/>
      <c r="AS90" s="10" t="s">
        <v>145</v>
      </c>
      <c r="AT90" s="13">
        <f t="shared" si="53"/>
        <v>0.666666666666667</v>
      </c>
      <c r="AU90" s="1" t="str">
        <f t="shared" si="54"/>
        <v/>
      </c>
      <c r="AV90" s="1" t="str">
        <f t="shared" si="55"/>
        <v/>
      </c>
      <c r="AW90" s="1" t="str">
        <f t="shared" si="56"/>
        <v/>
      </c>
      <c r="AX90" s="1" t="str">
        <f t="shared" si="57"/>
        <v/>
      </c>
      <c r="AY90" s="1" t="str">
        <f t="shared" si="58"/>
        <v/>
      </c>
      <c r="AZ90" s="1" t="str">
        <f t="shared" si="59"/>
        <v/>
      </c>
      <c r="BA90" s="1" t="str">
        <f t="shared" si="60"/>
        <v/>
      </c>
      <c r="BB90" s="1" t="str">
        <f t="shared" si="61"/>
        <v/>
      </c>
      <c r="BC90" s="1">
        <f t="shared" si="62"/>
        <v>3</v>
      </c>
      <c r="BD90" s="1">
        <f t="shared" si="63"/>
        <v>3</v>
      </c>
      <c r="BE90" s="1">
        <f t="shared" si="64"/>
        <v>4</v>
      </c>
      <c r="BF90" s="1">
        <f t="shared" si="65"/>
        <v>4</v>
      </c>
      <c r="BG90" s="1">
        <f t="shared" si="66"/>
        <v>4</v>
      </c>
      <c r="BH90" s="1">
        <f t="shared" si="67"/>
        <v>4</v>
      </c>
      <c r="BI90" s="1">
        <f t="shared" si="68"/>
        <v>2</v>
      </c>
      <c r="BJ90" s="1">
        <f t="shared" si="69"/>
        <v>4</v>
      </c>
    </row>
    <row r="91" ht="14.25" customHeight="1" spans="1:62">
      <c r="A91" s="10">
        <v>87</v>
      </c>
      <c r="B91" s="10" t="s">
        <v>409</v>
      </c>
      <c r="C91" s="10">
        <v>2014</v>
      </c>
      <c r="D91" s="10">
        <f t="shared" si="35"/>
        <v>2010</v>
      </c>
      <c r="E91" s="10" t="s">
        <v>136</v>
      </c>
      <c r="F91" s="35" t="s">
        <v>410</v>
      </c>
      <c r="G91" s="10" t="s">
        <v>411</v>
      </c>
      <c r="H91" s="10" t="s">
        <v>140</v>
      </c>
      <c r="I91" s="10" t="s">
        <v>140</v>
      </c>
      <c r="J91" s="10"/>
      <c r="K91" s="10">
        <v>2</v>
      </c>
      <c r="L91" s="10">
        <v>4</v>
      </c>
      <c r="M91" s="10">
        <v>4</v>
      </c>
      <c r="N91" s="10">
        <v>4</v>
      </c>
      <c r="O91" s="10">
        <v>1</v>
      </c>
      <c r="P91" s="10">
        <v>1</v>
      </c>
      <c r="Q91" s="10">
        <v>2</v>
      </c>
      <c r="R91" s="10">
        <v>4</v>
      </c>
      <c r="S91" s="10">
        <f t="shared" si="36"/>
        <v>0.25</v>
      </c>
      <c r="T91" s="10">
        <f t="shared" si="37"/>
        <v>0.75</v>
      </c>
      <c r="U91" s="10">
        <f t="shared" si="38"/>
        <v>0.75</v>
      </c>
      <c r="V91" s="10">
        <f t="shared" si="39"/>
        <v>0.75</v>
      </c>
      <c r="W91" s="10">
        <f t="shared" si="40"/>
        <v>0</v>
      </c>
      <c r="X91" s="10">
        <f t="shared" si="41"/>
        <v>0</v>
      </c>
      <c r="Y91" s="10">
        <f t="shared" si="42"/>
        <v>0.25</v>
      </c>
      <c r="Z91" s="10">
        <f t="shared" si="43"/>
        <v>0.75</v>
      </c>
      <c r="AA91" s="10" t="str">
        <f t="shared" si="44"/>
        <v/>
      </c>
      <c r="AB91" s="10" t="str">
        <f t="shared" si="45"/>
        <v/>
      </c>
      <c r="AC91" s="10" t="str">
        <f t="shared" si="46"/>
        <v/>
      </c>
      <c r="AD91" s="10" t="str">
        <f t="shared" si="47"/>
        <v/>
      </c>
      <c r="AE91" s="10" t="str">
        <f t="shared" si="48"/>
        <v/>
      </c>
      <c r="AF91" s="10" t="str">
        <f t="shared" si="49"/>
        <v/>
      </c>
      <c r="AG91" s="10" t="str">
        <f t="shared" si="50"/>
        <v/>
      </c>
      <c r="AH91" s="10" t="str">
        <f t="shared" si="51"/>
        <v/>
      </c>
      <c r="AI91" s="10">
        <f>IF(OR(S91="",'4_BENCHMARK'!$C$4=""),"",ABS(S91-'4_BENCHMARK'!$C$4))</f>
        <v>0.75</v>
      </c>
      <c r="AJ91" s="10">
        <f>IF(OR(T91="",'4_BENCHMARK'!$C$5=""),"",ABS(T91-'4_BENCHMARK'!$C$5))</f>
        <v>0.25</v>
      </c>
      <c r="AK91" s="10">
        <f>IF(OR(U91="",'4_BENCHMARK'!$C$6=""),"",ABS(U91-'4_BENCHMARK'!$C$6))</f>
        <v>0.25</v>
      </c>
      <c r="AL91" s="10">
        <f>IF(OR(V91="",'4_BENCHMARK'!$C$7=""),"",ABS(V91-'4_BENCHMARK'!$C$7))</f>
        <v>0.25</v>
      </c>
      <c r="AM91" s="10">
        <f>IF(OR(W91="",'4_BENCHMARK'!$C$8=""),"",ABS(W91-'4_BENCHMARK'!$C$8))</f>
        <v>0</v>
      </c>
      <c r="AN91" s="10">
        <f>IF(OR(X91="",'4_BENCHMARK'!$C$9=""),"",ABS(X91-'4_BENCHMARK'!$C$9))</f>
        <v>0</v>
      </c>
      <c r="AO91" s="10">
        <f>IF(OR(Y91="",'4_BENCHMARK'!$C$10=""),"",ABS(Y91-'4_BENCHMARK'!$C$10))</f>
        <v>0.25</v>
      </c>
      <c r="AP91" s="10">
        <f>IF(OR(Z91="",'4_BENCHMARK'!$C$11=""),"",ABS(Z91-'4_BENCHMARK'!$C$11))</f>
        <v>0.25</v>
      </c>
      <c r="AQ91" s="13">
        <f t="shared" si="52"/>
        <v>0.75</v>
      </c>
      <c r="AR91" s="10"/>
      <c r="AS91" s="10" t="s">
        <v>145</v>
      </c>
      <c r="AT91" s="13">
        <f t="shared" si="53"/>
        <v>0.666666666666667</v>
      </c>
      <c r="AU91" s="1" t="str">
        <f t="shared" si="54"/>
        <v/>
      </c>
      <c r="AV91" s="1" t="str">
        <f t="shared" si="55"/>
        <v/>
      </c>
      <c r="AW91" s="1" t="str">
        <f t="shared" si="56"/>
        <v/>
      </c>
      <c r="AX91" s="1" t="str">
        <f t="shared" si="57"/>
        <v/>
      </c>
      <c r="AY91" s="1" t="str">
        <f t="shared" si="58"/>
        <v/>
      </c>
      <c r="AZ91" s="1" t="str">
        <f t="shared" si="59"/>
        <v/>
      </c>
      <c r="BA91" s="1" t="str">
        <f t="shared" si="60"/>
        <v/>
      </c>
      <c r="BB91" s="1" t="str">
        <f t="shared" si="61"/>
        <v/>
      </c>
      <c r="BC91" s="1">
        <f t="shared" si="62"/>
        <v>2</v>
      </c>
      <c r="BD91" s="1">
        <f t="shared" si="63"/>
        <v>4</v>
      </c>
      <c r="BE91" s="1">
        <f t="shared" si="64"/>
        <v>4</v>
      </c>
      <c r="BF91" s="1">
        <f t="shared" si="65"/>
        <v>4</v>
      </c>
      <c r="BG91" s="1">
        <f t="shared" si="66"/>
        <v>1</v>
      </c>
      <c r="BH91" s="1">
        <f t="shared" si="67"/>
        <v>1</v>
      </c>
      <c r="BI91" s="1">
        <f t="shared" si="68"/>
        <v>2</v>
      </c>
      <c r="BJ91" s="1">
        <f t="shared" si="69"/>
        <v>4</v>
      </c>
    </row>
    <row r="92" ht="14.25" customHeight="1" spans="1:62">
      <c r="A92" s="10">
        <v>88</v>
      </c>
      <c r="B92" s="10" t="s">
        <v>412</v>
      </c>
      <c r="C92" s="10">
        <v>2013</v>
      </c>
      <c r="D92" s="10">
        <f t="shared" si="35"/>
        <v>2010</v>
      </c>
      <c r="E92" s="10" t="s">
        <v>136</v>
      </c>
      <c r="F92" s="35" t="s">
        <v>413</v>
      </c>
      <c r="G92" s="10" t="s">
        <v>414</v>
      </c>
      <c r="H92" s="10" t="s">
        <v>140</v>
      </c>
      <c r="I92" s="10" t="s">
        <v>140</v>
      </c>
      <c r="J92" s="10"/>
      <c r="K92" s="10">
        <v>2</v>
      </c>
      <c r="L92" s="10">
        <v>4</v>
      </c>
      <c r="M92" s="10">
        <v>4</v>
      </c>
      <c r="N92" s="10">
        <v>3</v>
      </c>
      <c r="O92" s="10">
        <v>5</v>
      </c>
      <c r="P92" s="10">
        <v>1</v>
      </c>
      <c r="Q92" s="10">
        <v>2</v>
      </c>
      <c r="R92" s="10">
        <v>4</v>
      </c>
      <c r="S92" s="10">
        <f t="shared" si="36"/>
        <v>0.25</v>
      </c>
      <c r="T92" s="10">
        <f t="shared" si="37"/>
        <v>0.75</v>
      </c>
      <c r="U92" s="10">
        <f t="shared" si="38"/>
        <v>0.75</v>
      </c>
      <c r="V92" s="10">
        <f t="shared" si="39"/>
        <v>0.5</v>
      </c>
      <c r="W92" s="10">
        <f t="shared" si="40"/>
        <v>1</v>
      </c>
      <c r="X92" s="10">
        <f t="shared" si="41"/>
        <v>0</v>
      </c>
      <c r="Y92" s="10">
        <f t="shared" si="42"/>
        <v>0.25</v>
      </c>
      <c r="Z92" s="10">
        <f t="shared" si="43"/>
        <v>0.75</v>
      </c>
      <c r="AA92" s="10" t="str">
        <f t="shared" si="44"/>
        <v/>
      </c>
      <c r="AB92" s="10" t="str">
        <f t="shared" si="45"/>
        <v/>
      </c>
      <c r="AC92" s="10" t="str">
        <f t="shared" si="46"/>
        <v/>
      </c>
      <c r="AD92" s="10" t="str">
        <f t="shared" si="47"/>
        <v/>
      </c>
      <c r="AE92" s="10" t="str">
        <f t="shared" si="48"/>
        <v/>
      </c>
      <c r="AF92" s="10" t="str">
        <f t="shared" si="49"/>
        <v/>
      </c>
      <c r="AG92" s="10" t="str">
        <f t="shared" si="50"/>
        <v/>
      </c>
      <c r="AH92" s="10" t="str">
        <f t="shared" si="51"/>
        <v/>
      </c>
      <c r="AI92" s="10">
        <f>IF(OR(S92="",'4_BENCHMARK'!$C$4=""),"",ABS(S92-'4_BENCHMARK'!$C$4))</f>
        <v>0.75</v>
      </c>
      <c r="AJ92" s="10">
        <f>IF(OR(T92="",'4_BENCHMARK'!$C$5=""),"",ABS(T92-'4_BENCHMARK'!$C$5))</f>
        <v>0.25</v>
      </c>
      <c r="AK92" s="10">
        <f>IF(OR(U92="",'4_BENCHMARK'!$C$6=""),"",ABS(U92-'4_BENCHMARK'!$C$6))</f>
        <v>0.25</v>
      </c>
      <c r="AL92" s="10">
        <f>IF(OR(V92="",'4_BENCHMARK'!$C$7=""),"",ABS(V92-'4_BENCHMARK'!$C$7))</f>
        <v>0.5</v>
      </c>
      <c r="AM92" s="10">
        <f>IF(OR(W92="",'4_BENCHMARK'!$C$8=""),"",ABS(W92-'4_BENCHMARK'!$C$8))</f>
        <v>1</v>
      </c>
      <c r="AN92" s="10">
        <f>IF(OR(X92="",'4_BENCHMARK'!$C$9=""),"",ABS(X92-'4_BENCHMARK'!$C$9))</f>
        <v>0</v>
      </c>
      <c r="AO92" s="10">
        <f>IF(OR(Y92="",'4_BENCHMARK'!$C$10=""),"",ABS(Y92-'4_BENCHMARK'!$C$10))</f>
        <v>0.25</v>
      </c>
      <c r="AP92" s="10">
        <f>IF(OR(Z92="",'4_BENCHMARK'!$C$11=""),"",ABS(Z92-'4_BENCHMARK'!$C$11))</f>
        <v>0.25</v>
      </c>
      <c r="AQ92" s="13">
        <f t="shared" si="52"/>
        <v>0.59375</v>
      </c>
      <c r="AR92" s="10"/>
      <c r="AS92" s="10" t="s">
        <v>145</v>
      </c>
      <c r="AT92" s="13">
        <f t="shared" si="53"/>
        <v>0.625</v>
      </c>
      <c r="AU92" s="1" t="str">
        <f t="shared" si="54"/>
        <v/>
      </c>
      <c r="AV92" s="1" t="str">
        <f t="shared" si="55"/>
        <v/>
      </c>
      <c r="AW92" s="1" t="str">
        <f t="shared" si="56"/>
        <v/>
      </c>
      <c r="AX92" s="1" t="str">
        <f t="shared" si="57"/>
        <v/>
      </c>
      <c r="AY92" s="1" t="str">
        <f t="shared" si="58"/>
        <v/>
      </c>
      <c r="AZ92" s="1" t="str">
        <f t="shared" si="59"/>
        <v/>
      </c>
      <c r="BA92" s="1" t="str">
        <f t="shared" si="60"/>
        <v/>
      </c>
      <c r="BB92" s="1" t="str">
        <f t="shared" si="61"/>
        <v/>
      </c>
      <c r="BC92" s="1">
        <f t="shared" si="62"/>
        <v>2</v>
      </c>
      <c r="BD92" s="1">
        <f t="shared" si="63"/>
        <v>4</v>
      </c>
      <c r="BE92" s="1">
        <f t="shared" si="64"/>
        <v>4</v>
      </c>
      <c r="BF92" s="1">
        <f t="shared" si="65"/>
        <v>3</v>
      </c>
      <c r="BG92" s="1">
        <f t="shared" si="66"/>
        <v>5</v>
      </c>
      <c r="BH92" s="1">
        <f t="shared" si="67"/>
        <v>1</v>
      </c>
      <c r="BI92" s="1">
        <f t="shared" si="68"/>
        <v>2</v>
      </c>
      <c r="BJ92" s="1">
        <f t="shared" si="69"/>
        <v>4</v>
      </c>
    </row>
    <row r="93" ht="14.25" customHeight="1" spans="1:62">
      <c r="A93" s="10">
        <v>89</v>
      </c>
      <c r="B93" s="10" t="s">
        <v>415</v>
      </c>
      <c r="C93" s="10">
        <v>1896</v>
      </c>
      <c r="D93" s="10">
        <f t="shared" si="35"/>
        <v>1890</v>
      </c>
      <c r="E93" s="10" t="s">
        <v>136</v>
      </c>
      <c r="F93" s="35" t="s">
        <v>416</v>
      </c>
      <c r="G93" s="10" t="s">
        <v>417</v>
      </c>
      <c r="H93" s="10" t="s">
        <v>139</v>
      </c>
      <c r="I93" s="10" t="s">
        <v>140</v>
      </c>
      <c r="J93" s="10"/>
      <c r="K93" s="10">
        <v>5</v>
      </c>
      <c r="L93" s="10">
        <v>5</v>
      </c>
      <c r="M93" s="10">
        <v>5</v>
      </c>
      <c r="N93" s="10">
        <v>5</v>
      </c>
      <c r="O93" s="10">
        <v>1</v>
      </c>
      <c r="P93" s="10">
        <v>1</v>
      </c>
      <c r="Q93" s="10">
        <v>3</v>
      </c>
      <c r="R93" s="10">
        <v>5</v>
      </c>
      <c r="S93" s="10">
        <f t="shared" si="36"/>
        <v>1</v>
      </c>
      <c r="T93" s="10">
        <f t="shared" si="37"/>
        <v>1</v>
      </c>
      <c r="U93" s="10">
        <f t="shared" si="38"/>
        <v>1</v>
      </c>
      <c r="V93" s="10">
        <f t="shared" si="39"/>
        <v>1</v>
      </c>
      <c r="W93" s="10">
        <f t="shared" si="40"/>
        <v>0</v>
      </c>
      <c r="X93" s="10">
        <f t="shared" si="41"/>
        <v>0</v>
      </c>
      <c r="Y93" s="10">
        <f t="shared" si="42"/>
        <v>0.5</v>
      </c>
      <c r="Z93" s="10">
        <f t="shared" si="43"/>
        <v>1</v>
      </c>
      <c r="AA93" s="10">
        <f t="shared" si="44"/>
        <v>1</v>
      </c>
      <c r="AB93" s="10">
        <f t="shared" si="45"/>
        <v>1</v>
      </c>
      <c r="AC93" s="10">
        <f t="shared" si="46"/>
        <v>1</v>
      </c>
      <c r="AD93" s="10">
        <f t="shared" si="47"/>
        <v>1</v>
      </c>
      <c r="AE93" s="10">
        <f t="shared" si="48"/>
        <v>0</v>
      </c>
      <c r="AF93" s="10">
        <f t="shared" si="49"/>
        <v>0</v>
      </c>
      <c r="AG93" s="10">
        <f t="shared" si="50"/>
        <v>0.5</v>
      </c>
      <c r="AH93" s="10">
        <f t="shared" si="51"/>
        <v>1</v>
      </c>
      <c r="AI93" s="10">
        <f>IF(OR(S93="",'4_BENCHMARK'!$C$4=""),"",ABS(S93-'4_BENCHMARK'!$C$4))</f>
        <v>0</v>
      </c>
      <c r="AJ93" s="10">
        <f>IF(OR(T93="",'4_BENCHMARK'!$C$5=""),"",ABS(T93-'4_BENCHMARK'!$C$5))</f>
        <v>0</v>
      </c>
      <c r="AK93" s="10">
        <f>IF(OR(U93="",'4_BENCHMARK'!$C$6=""),"",ABS(U93-'4_BENCHMARK'!$C$6))</f>
        <v>0</v>
      </c>
      <c r="AL93" s="10">
        <f>IF(OR(V93="",'4_BENCHMARK'!$C$7=""),"",ABS(V93-'4_BENCHMARK'!$C$7))</f>
        <v>0</v>
      </c>
      <c r="AM93" s="10">
        <f>IF(OR(W93="",'4_BENCHMARK'!$C$8=""),"",ABS(W93-'4_BENCHMARK'!$C$8))</f>
        <v>0</v>
      </c>
      <c r="AN93" s="10">
        <f>IF(OR(X93="",'4_BENCHMARK'!$C$9=""),"",ABS(X93-'4_BENCHMARK'!$C$9))</f>
        <v>0</v>
      </c>
      <c r="AO93" s="10">
        <f>IF(OR(Y93="",'4_BENCHMARK'!$C$10=""),"",ABS(Y93-'4_BENCHMARK'!$C$10))</f>
        <v>0</v>
      </c>
      <c r="AP93" s="10">
        <f>IF(OR(Z93="",'4_BENCHMARK'!$C$11=""),"",ABS(Z93-'4_BENCHMARK'!$C$11))</f>
        <v>0</v>
      </c>
      <c r="AQ93" s="13">
        <f t="shared" si="52"/>
        <v>1</v>
      </c>
      <c r="AR93" s="10"/>
      <c r="AS93" s="10" t="s">
        <v>141</v>
      </c>
      <c r="AT93" s="13">
        <f t="shared" si="53"/>
        <v>1</v>
      </c>
      <c r="AU93" s="1">
        <f t="shared" si="54"/>
        <v>5</v>
      </c>
      <c r="AV93" s="1">
        <f t="shared" si="55"/>
        <v>5</v>
      </c>
      <c r="AW93" s="1">
        <f t="shared" si="56"/>
        <v>5</v>
      </c>
      <c r="AX93" s="1">
        <f t="shared" si="57"/>
        <v>5</v>
      </c>
      <c r="AY93" s="1">
        <f t="shared" si="58"/>
        <v>1</v>
      </c>
      <c r="AZ93" s="1">
        <f t="shared" si="59"/>
        <v>1</v>
      </c>
      <c r="BA93" s="1">
        <f t="shared" si="60"/>
        <v>3</v>
      </c>
      <c r="BB93" s="1">
        <f t="shared" si="61"/>
        <v>5</v>
      </c>
      <c r="BC93" s="1" t="str">
        <f t="shared" si="62"/>
        <v/>
      </c>
      <c r="BD93" s="1" t="str">
        <f t="shared" si="63"/>
        <v/>
      </c>
      <c r="BE93" s="1" t="str">
        <f t="shared" si="64"/>
        <v/>
      </c>
      <c r="BF93" s="1" t="str">
        <f t="shared" si="65"/>
        <v/>
      </c>
      <c r="BG93" s="1" t="str">
        <f t="shared" si="66"/>
        <v/>
      </c>
      <c r="BH93" s="1" t="str">
        <f t="shared" si="67"/>
        <v/>
      </c>
      <c r="BI93" s="1" t="str">
        <f t="shared" si="68"/>
        <v/>
      </c>
      <c r="BJ93" s="1" t="str">
        <f t="shared" si="69"/>
        <v/>
      </c>
    </row>
    <row r="94" ht="14.25" customHeight="1" spans="1:62">
      <c r="A94" s="10">
        <v>90</v>
      </c>
      <c r="B94" s="10" t="s">
        <v>418</v>
      </c>
      <c r="C94" s="10">
        <v>2003</v>
      </c>
      <c r="D94" s="10">
        <f t="shared" si="35"/>
        <v>2000</v>
      </c>
      <c r="E94" s="10" t="s">
        <v>136</v>
      </c>
      <c r="F94" s="35" t="s">
        <v>419</v>
      </c>
      <c r="G94" s="10" t="s">
        <v>420</v>
      </c>
      <c r="H94" s="10" t="s">
        <v>140</v>
      </c>
      <c r="I94" s="10" t="s">
        <v>140</v>
      </c>
      <c r="J94" s="10" t="s">
        <v>421</v>
      </c>
      <c r="K94" s="10">
        <v>5</v>
      </c>
      <c r="L94" s="10">
        <v>5</v>
      </c>
      <c r="M94" s="10">
        <v>5</v>
      </c>
      <c r="N94" s="10">
        <v>4</v>
      </c>
      <c r="O94" s="10">
        <v>5</v>
      </c>
      <c r="P94" s="10">
        <v>3</v>
      </c>
      <c r="Q94" s="10">
        <v>2</v>
      </c>
      <c r="R94" s="10">
        <v>4</v>
      </c>
      <c r="S94" s="10">
        <f t="shared" si="36"/>
        <v>1</v>
      </c>
      <c r="T94" s="10">
        <f t="shared" si="37"/>
        <v>1</v>
      </c>
      <c r="U94" s="10">
        <f t="shared" si="38"/>
        <v>1</v>
      </c>
      <c r="V94" s="10">
        <f t="shared" si="39"/>
        <v>0.75</v>
      </c>
      <c r="W94" s="10">
        <f t="shared" si="40"/>
        <v>1</v>
      </c>
      <c r="X94" s="10">
        <f t="shared" si="41"/>
        <v>0.5</v>
      </c>
      <c r="Y94" s="10">
        <f t="shared" si="42"/>
        <v>0.25</v>
      </c>
      <c r="Z94" s="10">
        <f t="shared" si="43"/>
        <v>0.75</v>
      </c>
      <c r="AA94" s="10" t="str">
        <f t="shared" si="44"/>
        <v/>
      </c>
      <c r="AB94" s="10" t="str">
        <f t="shared" si="45"/>
        <v/>
      </c>
      <c r="AC94" s="10" t="str">
        <f t="shared" si="46"/>
        <v/>
      </c>
      <c r="AD94" s="10" t="str">
        <f t="shared" si="47"/>
        <v/>
      </c>
      <c r="AE94" s="10" t="str">
        <f t="shared" si="48"/>
        <v/>
      </c>
      <c r="AF94" s="10" t="str">
        <f t="shared" si="49"/>
        <v/>
      </c>
      <c r="AG94" s="10" t="str">
        <f t="shared" si="50"/>
        <v/>
      </c>
      <c r="AH94" s="10" t="str">
        <f t="shared" si="51"/>
        <v/>
      </c>
      <c r="AI94" s="10">
        <f>IF(OR(S94="",'4_BENCHMARK'!$C$4=""),"",ABS(S94-'4_BENCHMARK'!$C$4))</f>
        <v>0</v>
      </c>
      <c r="AJ94" s="10">
        <f>IF(OR(T94="",'4_BENCHMARK'!$C$5=""),"",ABS(T94-'4_BENCHMARK'!$C$5))</f>
        <v>0</v>
      </c>
      <c r="AK94" s="10">
        <f>IF(OR(U94="",'4_BENCHMARK'!$C$6=""),"",ABS(U94-'4_BENCHMARK'!$C$6))</f>
        <v>0</v>
      </c>
      <c r="AL94" s="10">
        <f>IF(OR(V94="",'4_BENCHMARK'!$C$7=""),"",ABS(V94-'4_BENCHMARK'!$C$7))</f>
        <v>0.25</v>
      </c>
      <c r="AM94" s="10">
        <f>IF(OR(W94="",'4_BENCHMARK'!$C$8=""),"",ABS(W94-'4_BENCHMARK'!$C$8))</f>
        <v>1</v>
      </c>
      <c r="AN94" s="10">
        <f>IF(OR(X94="",'4_BENCHMARK'!$C$9=""),"",ABS(X94-'4_BENCHMARK'!$C$9))</f>
        <v>0.5</v>
      </c>
      <c r="AO94" s="10">
        <f>IF(OR(Y94="",'4_BENCHMARK'!$C$10=""),"",ABS(Y94-'4_BENCHMARK'!$C$10))</f>
        <v>0.25</v>
      </c>
      <c r="AP94" s="10">
        <f>IF(OR(Z94="",'4_BENCHMARK'!$C$11=""),"",ABS(Z94-'4_BENCHMARK'!$C$11))</f>
        <v>0.25</v>
      </c>
      <c r="AQ94" s="13">
        <f t="shared" si="52"/>
        <v>0.71875</v>
      </c>
      <c r="AR94" s="10"/>
      <c r="AS94" s="10" t="s">
        <v>149</v>
      </c>
      <c r="AT94" s="13">
        <f t="shared" si="53"/>
        <v>0.875</v>
      </c>
      <c r="AU94" s="1" t="str">
        <f t="shared" si="54"/>
        <v/>
      </c>
      <c r="AV94" s="1" t="str">
        <f t="shared" si="55"/>
        <v/>
      </c>
      <c r="AW94" s="1" t="str">
        <f t="shared" si="56"/>
        <v/>
      </c>
      <c r="AX94" s="1" t="str">
        <f t="shared" si="57"/>
        <v/>
      </c>
      <c r="AY94" s="1" t="str">
        <f t="shared" si="58"/>
        <v/>
      </c>
      <c r="AZ94" s="1" t="str">
        <f t="shared" si="59"/>
        <v/>
      </c>
      <c r="BA94" s="1" t="str">
        <f t="shared" si="60"/>
        <v/>
      </c>
      <c r="BB94" s="1" t="str">
        <f t="shared" si="61"/>
        <v/>
      </c>
      <c r="BC94" s="1">
        <f t="shared" si="62"/>
        <v>5</v>
      </c>
      <c r="BD94" s="1">
        <f t="shared" si="63"/>
        <v>5</v>
      </c>
      <c r="BE94" s="1">
        <f t="shared" si="64"/>
        <v>5</v>
      </c>
      <c r="BF94" s="1">
        <f t="shared" si="65"/>
        <v>4</v>
      </c>
      <c r="BG94" s="1">
        <f t="shared" si="66"/>
        <v>5</v>
      </c>
      <c r="BH94" s="1">
        <f t="shared" si="67"/>
        <v>3</v>
      </c>
      <c r="BI94" s="1">
        <f t="shared" si="68"/>
        <v>2</v>
      </c>
      <c r="BJ94" s="1">
        <f t="shared" si="69"/>
        <v>4</v>
      </c>
    </row>
    <row r="95" ht="14.25" customHeight="1" spans="1:62">
      <c r="A95" s="10">
        <v>91</v>
      </c>
      <c r="B95" s="10" t="s">
        <v>422</v>
      </c>
      <c r="C95" s="10">
        <v>2018</v>
      </c>
      <c r="D95" s="10">
        <f t="shared" si="35"/>
        <v>2010</v>
      </c>
      <c r="E95" s="10" t="s">
        <v>136</v>
      </c>
      <c r="F95" s="35" t="s">
        <v>423</v>
      </c>
      <c r="G95" s="10" t="s">
        <v>424</v>
      </c>
      <c r="H95" s="10" t="s">
        <v>140</v>
      </c>
      <c r="I95" s="10" t="s">
        <v>140</v>
      </c>
      <c r="J95" s="10"/>
      <c r="K95" s="10">
        <v>3</v>
      </c>
      <c r="L95" s="10">
        <v>4</v>
      </c>
      <c r="M95" s="10">
        <v>4</v>
      </c>
      <c r="N95" s="10">
        <v>5</v>
      </c>
      <c r="O95" s="10">
        <v>1</v>
      </c>
      <c r="P95" s="10">
        <v>1</v>
      </c>
      <c r="Q95" s="10">
        <v>2</v>
      </c>
      <c r="R95" s="10">
        <v>4</v>
      </c>
      <c r="S95" s="10">
        <f t="shared" si="36"/>
        <v>0.5</v>
      </c>
      <c r="T95" s="10">
        <f t="shared" si="37"/>
        <v>0.75</v>
      </c>
      <c r="U95" s="10">
        <f t="shared" si="38"/>
        <v>0.75</v>
      </c>
      <c r="V95" s="10">
        <f t="shared" si="39"/>
        <v>1</v>
      </c>
      <c r="W95" s="10">
        <f t="shared" si="40"/>
        <v>0</v>
      </c>
      <c r="X95" s="10">
        <f t="shared" si="41"/>
        <v>0</v>
      </c>
      <c r="Y95" s="10">
        <f t="shared" si="42"/>
        <v>0.25</v>
      </c>
      <c r="Z95" s="10">
        <f t="shared" si="43"/>
        <v>0.75</v>
      </c>
      <c r="AA95" s="10" t="str">
        <f t="shared" si="44"/>
        <v/>
      </c>
      <c r="AB95" s="10" t="str">
        <f t="shared" si="45"/>
        <v/>
      </c>
      <c r="AC95" s="10" t="str">
        <f t="shared" si="46"/>
        <v/>
      </c>
      <c r="AD95" s="10" t="str">
        <f t="shared" si="47"/>
        <v/>
      </c>
      <c r="AE95" s="10" t="str">
        <f t="shared" si="48"/>
        <v/>
      </c>
      <c r="AF95" s="10" t="str">
        <f t="shared" si="49"/>
        <v/>
      </c>
      <c r="AG95" s="10" t="str">
        <f t="shared" si="50"/>
        <v/>
      </c>
      <c r="AH95" s="10" t="str">
        <f t="shared" si="51"/>
        <v/>
      </c>
      <c r="AI95" s="10">
        <f>IF(OR(S95="",'4_BENCHMARK'!$C$4=""),"",ABS(S95-'4_BENCHMARK'!$C$4))</f>
        <v>0.5</v>
      </c>
      <c r="AJ95" s="10">
        <f>IF(OR(T95="",'4_BENCHMARK'!$C$5=""),"",ABS(T95-'4_BENCHMARK'!$C$5))</f>
        <v>0.25</v>
      </c>
      <c r="AK95" s="10">
        <f>IF(OR(U95="",'4_BENCHMARK'!$C$6=""),"",ABS(U95-'4_BENCHMARK'!$C$6))</f>
        <v>0.25</v>
      </c>
      <c r="AL95" s="10">
        <f>IF(OR(V95="",'4_BENCHMARK'!$C$7=""),"",ABS(V95-'4_BENCHMARK'!$C$7))</f>
        <v>0</v>
      </c>
      <c r="AM95" s="10">
        <f>IF(OR(W95="",'4_BENCHMARK'!$C$8=""),"",ABS(W95-'4_BENCHMARK'!$C$8))</f>
        <v>0</v>
      </c>
      <c r="AN95" s="10">
        <f>IF(OR(X95="",'4_BENCHMARK'!$C$9=""),"",ABS(X95-'4_BENCHMARK'!$C$9))</f>
        <v>0</v>
      </c>
      <c r="AO95" s="10">
        <f>IF(OR(Y95="",'4_BENCHMARK'!$C$10=""),"",ABS(Y95-'4_BENCHMARK'!$C$10))</f>
        <v>0.25</v>
      </c>
      <c r="AP95" s="10">
        <f>IF(OR(Z95="",'4_BENCHMARK'!$C$11=""),"",ABS(Z95-'4_BENCHMARK'!$C$11))</f>
        <v>0.25</v>
      </c>
      <c r="AQ95" s="13">
        <f t="shared" si="52"/>
        <v>0.8125</v>
      </c>
      <c r="AR95" s="10"/>
      <c r="AS95" s="10" t="s">
        <v>145</v>
      </c>
      <c r="AT95" s="13">
        <f t="shared" si="53"/>
        <v>0.75</v>
      </c>
      <c r="AU95" s="1" t="str">
        <f t="shared" si="54"/>
        <v/>
      </c>
      <c r="AV95" s="1" t="str">
        <f t="shared" si="55"/>
        <v/>
      </c>
      <c r="AW95" s="1" t="str">
        <f t="shared" si="56"/>
        <v/>
      </c>
      <c r="AX95" s="1" t="str">
        <f t="shared" si="57"/>
        <v/>
      </c>
      <c r="AY95" s="1" t="str">
        <f t="shared" si="58"/>
        <v/>
      </c>
      <c r="AZ95" s="1" t="str">
        <f t="shared" si="59"/>
        <v/>
      </c>
      <c r="BA95" s="1" t="str">
        <f t="shared" si="60"/>
        <v/>
      </c>
      <c r="BB95" s="1" t="str">
        <f t="shared" si="61"/>
        <v/>
      </c>
      <c r="BC95" s="1">
        <f t="shared" si="62"/>
        <v>3</v>
      </c>
      <c r="BD95" s="1">
        <f t="shared" si="63"/>
        <v>4</v>
      </c>
      <c r="BE95" s="1">
        <f t="shared" si="64"/>
        <v>4</v>
      </c>
      <c r="BF95" s="1">
        <f t="shared" si="65"/>
        <v>5</v>
      </c>
      <c r="BG95" s="1">
        <f t="shared" si="66"/>
        <v>1</v>
      </c>
      <c r="BH95" s="1">
        <f t="shared" si="67"/>
        <v>1</v>
      </c>
      <c r="BI95" s="1">
        <f t="shared" si="68"/>
        <v>2</v>
      </c>
      <c r="BJ95" s="1">
        <f t="shared" si="69"/>
        <v>4</v>
      </c>
    </row>
    <row r="96" ht="14.25" customHeight="1" spans="1:62">
      <c r="A96" s="10">
        <v>92</v>
      </c>
      <c r="B96" s="10" t="s">
        <v>425</v>
      </c>
      <c r="C96" s="10">
        <v>2017</v>
      </c>
      <c r="D96" s="10">
        <f t="shared" si="35"/>
        <v>2010</v>
      </c>
      <c r="E96" s="10" t="s">
        <v>136</v>
      </c>
      <c r="F96" s="35" t="s">
        <v>426</v>
      </c>
      <c r="G96" s="10" t="s">
        <v>427</v>
      </c>
      <c r="H96" s="10" t="s">
        <v>140</v>
      </c>
      <c r="I96" s="10" t="s">
        <v>140</v>
      </c>
      <c r="J96" s="10"/>
      <c r="K96" s="10">
        <v>2</v>
      </c>
      <c r="L96" s="10">
        <v>3</v>
      </c>
      <c r="M96" s="10">
        <v>4</v>
      </c>
      <c r="N96" s="10">
        <v>4</v>
      </c>
      <c r="O96" s="10">
        <v>2</v>
      </c>
      <c r="P96" s="10">
        <v>1</v>
      </c>
      <c r="Q96" s="10">
        <v>2</v>
      </c>
      <c r="R96" s="10">
        <v>5</v>
      </c>
      <c r="S96" s="10">
        <f t="shared" si="36"/>
        <v>0.25</v>
      </c>
      <c r="T96" s="10">
        <f t="shared" si="37"/>
        <v>0.5</v>
      </c>
      <c r="U96" s="10">
        <f t="shared" si="38"/>
        <v>0.75</v>
      </c>
      <c r="V96" s="10">
        <f t="shared" si="39"/>
        <v>0.75</v>
      </c>
      <c r="W96" s="10">
        <f t="shared" si="40"/>
        <v>0.25</v>
      </c>
      <c r="X96" s="10">
        <f t="shared" si="41"/>
        <v>0</v>
      </c>
      <c r="Y96" s="10">
        <f t="shared" si="42"/>
        <v>0.25</v>
      </c>
      <c r="Z96" s="10">
        <f t="shared" si="43"/>
        <v>1</v>
      </c>
      <c r="AA96" s="10" t="str">
        <f t="shared" si="44"/>
        <v/>
      </c>
      <c r="AB96" s="10" t="str">
        <f t="shared" si="45"/>
        <v/>
      </c>
      <c r="AC96" s="10" t="str">
        <f t="shared" si="46"/>
        <v/>
      </c>
      <c r="AD96" s="10" t="str">
        <f t="shared" si="47"/>
        <v/>
      </c>
      <c r="AE96" s="10" t="str">
        <f t="shared" si="48"/>
        <v/>
      </c>
      <c r="AF96" s="10" t="str">
        <f t="shared" si="49"/>
        <v/>
      </c>
      <c r="AG96" s="10" t="str">
        <f t="shared" si="50"/>
        <v/>
      </c>
      <c r="AH96" s="10" t="str">
        <f t="shared" si="51"/>
        <v/>
      </c>
      <c r="AI96" s="10">
        <f>IF(OR(S96="",'4_BENCHMARK'!$C$4=""),"",ABS(S96-'4_BENCHMARK'!$C$4))</f>
        <v>0.75</v>
      </c>
      <c r="AJ96" s="10">
        <f>IF(OR(T96="",'4_BENCHMARK'!$C$5=""),"",ABS(T96-'4_BENCHMARK'!$C$5))</f>
        <v>0.5</v>
      </c>
      <c r="AK96" s="10">
        <f>IF(OR(U96="",'4_BENCHMARK'!$C$6=""),"",ABS(U96-'4_BENCHMARK'!$C$6))</f>
        <v>0.25</v>
      </c>
      <c r="AL96" s="10">
        <f>IF(OR(V96="",'4_BENCHMARK'!$C$7=""),"",ABS(V96-'4_BENCHMARK'!$C$7))</f>
        <v>0.25</v>
      </c>
      <c r="AM96" s="10">
        <f>IF(OR(W96="",'4_BENCHMARK'!$C$8=""),"",ABS(W96-'4_BENCHMARK'!$C$8))</f>
        <v>0.25</v>
      </c>
      <c r="AN96" s="10">
        <f>IF(OR(X96="",'4_BENCHMARK'!$C$9=""),"",ABS(X96-'4_BENCHMARK'!$C$9))</f>
        <v>0</v>
      </c>
      <c r="AO96" s="10">
        <f>IF(OR(Y96="",'4_BENCHMARK'!$C$10=""),"",ABS(Y96-'4_BENCHMARK'!$C$10))</f>
        <v>0.25</v>
      </c>
      <c r="AP96" s="10">
        <f>IF(OR(Z96="",'4_BENCHMARK'!$C$11=""),"",ABS(Z96-'4_BENCHMARK'!$C$11))</f>
        <v>0</v>
      </c>
      <c r="AQ96" s="13">
        <f t="shared" si="52"/>
        <v>0.71875</v>
      </c>
      <c r="AR96" s="10"/>
      <c r="AS96" s="10" t="s">
        <v>145</v>
      </c>
      <c r="AT96" s="13">
        <f t="shared" si="53"/>
        <v>0.666666666666667</v>
      </c>
      <c r="AU96" s="1" t="str">
        <f t="shared" si="54"/>
        <v/>
      </c>
      <c r="AV96" s="1" t="str">
        <f t="shared" si="55"/>
        <v/>
      </c>
      <c r="AW96" s="1" t="str">
        <f t="shared" si="56"/>
        <v/>
      </c>
      <c r="AX96" s="1" t="str">
        <f t="shared" si="57"/>
        <v/>
      </c>
      <c r="AY96" s="1" t="str">
        <f t="shared" si="58"/>
        <v/>
      </c>
      <c r="AZ96" s="1" t="str">
        <f t="shared" si="59"/>
        <v/>
      </c>
      <c r="BA96" s="1" t="str">
        <f t="shared" si="60"/>
        <v/>
      </c>
      <c r="BB96" s="1" t="str">
        <f t="shared" si="61"/>
        <v/>
      </c>
      <c r="BC96" s="1">
        <f t="shared" si="62"/>
        <v>2</v>
      </c>
      <c r="BD96" s="1">
        <f t="shared" si="63"/>
        <v>3</v>
      </c>
      <c r="BE96" s="1">
        <f t="shared" si="64"/>
        <v>4</v>
      </c>
      <c r="BF96" s="1">
        <f t="shared" si="65"/>
        <v>4</v>
      </c>
      <c r="BG96" s="1">
        <f t="shared" si="66"/>
        <v>2</v>
      </c>
      <c r="BH96" s="1">
        <f t="shared" si="67"/>
        <v>1</v>
      </c>
      <c r="BI96" s="1">
        <f t="shared" si="68"/>
        <v>2</v>
      </c>
      <c r="BJ96" s="1">
        <f t="shared" si="69"/>
        <v>5</v>
      </c>
    </row>
    <row r="97" ht="14.25" customHeight="1" spans="1:62">
      <c r="A97" s="10">
        <v>93</v>
      </c>
      <c r="B97" s="10" t="s">
        <v>428</v>
      </c>
      <c r="C97" s="10">
        <v>2023</v>
      </c>
      <c r="D97" s="10">
        <f t="shared" si="35"/>
        <v>2020</v>
      </c>
      <c r="E97" s="10" t="s">
        <v>136</v>
      </c>
      <c r="F97" s="35" t="s">
        <v>429</v>
      </c>
      <c r="G97" s="10" t="s">
        <v>430</v>
      </c>
      <c r="H97" s="10" t="s">
        <v>140</v>
      </c>
      <c r="I97" s="10" t="s">
        <v>140</v>
      </c>
      <c r="J97" s="10"/>
      <c r="K97" s="10">
        <v>3</v>
      </c>
      <c r="L97" s="10">
        <v>4</v>
      </c>
      <c r="M97" s="10">
        <v>4</v>
      </c>
      <c r="N97" s="10">
        <v>4</v>
      </c>
      <c r="O97" s="10">
        <v>4</v>
      </c>
      <c r="P97" s="10">
        <v>1</v>
      </c>
      <c r="Q97" s="10">
        <v>2</v>
      </c>
      <c r="R97" s="10">
        <v>4</v>
      </c>
      <c r="S97" s="10">
        <f t="shared" si="36"/>
        <v>0.5</v>
      </c>
      <c r="T97" s="10">
        <f t="shared" si="37"/>
        <v>0.75</v>
      </c>
      <c r="U97" s="10">
        <f t="shared" si="38"/>
        <v>0.75</v>
      </c>
      <c r="V97" s="10">
        <f t="shared" si="39"/>
        <v>0.75</v>
      </c>
      <c r="W97" s="10">
        <f t="shared" si="40"/>
        <v>0.75</v>
      </c>
      <c r="X97" s="10">
        <f t="shared" si="41"/>
        <v>0</v>
      </c>
      <c r="Y97" s="10">
        <f t="shared" si="42"/>
        <v>0.25</v>
      </c>
      <c r="Z97" s="10">
        <f t="shared" si="43"/>
        <v>0.75</v>
      </c>
      <c r="AA97" s="10" t="str">
        <f t="shared" si="44"/>
        <v/>
      </c>
      <c r="AB97" s="10" t="str">
        <f t="shared" si="45"/>
        <v/>
      </c>
      <c r="AC97" s="10" t="str">
        <f t="shared" si="46"/>
        <v/>
      </c>
      <c r="AD97" s="10" t="str">
        <f t="shared" si="47"/>
        <v/>
      </c>
      <c r="AE97" s="10" t="str">
        <f t="shared" si="48"/>
        <v/>
      </c>
      <c r="AF97" s="10" t="str">
        <f t="shared" si="49"/>
        <v/>
      </c>
      <c r="AG97" s="10" t="str">
        <f t="shared" si="50"/>
        <v/>
      </c>
      <c r="AH97" s="10" t="str">
        <f t="shared" si="51"/>
        <v/>
      </c>
      <c r="AI97" s="10">
        <f>IF(OR(S97="",'4_BENCHMARK'!$C$4=""),"",ABS(S97-'4_BENCHMARK'!$C$4))</f>
        <v>0.5</v>
      </c>
      <c r="AJ97" s="10">
        <f>IF(OR(T97="",'4_BENCHMARK'!$C$5=""),"",ABS(T97-'4_BENCHMARK'!$C$5))</f>
        <v>0.25</v>
      </c>
      <c r="AK97" s="10">
        <f>IF(OR(U97="",'4_BENCHMARK'!$C$6=""),"",ABS(U97-'4_BENCHMARK'!$C$6))</f>
        <v>0.25</v>
      </c>
      <c r="AL97" s="10">
        <f>IF(OR(V97="",'4_BENCHMARK'!$C$7=""),"",ABS(V97-'4_BENCHMARK'!$C$7))</f>
        <v>0.25</v>
      </c>
      <c r="AM97" s="10">
        <f>IF(OR(W97="",'4_BENCHMARK'!$C$8=""),"",ABS(W97-'4_BENCHMARK'!$C$8))</f>
        <v>0.75</v>
      </c>
      <c r="AN97" s="10">
        <f>IF(OR(X97="",'4_BENCHMARK'!$C$9=""),"",ABS(X97-'4_BENCHMARK'!$C$9))</f>
        <v>0</v>
      </c>
      <c r="AO97" s="10">
        <f>IF(OR(Y97="",'4_BENCHMARK'!$C$10=""),"",ABS(Y97-'4_BENCHMARK'!$C$10))</f>
        <v>0.25</v>
      </c>
      <c r="AP97" s="10">
        <f>IF(OR(Z97="",'4_BENCHMARK'!$C$11=""),"",ABS(Z97-'4_BENCHMARK'!$C$11))</f>
        <v>0.25</v>
      </c>
      <c r="AQ97" s="13">
        <f t="shared" si="52"/>
        <v>0.6875</v>
      </c>
      <c r="AR97" s="10"/>
      <c r="AS97" s="10" t="s">
        <v>145</v>
      </c>
      <c r="AT97" s="13">
        <f t="shared" si="53"/>
        <v>0.708333333333333</v>
      </c>
      <c r="AU97" s="1" t="str">
        <f t="shared" si="54"/>
        <v/>
      </c>
      <c r="AV97" s="1" t="str">
        <f t="shared" si="55"/>
        <v/>
      </c>
      <c r="AW97" s="1" t="str">
        <f t="shared" si="56"/>
        <v/>
      </c>
      <c r="AX97" s="1" t="str">
        <f t="shared" si="57"/>
        <v/>
      </c>
      <c r="AY97" s="1" t="str">
        <f t="shared" si="58"/>
        <v/>
      </c>
      <c r="AZ97" s="1" t="str">
        <f t="shared" si="59"/>
        <v/>
      </c>
      <c r="BA97" s="1" t="str">
        <f t="shared" si="60"/>
        <v/>
      </c>
      <c r="BB97" s="1" t="str">
        <f t="shared" si="61"/>
        <v/>
      </c>
      <c r="BC97" s="1">
        <f t="shared" si="62"/>
        <v>3</v>
      </c>
      <c r="BD97" s="1">
        <f t="shared" si="63"/>
        <v>4</v>
      </c>
      <c r="BE97" s="1">
        <f t="shared" si="64"/>
        <v>4</v>
      </c>
      <c r="BF97" s="1">
        <f t="shared" si="65"/>
        <v>4</v>
      </c>
      <c r="BG97" s="1">
        <f t="shared" si="66"/>
        <v>4</v>
      </c>
      <c r="BH97" s="1">
        <f t="shared" si="67"/>
        <v>1</v>
      </c>
      <c r="BI97" s="1">
        <f t="shared" si="68"/>
        <v>2</v>
      </c>
      <c r="BJ97" s="1">
        <f t="shared" si="69"/>
        <v>4</v>
      </c>
    </row>
    <row r="98" ht="14.25" customHeight="1" spans="1:62">
      <c r="A98" s="10">
        <v>94</v>
      </c>
      <c r="B98" s="10" t="s">
        <v>431</v>
      </c>
      <c r="C98" s="10">
        <v>2021</v>
      </c>
      <c r="D98" s="10">
        <f t="shared" si="35"/>
        <v>2020</v>
      </c>
      <c r="E98" s="10" t="s">
        <v>136</v>
      </c>
      <c r="F98" s="35" t="s">
        <v>432</v>
      </c>
      <c r="G98" s="10" t="s">
        <v>433</v>
      </c>
      <c r="H98" s="10" t="s">
        <v>139</v>
      </c>
      <c r="I98" s="10" t="s">
        <v>140</v>
      </c>
      <c r="J98" s="10"/>
      <c r="K98" s="10">
        <v>4</v>
      </c>
      <c r="L98" s="10">
        <v>5</v>
      </c>
      <c r="M98" s="10">
        <v>4</v>
      </c>
      <c r="N98" s="10">
        <v>5</v>
      </c>
      <c r="O98" s="10">
        <v>2</v>
      </c>
      <c r="P98" s="10">
        <v>5</v>
      </c>
      <c r="Q98" s="10">
        <v>2</v>
      </c>
      <c r="R98" s="10">
        <v>2</v>
      </c>
      <c r="S98" s="10">
        <f t="shared" si="36"/>
        <v>0.75</v>
      </c>
      <c r="T98" s="10">
        <f t="shared" si="37"/>
        <v>1</v>
      </c>
      <c r="U98" s="10">
        <f t="shared" si="38"/>
        <v>0.75</v>
      </c>
      <c r="V98" s="10">
        <f t="shared" si="39"/>
        <v>1</v>
      </c>
      <c r="W98" s="10">
        <f t="shared" si="40"/>
        <v>0.25</v>
      </c>
      <c r="X98" s="10">
        <f t="shared" si="41"/>
        <v>1</v>
      </c>
      <c r="Y98" s="10">
        <f t="shared" si="42"/>
        <v>0.25</v>
      </c>
      <c r="Z98" s="10">
        <f t="shared" si="43"/>
        <v>0.25</v>
      </c>
      <c r="AA98" s="10" t="str">
        <f t="shared" si="44"/>
        <v/>
      </c>
      <c r="AB98" s="10" t="str">
        <f t="shared" si="45"/>
        <v/>
      </c>
      <c r="AC98" s="10" t="str">
        <f t="shared" si="46"/>
        <v/>
      </c>
      <c r="AD98" s="10" t="str">
        <f t="shared" si="47"/>
        <v/>
      </c>
      <c r="AE98" s="10" t="str">
        <f t="shared" si="48"/>
        <v/>
      </c>
      <c r="AF98" s="10" t="str">
        <f t="shared" si="49"/>
        <v/>
      </c>
      <c r="AG98" s="10" t="str">
        <f t="shared" si="50"/>
        <v/>
      </c>
      <c r="AH98" s="10" t="str">
        <f t="shared" si="51"/>
        <v/>
      </c>
      <c r="AI98" s="10">
        <f>IF(OR(S98="",'4_BENCHMARK'!$C$4=""),"",ABS(S98-'4_BENCHMARK'!$C$4))</f>
        <v>0.25</v>
      </c>
      <c r="AJ98" s="10">
        <f>IF(OR(T98="",'4_BENCHMARK'!$C$5=""),"",ABS(T98-'4_BENCHMARK'!$C$5))</f>
        <v>0</v>
      </c>
      <c r="AK98" s="10">
        <f>IF(OR(U98="",'4_BENCHMARK'!$C$6=""),"",ABS(U98-'4_BENCHMARK'!$C$6))</f>
        <v>0.25</v>
      </c>
      <c r="AL98" s="10">
        <f>IF(OR(V98="",'4_BENCHMARK'!$C$7=""),"",ABS(V98-'4_BENCHMARK'!$C$7))</f>
        <v>0</v>
      </c>
      <c r="AM98" s="10">
        <f>IF(OR(W98="",'4_BENCHMARK'!$C$8=""),"",ABS(W98-'4_BENCHMARK'!$C$8))</f>
        <v>0.25</v>
      </c>
      <c r="AN98" s="10">
        <f>IF(OR(X98="",'4_BENCHMARK'!$C$9=""),"",ABS(X98-'4_BENCHMARK'!$C$9))</f>
        <v>1</v>
      </c>
      <c r="AO98" s="10">
        <f>IF(OR(Y98="",'4_BENCHMARK'!$C$10=""),"",ABS(Y98-'4_BENCHMARK'!$C$10))</f>
        <v>0.25</v>
      </c>
      <c r="AP98" s="10">
        <f>IF(OR(Z98="",'4_BENCHMARK'!$C$11=""),"",ABS(Z98-'4_BENCHMARK'!$C$11))</f>
        <v>0.75</v>
      </c>
      <c r="AQ98" s="13">
        <f t="shared" si="52"/>
        <v>0.65625</v>
      </c>
      <c r="AR98" s="10"/>
      <c r="AS98" s="10" t="s">
        <v>145</v>
      </c>
      <c r="AT98" s="13">
        <f t="shared" si="53"/>
        <v>0.75</v>
      </c>
      <c r="AU98" s="1" t="str">
        <f t="shared" si="54"/>
        <v/>
      </c>
      <c r="AV98" s="1" t="str">
        <f t="shared" si="55"/>
        <v/>
      </c>
      <c r="AW98" s="1" t="str">
        <f t="shared" si="56"/>
        <v/>
      </c>
      <c r="AX98" s="1" t="str">
        <f t="shared" si="57"/>
        <v/>
      </c>
      <c r="AY98" s="1" t="str">
        <f t="shared" si="58"/>
        <v/>
      </c>
      <c r="AZ98" s="1" t="str">
        <f t="shared" si="59"/>
        <v/>
      </c>
      <c r="BA98" s="1" t="str">
        <f t="shared" si="60"/>
        <v/>
      </c>
      <c r="BB98" s="1" t="str">
        <f t="shared" si="61"/>
        <v/>
      </c>
      <c r="BC98" s="1">
        <f t="shared" si="62"/>
        <v>4</v>
      </c>
      <c r="BD98" s="1">
        <f t="shared" si="63"/>
        <v>5</v>
      </c>
      <c r="BE98" s="1">
        <f t="shared" si="64"/>
        <v>4</v>
      </c>
      <c r="BF98" s="1">
        <f t="shared" si="65"/>
        <v>5</v>
      </c>
      <c r="BG98" s="1">
        <f t="shared" si="66"/>
        <v>2</v>
      </c>
      <c r="BH98" s="1">
        <f t="shared" si="67"/>
        <v>5</v>
      </c>
      <c r="BI98" s="1">
        <f t="shared" si="68"/>
        <v>2</v>
      </c>
      <c r="BJ98" s="1">
        <f t="shared" si="69"/>
        <v>2</v>
      </c>
    </row>
    <row r="99" ht="14.25" customHeight="1" spans="1:62">
      <c r="A99" s="10">
        <v>95</v>
      </c>
      <c r="B99" s="10" t="s">
        <v>434</v>
      </c>
      <c r="C99" s="10">
        <v>2008</v>
      </c>
      <c r="D99" s="10">
        <f t="shared" si="35"/>
        <v>2000</v>
      </c>
      <c r="E99" s="10" t="s">
        <v>136</v>
      </c>
      <c r="F99" s="35" t="s">
        <v>435</v>
      </c>
      <c r="G99" s="10" t="s">
        <v>436</v>
      </c>
      <c r="H99" s="10" t="s">
        <v>140</v>
      </c>
      <c r="I99" s="10" t="s">
        <v>140</v>
      </c>
      <c r="J99" s="10"/>
      <c r="K99" s="10">
        <v>4</v>
      </c>
      <c r="L99" s="10">
        <v>3</v>
      </c>
      <c r="M99" s="10">
        <v>4</v>
      </c>
      <c r="N99" s="10">
        <v>4</v>
      </c>
      <c r="O99" s="10">
        <v>5</v>
      </c>
      <c r="P99" s="10">
        <v>5</v>
      </c>
      <c r="Q99" s="10">
        <v>2</v>
      </c>
      <c r="R99" s="10">
        <v>4</v>
      </c>
      <c r="S99" s="10">
        <f t="shared" si="36"/>
        <v>0.75</v>
      </c>
      <c r="T99" s="10">
        <f t="shared" si="37"/>
        <v>0.5</v>
      </c>
      <c r="U99" s="10">
        <f t="shared" si="38"/>
        <v>0.75</v>
      </c>
      <c r="V99" s="10">
        <f t="shared" si="39"/>
        <v>0.75</v>
      </c>
      <c r="W99" s="10">
        <f t="shared" si="40"/>
        <v>1</v>
      </c>
      <c r="X99" s="10">
        <f t="shared" si="41"/>
        <v>1</v>
      </c>
      <c r="Y99" s="10">
        <f t="shared" si="42"/>
        <v>0.25</v>
      </c>
      <c r="Z99" s="10">
        <f t="shared" si="43"/>
        <v>0.75</v>
      </c>
      <c r="AA99" s="10" t="str">
        <f t="shared" si="44"/>
        <v/>
      </c>
      <c r="AB99" s="10" t="str">
        <f t="shared" si="45"/>
        <v/>
      </c>
      <c r="AC99" s="10" t="str">
        <f t="shared" si="46"/>
        <v/>
      </c>
      <c r="AD99" s="10" t="str">
        <f t="shared" si="47"/>
        <v/>
      </c>
      <c r="AE99" s="10" t="str">
        <f t="shared" si="48"/>
        <v/>
      </c>
      <c r="AF99" s="10" t="str">
        <f t="shared" si="49"/>
        <v/>
      </c>
      <c r="AG99" s="10" t="str">
        <f t="shared" si="50"/>
        <v/>
      </c>
      <c r="AH99" s="10" t="str">
        <f t="shared" si="51"/>
        <v/>
      </c>
      <c r="AI99" s="10">
        <f>IF(OR(S99="",'4_BENCHMARK'!$C$4=""),"",ABS(S99-'4_BENCHMARK'!$C$4))</f>
        <v>0.25</v>
      </c>
      <c r="AJ99" s="10">
        <f>IF(OR(T99="",'4_BENCHMARK'!$C$5=""),"",ABS(T99-'4_BENCHMARK'!$C$5))</f>
        <v>0.5</v>
      </c>
      <c r="AK99" s="10">
        <f>IF(OR(U99="",'4_BENCHMARK'!$C$6=""),"",ABS(U99-'4_BENCHMARK'!$C$6))</f>
        <v>0.25</v>
      </c>
      <c r="AL99" s="10">
        <f>IF(OR(V99="",'4_BENCHMARK'!$C$7=""),"",ABS(V99-'4_BENCHMARK'!$C$7))</f>
        <v>0.25</v>
      </c>
      <c r="AM99" s="10">
        <f>IF(OR(W99="",'4_BENCHMARK'!$C$8=""),"",ABS(W99-'4_BENCHMARK'!$C$8))</f>
        <v>1</v>
      </c>
      <c r="AN99" s="10">
        <f>IF(OR(X99="",'4_BENCHMARK'!$C$9=""),"",ABS(X99-'4_BENCHMARK'!$C$9))</f>
        <v>1</v>
      </c>
      <c r="AO99" s="10">
        <f>IF(OR(Y99="",'4_BENCHMARK'!$C$10=""),"",ABS(Y99-'4_BENCHMARK'!$C$10))</f>
        <v>0.25</v>
      </c>
      <c r="AP99" s="10">
        <f>IF(OR(Z99="",'4_BENCHMARK'!$C$11=""),"",ABS(Z99-'4_BENCHMARK'!$C$11))</f>
        <v>0.25</v>
      </c>
      <c r="AQ99" s="13">
        <f t="shared" si="52"/>
        <v>0.53125</v>
      </c>
      <c r="AR99" s="10"/>
      <c r="AS99" s="10" t="s">
        <v>145</v>
      </c>
      <c r="AT99" s="13">
        <f t="shared" si="53"/>
        <v>0.708333333333333</v>
      </c>
      <c r="AU99" s="1" t="str">
        <f t="shared" si="54"/>
        <v/>
      </c>
      <c r="AV99" s="1" t="str">
        <f t="shared" si="55"/>
        <v/>
      </c>
      <c r="AW99" s="1" t="str">
        <f t="shared" si="56"/>
        <v/>
      </c>
      <c r="AX99" s="1" t="str">
        <f t="shared" si="57"/>
        <v/>
      </c>
      <c r="AY99" s="1" t="str">
        <f t="shared" si="58"/>
        <v/>
      </c>
      <c r="AZ99" s="1" t="str">
        <f t="shared" si="59"/>
        <v/>
      </c>
      <c r="BA99" s="1" t="str">
        <f t="shared" si="60"/>
        <v/>
      </c>
      <c r="BB99" s="1" t="str">
        <f t="shared" si="61"/>
        <v/>
      </c>
      <c r="BC99" s="1">
        <f t="shared" si="62"/>
        <v>4</v>
      </c>
      <c r="BD99" s="1">
        <f t="shared" si="63"/>
        <v>3</v>
      </c>
      <c r="BE99" s="1">
        <f t="shared" si="64"/>
        <v>4</v>
      </c>
      <c r="BF99" s="1">
        <f t="shared" si="65"/>
        <v>4</v>
      </c>
      <c r="BG99" s="1">
        <f t="shared" si="66"/>
        <v>5</v>
      </c>
      <c r="BH99" s="1">
        <f t="shared" si="67"/>
        <v>5</v>
      </c>
      <c r="BI99" s="1">
        <f t="shared" si="68"/>
        <v>2</v>
      </c>
      <c r="BJ99" s="1">
        <f t="shared" si="69"/>
        <v>4</v>
      </c>
    </row>
    <row r="100" ht="14.25" customHeight="1" spans="1:62">
      <c r="A100" s="10">
        <v>96</v>
      </c>
      <c r="B100" s="10" t="s">
        <v>437</v>
      </c>
      <c r="C100" s="10">
        <v>2019</v>
      </c>
      <c r="D100" s="10">
        <f t="shared" si="35"/>
        <v>2010</v>
      </c>
      <c r="E100" s="10" t="s">
        <v>136</v>
      </c>
      <c r="F100" s="35" t="s">
        <v>438</v>
      </c>
      <c r="G100" s="10" t="s">
        <v>439</v>
      </c>
      <c r="H100" s="10" t="s">
        <v>140</v>
      </c>
      <c r="I100" s="10" t="s">
        <v>140</v>
      </c>
      <c r="J100" s="10"/>
      <c r="K100" s="10">
        <v>5</v>
      </c>
      <c r="L100" s="10">
        <v>5</v>
      </c>
      <c r="M100" s="10">
        <v>5</v>
      </c>
      <c r="N100" s="10">
        <v>5</v>
      </c>
      <c r="O100" s="10">
        <v>5</v>
      </c>
      <c r="P100" s="10">
        <v>5</v>
      </c>
      <c r="Q100" s="10">
        <v>2</v>
      </c>
      <c r="R100" s="10">
        <v>5</v>
      </c>
      <c r="S100" s="10">
        <f t="shared" si="36"/>
        <v>1</v>
      </c>
      <c r="T100" s="10">
        <f t="shared" si="37"/>
        <v>1</v>
      </c>
      <c r="U100" s="10">
        <f t="shared" si="38"/>
        <v>1</v>
      </c>
      <c r="V100" s="10">
        <f t="shared" si="39"/>
        <v>1</v>
      </c>
      <c r="W100" s="10">
        <f t="shared" si="40"/>
        <v>1</v>
      </c>
      <c r="X100" s="10">
        <f t="shared" si="41"/>
        <v>1</v>
      </c>
      <c r="Y100" s="10">
        <f t="shared" si="42"/>
        <v>0.25</v>
      </c>
      <c r="Z100" s="10">
        <f t="shared" si="43"/>
        <v>1</v>
      </c>
      <c r="AA100" s="10" t="str">
        <f t="shared" si="44"/>
        <v/>
      </c>
      <c r="AB100" s="10" t="str">
        <f t="shared" si="45"/>
        <v/>
      </c>
      <c r="AC100" s="10" t="str">
        <f t="shared" si="46"/>
        <v/>
      </c>
      <c r="AD100" s="10" t="str">
        <f t="shared" si="47"/>
        <v/>
      </c>
      <c r="AE100" s="10" t="str">
        <f t="shared" si="48"/>
        <v/>
      </c>
      <c r="AF100" s="10" t="str">
        <f t="shared" si="49"/>
        <v/>
      </c>
      <c r="AG100" s="10" t="str">
        <f t="shared" si="50"/>
        <v/>
      </c>
      <c r="AH100" s="10" t="str">
        <f t="shared" si="51"/>
        <v/>
      </c>
      <c r="AI100" s="10">
        <f>IF(OR(S100="",'4_BENCHMARK'!$C$4=""),"",ABS(S100-'4_BENCHMARK'!$C$4))</f>
        <v>0</v>
      </c>
      <c r="AJ100" s="10">
        <f>IF(OR(T100="",'4_BENCHMARK'!$C$5=""),"",ABS(T100-'4_BENCHMARK'!$C$5))</f>
        <v>0</v>
      </c>
      <c r="AK100" s="10">
        <f>IF(OR(U100="",'4_BENCHMARK'!$C$6=""),"",ABS(U100-'4_BENCHMARK'!$C$6))</f>
        <v>0</v>
      </c>
      <c r="AL100" s="10">
        <f>IF(OR(V100="",'4_BENCHMARK'!$C$7=""),"",ABS(V100-'4_BENCHMARK'!$C$7))</f>
        <v>0</v>
      </c>
      <c r="AM100" s="10">
        <f>IF(OR(W100="",'4_BENCHMARK'!$C$8=""),"",ABS(W100-'4_BENCHMARK'!$C$8))</f>
        <v>1</v>
      </c>
      <c r="AN100" s="10">
        <f>IF(OR(X100="",'4_BENCHMARK'!$C$9=""),"",ABS(X100-'4_BENCHMARK'!$C$9))</f>
        <v>1</v>
      </c>
      <c r="AO100" s="10">
        <f>IF(OR(Y100="",'4_BENCHMARK'!$C$10=""),"",ABS(Y100-'4_BENCHMARK'!$C$10))</f>
        <v>0.25</v>
      </c>
      <c r="AP100" s="10">
        <f>IF(OR(Z100="",'4_BENCHMARK'!$C$11=""),"",ABS(Z100-'4_BENCHMARK'!$C$11))</f>
        <v>0</v>
      </c>
      <c r="AQ100" s="13">
        <f t="shared" si="52"/>
        <v>0.71875</v>
      </c>
      <c r="AR100" s="10"/>
      <c r="AS100" s="10" t="s">
        <v>149</v>
      </c>
      <c r="AT100" s="13">
        <f t="shared" si="53"/>
        <v>0.958333333333333</v>
      </c>
      <c r="AU100" s="1" t="str">
        <f t="shared" si="54"/>
        <v/>
      </c>
      <c r="AV100" s="1" t="str">
        <f t="shared" si="55"/>
        <v/>
      </c>
      <c r="AW100" s="1" t="str">
        <f t="shared" si="56"/>
        <v/>
      </c>
      <c r="AX100" s="1" t="str">
        <f t="shared" si="57"/>
        <v/>
      </c>
      <c r="AY100" s="1" t="str">
        <f t="shared" si="58"/>
        <v/>
      </c>
      <c r="AZ100" s="1" t="str">
        <f t="shared" si="59"/>
        <v/>
      </c>
      <c r="BA100" s="1" t="str">
        <f t="shared" si="60"/>
        <v/>
      </c>
      <c r="BB100" s="1" t="str">
        <f t="shared" si="61"/>
        <v/>
      </c>
      <c r="BC100" s="1">
        <f t="shared" si="62"/>
        <v>5</v>
      </c>
      <c r="BD100" s="1">
        <f t="shared" si="63"/>
        <v>5</v>
      </c>
      <c r="BE100" s="1">
        <f t="shared" si="64"/>
        <v>5</v>
      </c>
      <c r="BF100" s="1">
        <f t="shared" si="65"/>
        <v>5</v>
      </c>
      <c r="BG100" s="1">
        <f t="shared" si="66"/>
        <v>5</v>
      </c>
      <c r="BH100" s="1">
        <f t="shared" si="67"/>
        <v>5</v>
      </c>
      <c r="BI100" s="1">
        <f t="shared" si="68"/>
        <v>2</v>
      </c>
      <c r="BJ100" s="1">
        <f t="shared" si="69"/>
        <v>5</v>
      </c>
    </row>
    <row r="101" ht="14.25" customHeight="1" spans="1:62">
      <c r="A101" s="10">
        <v>97</v>
      </c>
      <c r="B101" s="10" t="s">
        <v>440</v>
      </c>
      <c r="C101" s="10">
        <v>2015</v>
      </c>
      <c r="D101" s="10">
        <f t="shared" si="35"/>
        <v>2010</v>
      </c>
      <c r="E101" s="10" t="s">
        <v>136</v>
      </c>
      <c r="F101" s="35" t="s">
        <v>441</v>
      </c>
      <c r="G101" s="10" t="s">
        <v>442</v>
      </c>
      <c r="H101" s="10" t="s">
        <v>140</v>
      </c>
      <c r="I101" s="10" t="s">
        <v>140</v>
      </c>
      <c r="J101" s="10"/>
      <c r="K101" s="10">
        <v>3</v>
      </c>
      <c r="L101" s="10">
        <v>3</v>
      </c>
      <c r="M101" s="10">
        <v>4</v>
      </c>
      <c r="N101" s="10">
        <v>4</v>
      </c>
      <c r="O101" s="10">
        <v>1</v>
      </c>
      <c r="P101" s="10">
        <v>1</v>
      </c>
      <c r="Q101" s="10">
        <v>2</v>
      </c>
      <c r="R101" s="10">
        <v>4</v>
      </c>
      <c r="S101" s="10">
        <f t="shared" si="36"/>
        <v>0.5</v>
      </c>
      <c r="T101" s="10">
        <f t="shared" si="37"/>
        <v>0.5</v>
      </c>
      <c r="U101" s="10">
        <f t="shared" si="38"/>
        <v>0.75</v>
      </c>
      <c r="V101" s="10">
        <f t="shared" si="39"/>
        <v>0.75</v>
      </c>
      <c r="W101" s="10">
        <f t="shared" si="40"/>
        <v>0</v>
      </c>
      <c r="X101" s="10">
        <f t="shared" si="41"/>
        <v>0</v>
      </c>
      <c r="Y101" s="10">
        <f t="shared" si="42"/>
        <v>0.25</v>
      </c>
      <c r="Z101" s="10">
        <f t="shared" si="43"/>
        <v>0.75</v>
      </c>
      <c r="AA101" s="10" t="str">
        <f t="shared" si="44"/>
        <v/>
      </c>
      <c r="AB101" s="10" t="str">
        <f t="shared" si="45"/>
        <v/>
      </c>
      <c r="AC101" s="10" t="str">
        <f t="shared" si="46"/>
        <v/>
      </c>
      <c r="AD101" s="10" t="str">
        <f t="shared" si="47"/>
        <v/>
      </c>
      <c r="AE101" s="10" t="str">
        <f t="shared" si="48"/>
        <v/>
      </c>
      <c r="AF101" s="10" t="str">
        <f t="shared" si="49"/>
        <v/>
      </c>
      <c r="AG101" s="10" t="str">
        <f t="shared" si="50"/>
        <v/>
      </c>
      <c r="AH101" s="10" t="str">
        <f t="shared" si="51"/>
        <v/>
      </c>
      <c r="AI101" s="10">
        <f>IF(OR(S101="",'4_BENCHMARK'!$C$4=""),"",ABS(S101-'4_BENCHMARK'!$C$4))</f>
        <v>0.5</v>
      </c>
      <c r="AJ101" s="10">
        <f>IF(OR(T101="",'4_BENCHMARK'!$C$5=""),"",ABS(T101-'4_BENCHMARK'!$C$5))</f>
        <v>0.5</v>
      </c>
      <c r="AK101" s="10">
        <f>IF(OR(U101="",'4_BENCHMARK'!$C$6=""),"",ABS(U101-'4_BENCHMARK'!$C$6))</f>
        <v>0.25</v>
      </c>
      <c r="AL101" s="10">
        <f>IF(OR(V101="",'4_BENCHMARK'!$C$7=""),"",ABS(V101-'4_BENCHMARK'!$C$7))</f>
        <v>0.25</v>
      </c>
      <c r="AM101" s="10">
        <f>IF(OR(W101="",'4_BENCHMARK'!$C$8=""),"",ABS(W101-'4_BENCHMARK'!$C$8))</f>
        <v>0</v>
      </c>
      <c r="AN101" s="10">
        <f>IF(OR(X101="",'4_BENCHMARK'!$C$9=""),"",ABS(X101-'4_BENCHMARK'!$C$9))</f>
        <v>0</v>
      </c>
      <c r="AO101" s="10">
        <f>IF(OR(Y101="",'4_BENCHMARK'!$C$10=""),"",ABS(Y101-'4_BENCHMARK'!$C$10))</f>
        <v>0.25</v>
      </c>
      <c r="AP101" s="10">
        <f>IF(OR(Z101="",'4_BENCHMARK'!$C$11=""),"",ABS(Z101-'4_BENCHMARK'!$C$11))</f>
        <v>0.25</v>
      </c>
      <c r="AQ101" s="13">
        <f t="shared" si="52"/>
        <v>0.75</v>
      </c>
      <c r="AR101" s="10"/>
      <c r="AS101" s="10" t="s">
        <v>145</v>
      </c>
      <c r="AT101" s="13">
        <f t="shared" si="53"/>
        <v>0.666666666666667</v>
      </c>
      <c r="AU101" s="1" t="str">
        <f t="shared" si="54"/>
        <v/>
      </c>
      <c r="AV101" s="1" t="str">
        <f t="shared" si="55"/>
        <v/>
      </c>
      <c r="AW101" s="1" t="str">
        <f t="shared" si="56"/>
        <v/>
      </c>
      <c r="AX101" s="1" t="str">
        <f t="shared" si="57"/>
        <v/>
      </c>
      <c r="AY101" s="1" t="str">
        <f t="shared" si="58"/>
        <v/>
      </c>
      <c r="AZ101" s="1" t="str">
        <f t="shared" si="59"/>
        <v/>
      </c>
      <c r="BA101" s="1" t="str">
        <f t="shared" si="60"/>
        <v/>
      </c>
      <c r="BB101" s="1" t="str">
        <f t="shared" si="61"/>
        <v/>
      </c>
      <c r="BC101" s="1">
        <f t="shared" si="62"/>
        <v>3</v>
      </c>
      <c r="BD101" s="1">
        <f t="shared" si="63"/>
        <v>3</v>
      </c>
      <c r="BE101" s="1">
        <f t="shared" si="64"/>
        <v>4</v>
      </c>
      <c r="BF101" s="1">
        <f t="shared" si="65"/>
        <v>4</v>
      </c>
      <c r="BG101" s="1">
        <f t="shared" si="66"/>
        <v>1</v>
      </c>
      <c r="BH101" s="1">
        <f t="shared" si="67"/>
        <v>1</v>
      </c>
      <c r="BI101" s="1">
        <f t="shared" si="68"/>
        <v>2</v>
      </c>
      <c r="BJ101" s="1">
        <f t="shared" si="69"/>
        <v>4</v>
      </c>
    </row>
    <row r="102" ht="14.25" customHeight="1" spans="1:62">
      <c r="A102" s="10">
        <v>98</v>
      </c>
      <c r="B102" s="10" t="s">
        <v>443</v>
      </c>
      <c r="C102" s="10">
        <v>1965</v>
      </c>
      <c r="D102" s="10">
        <f t="shared" si="35"/>
        <v>1960</v>
      </c>
      <c r="E102" s="10" t="s">
        <v>136</v>
      </c>
      <c r="F102" s="35" t="s">
        <v>444</v>
      </c>
      <c r="G102" s="10" t="s">
        <v>445</v>
      </c>
      <c r="H102" s="10" t="s">
        <v>139</v>
      </c>
      <c r="I102" s="10" t="s">
        <v>140</v>
      </c>
      <c r="J102" s="10" t="s">
        <v>446</v>
      </c>
      <c r="K102" s="10">
        <v>5</v>
      </c>
      <c r="L102" s="10">
        <v>5</v>
      </c>
      <c r="M102" s="10">
        <v>5</v>
      </c>
      <c r="N102" s="10">
        <v>5</v>
      </c>
      <c r="O102" s="10">
        <v>5</v>
      </c>
      <c r="P102" s="10">
        <v>5</v>
      </c>
      <c r="Q102" s="10">
        <v>3</v>
      </c>
      <c r="R102" s="10">
        <v>5</v>
      </c>
      <c r="S102" s="10">
        <f t="shared" si="36"/>
        <v>1</v>
      </c>
      <c r="T102" s="10">
        <f t="shared" si="37"/>
        <v>1</v>
      </c>
      <c r="U102" s="10">
        <f t="shared" si="38"/>
        <v>1</v>
      </c>
      <c r="V102" s="10">
        <f t="shared" si="39"/>
        <v>1</v>
      </c>
      <c r="W102" s="10">
        <f t="shared" si="40"/>
        <v>1</v>
      </c>
      <c r="X102" s="10">
        <f t="shared" si="41"/>
        <v>1</v>
      </c>
      <c r="Y102" s="10">
        <f t="shared" si="42"/>
        <v>0.5</v>
      </c>
      <c r="Z102" s="10">
        <f t="shared" si="43"/>
        <v>1</v>
      </c>
      <c r="AA102" s="10" t="str">
        <f t="shared" si="44"/>
        <v/>
      </c>
      <c r="AB102" s="10" t="str">
        <f t="shared" si="45"/>
        <v/>
      </c>
      <c r="AC102" s="10" t="str">
        <f t="shared" si="46"/>
        <v/>
      </c>
      <c r="AD102" s="10" t="str">
        <f t="shared" si="47"/>
        <v/>
      </c>
      <c r="AE102" s="10" t="str">
        <f t="shared" si="48"/>
        <v/>
      </c>
      <c r="AF102" s="10" t="str">
        <f t="shared" si="49"/>
        <v/>
      </c>
      <c r="AG102" s="10" t="str">
        <f t="shared" si="50"/>
        <v/>
      </c>
      <c r="AH102" s="10" t="str">
        <f t="shared" si="51"/>
        <v/>
      </c>
      <c r="AI102" s="10">
        <f>IF(OR(S102="",'4_BENCHMARK'!$C$4=""),"",ABS(S102-'4_BENCHMARK'!$C$4))</f>
        <v>0</v>
      </c>
      <c r="AJ102" s="10">
        <f>IF(OR(T102="",'4_BENCHMARK'!$C$5=""),"",ABS(T102-'4_BENCHMARK'!$C$5))</f>
        <v>0</v>
      </c>
      <c r="AK102" s="10">
        <f>IF(OR(U102="",'4_BENCHMARK'!$C$6=""),"",ABS(U102-'4_BENCHMARK'!$C$6))</f>
        <v>0</v>
      </c>
      <c r="AL102" s="10">
        <f>IF(OR(V102="",'4_BENCHMARK'!$C$7=""),"",ABS(V102-'4_BENCHMARK'!$C$7))</f>
        <v>0</v>
      </c>
      <c r="AM102" s="10">
        <f>IF(OR(W102="",'4_BENCHMARK'!$C$8=""),"",ABS(W102-'4_BENCHMARK'!$C$8))</f>
        <v>1</v>
      </c>
      <c r="AN102" s="10">
        <f>IF(OR(X102="",'4_BENCHMARK'!$C$9=""),"",ABS(X102-'4_BENCHMARK'!$C$9))</f>
        <v>1</v>
      </c>
      <c r="AO102" s="10">
        <f>IF(OR(Y102="",'4_BENCHMARK'!$C$10=""),"",ABS(Y102-'4_BENCHMARK'!$C$10))</f>
        <v>0</v>
      </c>
      <c r="AP102" s="10">
        <f>IF(OR(Z102="",'4_BENCHMARK'!$C$11=""),"",ABS(Z102-'4_BENCHMARK'!$C$11))</f>
        <v>0</v>
      </c>
      <c r="AQ102" s="13">
        <f t="shared" si="52"/>
        <v>0.75</v>
      </c>
      <c r="AR102" s="10"/>
      <c r="AS102" s="10" t="s">
        <v>141</v>
      </c>
      <c r="AT102" s="13">
        <f t="shared" si="53"/>
        <v>1</v>
      </c>
      <c r="AU102" s="1" t="str">
        <f t="shared" si="54"/>
        <v/>
      </c>
      <c r="AV102" s="1" t="str">
        <f t="shared" si="55"/>
        <v/>
      </c>
      <c r="AW102" s="1" t="str">
        <f t="shared" si="56"/>
        <v/>
      </c>
      <c r="AX102" s="1" t="str">
        <f t="shared" si="57"/>
        <v/>
      </c>
      <c r="AY102" s="1" t="str">
        <f t="shared" si="58"/>
        <v/>
      </c>
      <c r="AZ102" s="1" t="str">
        <f t="shared" si="59"/>
        <v/>
      </c>
      <c r="BA102" s="1" t="str">
        <f t="shared" si="60"/>
        <v/>
      </c>
      <c r="BB102" s="1" t="str">
        <f t="shared" si="61"/>
        <v/>
      </c>
      <c r="BC102" s="1" t="str">
        <f t="shared" si="62"/>
        <v/>
      </c>
      <c r="BD102" s="1" t="str">
        <f t="shared" si="63"/>
        <v/>
      </c>
      <c r="BE102" s="1" t="str">
        <f t="shared" si="64"/>
        <v/>
      </c>
      <c r="BF102" s="1" t="str">
        <f t="shared" si="65"/>
        <v/>
      </c>
      <c r="BG102" s="1" t="str">
        <f t="shared" si="66"/>
        <v/>
      </c>
      <c r="BH102" s="1" t="str">
        <f t="shared" si="67"/>
        <v/>
      </c>
      <c r="BI102" s="1" t="str">
        <f t="shared" si="68"/>
        <v/>
      </c>
      <c r="BJ102" s="1" t="str">
        <f t="shared" si="69"/>
        <v/>
      </c>
    </row>
    <row r="103" ht="14.25" customHeight="1" spans="1:62">
      <c r="A103" s="10">
        <v>99</v>
      </c>
      <c r="B103" s="10" t="s">
        <v>447</v>
      </c>
      <c r="C103" s="10">
        <v>2007</v>
      </c>
      <c r="D103" s="10">
        <f t="shared" si="35"/>
        <v>2000</v>
      </c>
      <c r="E103" s="10" t="s">
        <v>136</v>
      </c>
      <c r="F103" s="35" t="s">
        <v>448</v>
      </c>
      <c r="G103" s="10" t="s">
        <v>449</v>
      </c>
      <c r="H103" s="10" t="s">
        <v>140</v>
      </c>
      <c r="I103" s="10" t="s">
        <v>140</v>
      </c>
      <c r="J103" s="10" t="s">
        <v>450</v>
      </c>
      <c r="K103" s="10">
        <v>5</v>
      </c>
      <c r="L103" s="10">
        <v>5</v>
      </c>
      <c r="M103" s="10">
        <v>5</v>
      </c>
      <c r="N103" s="10">
        <v>5</v>
      </c>
      <c r="O103" s="10">
        <v>5</v>
      </c>
      <c r="P103" s="10">
        <v>3</v>
      </c>
      <c r="Q103" s="10">
        <v>2</v>
      </c>
      <c r="R103" s="10">
        <v>5</v>
      </c>
      <c r="S103" s="10">
        <f t="shared" si="36"/>
        <v>1</v>
      </c>
      <c r="T103" s="10">
        <f t="shared" si="37"/>
        <v>1</v>
      </c>
      <c r="U103" s="10">
        <f t="shared" si="38"/>
        <v>1</v>
      </c>
      <c r="V103" s="10">
        <f t="shared" si="39"/>
        <v>1</v>
      </c>
      <c r="W103" s="10">
        <f t="shared" si="40"/>
        <v>1</v>
      </c>
      <c r="X103" s="10">
        <f t="shared" si="41"/>
        <v>0.5</v>
      </c>
      <c r="Y103" s="10">
        <f t="shared" si="42"/>
        <v>0.25</v>
      </c>
      <c r="Z103" s="10">
        <f t="shared" si="43"/>
        <v>1</v>
      </c>
      <c r="AA103" s="10" t="str">
        <f t="shared" si="44"/>
        <v/>
      </c>
      <c r="AB103" s="10" t="str">
        <f t="shared" si="45"/>
        <v/>
      </c>
      <c r="AC103" s="10" t="str">
        <f t="shared" si="46"/>
        <v/>
      </c>
      <c r="AD103" s="10" t="str">
        <f t="shared" si="47"/>
        <v/>
      </c>
      <c r="AE103" s="10" t="str">
        <f t="shared" si="48"/>
        <v/>
      </c>
      <c r="AF103" s="10" t="str">
        <f t="shared" si="49"/>
        <v/>
      </c>
      <c r="AG103" s="10" t="str">
        <f t="shared" si="50"/>
        <v/>
      </c>
      <c r="AH103" s="10" t="str">
        <f t="shared" si="51"/>
        <v/>
      </c>
      <c r="AI103" s="10">
        <f>IF(OR(S103="",'4_BENCHMARK'!$C$4=""),"",ABS(S103-'4_BENCHMARK'!$C$4))</f>
        <v>0</v>
      </c>
      <c r="AJ103" s="10">
        <f>IF(OR(T103="",'4_BENCHMARK'!$C$5=""),"",ABS(T103-'4_BENCHMARK'!$C$5))</f>
        <v>0</v>
      </c>
      <c r="AK103" s="10">
        <f>IF(OR(U103="",'4_BENCHMARK'!$C$6=""),"",ABS(U103-'4_BENCHMARK'!$C$6))</f>
        <v>0</v>
      </c>
      <c r="AL103" s="10">
        <f>IF(OR(V103="",'4_BENCHMARK'!$C$7=""),"",ABS(V103-'4_BENCHMARK'!$C$7))</f>
        <v>0</v>
      </c>
      <c r="AM103" s="10">
        <f>IF(OR(W103="",'4_BENCHMARK'!$C$8=""),"",ABS(W103-'4_BENCHMARK'!$C$8))</f>
        <v>1</v>
      </c>
      <c r="AN103" s="10">
        <f>IF(OR(X103="",'4_BENCHMARK'!$C$9=""),"",ABS(X103-'4_BENCHMARK'!$C$9))</f>
        <v>0.5</v>
      </c>
      <c r="AO103" s="10">
        <f>IF(OR(Y103="",'4_BENCHMARK'!$C$10=""),"",ABS(Y103-'4_BENCHMARK'!$C$10))</f>
        <v>0.25</v>
      </c>
      <c r="AP103" s="10">
        <f>IF(OR(Z103="",'4_BENCHMARK'!$C$11=""),"",ABS(Z103-'4_BENCHMARK'!$C$11))</f>
        <v>0</v>
      </c>
      <c r="AQ103" s="13">
        <f t="shared" si="52"/>
        <v>0.78125</v>
      </c>
      <c r="AR103" s="10"/>
      <c r="AS103" s="10" t="s">
        <v>149</v>
      </c>
      <c r="AT103" s="13">
        <f t="shared" si="53"/>
        <v>0.958333333333333</v>
      </c>
      <c r="AU103" s="1" t="str">
        <f t="shared" si="54"/>
        <v/>
      </c>
      <c r="AV103" s="1" t="str">
        <f t="shared" si="55"/>
        <v/>
      </c>
      <c r="AW103" s="1" t="str">
        <f t="shared" si="56"/>
        <v/>
      </c>
      <c r="AX103" s="1" t="str">
        <f t="shared" si="57"/>
        <v/>
      </c>
      <c r="AY103" s="1" t="str">
        <f t="shared" si="58"/>
        <v/>
      </c>
      <c r="AZ103" s="1" t="str">
        <f t="shared" si="59"/>
        <v/>
      </c>
      <c r="BA103" s="1" t="str">
        <f t="shared" si="60"/>
        <v/>
      </c>
      <c r="BB103" s="1" t="str">
        <f t="shared" si="61"/>
        <v/>
      </c>
      <c r="BC103" s="1">
        <f t="shared" si="62"/>
        <v>5</v>
      </c>
      <c r="BD103" s="1">
        <f t="shared" si="63"/>
        <v>5</v>
      </c>
      <c r="BE103" s="1">
        <f t="shared" si="64"/>
        <v>5</v>
      </c>
      <c r="BF103" s="1">
        <f t="shared" si="65"/>
        <v>5</v>
      </c>
      <c r="BG103" s="1">
        <f t="shared" si="66"/>
        <v>5</v>
      </c>
      <c r="BH103" s="1">
        <f t="shared" si="67"/>
        <v>3</v>
      </c>
      <c r="BI103" s="1">
        <f t="shared" si="68"/>
        <v>2</v>
      </c>
      <c r="BJ103" s="1">
        <f t="shared" si="69"/>
        <v>5</v>
      </c>
    </row>
    <row r="104" ht="14.25" customHeight="1" spans="1:62">
      <c r="A104" s="10">
        <v>100</v>
      </c>
      <c r="B104" s="10" t="s">
        <v>451</v>
      </c>
      <c r="C104" s="10">
        <v>2023</v>
      </c>
      <c r="D104" s="10">
        <f t="shared" si="35"/>
        <v>2020</v>
      </c>
      <c r="E104" s="10" t="s">
        <v>136</v>
      </c>
      <c r="F104" s="35" t="s">
        <v>452</v>
      </c>
      <c r="G104" s="10" t="s">
        <v>453</v>
      </c>
      <c r="H104" s="10" t="s">
        <v>140</v>
      </c>
      <c r="I104" s="10" t="s">
        <v>140</v>
      </c>
      <c r="J104" s="10"/>
      <c r="K104" s="10">
        <v>4</v>
      </c>
      <c r="L104" s="10">
        <v>4</v>
      </c>
      <c r="M104" s="10">
        <v>4</v>
      </c>
      <c r="N104" s="10">
        <v>4</v>
      </c>
      <c r="O104" s="10">
        <v>1</v>
      </c>
      <c r="P104" s="10">
        <v>1</v>
      </c>
      <c r="Q104" s="10">
        <v>2</v>
      </c>
      <c r="R104" s="10">
        <v>4</v>
      </c>
      <c r="S104" s="10">
        <f t="shared" si="36"/>
        <v>0.75</v>
      </c>
      <c r="T104" s="10">
        <f t="shared" si="37"/>
        <v>0.75</v>
      </c>
      <c r="U104" s="10">
        <f t="shared" si="38"/>
        <v>0.75</v>
      </c>
      <c r="V104" s="10">
        <f t="shared" si="39"/>
        <v>0.75</v>
      </c>
      <c r="W104" s="10">
        <f t="shared" si="40"/>
        <v>0</v>
      </c>
      <c r="X104" s="10">
        <f t="shared" si="41"/>
        <v>0</v>
      </c>
      <c r="Y104" s="10">
        <f t="shared" si="42"/>
        <v>0.25</v>
      </c>
      <c r="Z104" s="10">
        <f t="shared" si="43"/>
        <v>0.75</v>
      </c>
      <c r="AA104" s="10" t="str">
        <f t="shared" si="44"/>
        <v/>
      </c>
      <c r="AB104" s="10" t="str">
        <f t="shared" si="45"/>
        <v/>
      </c>
      <c r="AC104" s="10" t="str">
        <f t="shared" si="46"/>
        <v/>
      </c>
      <c r="AD104" s="10" t="str">
        <f t="shared" si="47"/>
        <v/>
      </c>
      <c r="AE104" s="10" t="str">
        <f t="shared" si="48"/>
        <v/>
      </c>
      <c r="AF104" s="10" t="str">
        <f t="shared" si="49"/>
        <v/>
      </c>
      <c r="AG104" s="10" t="str">
        <f t="shared" si="50"/>
        <v/>
      </c>
      <c r="AH104" s="10" t="str">
        <f t="shared" si="51"/>
        <v/>
      </c>
      <c r="AI104" s="10">
        <f>IF(OR(S104="",'4_BENCHMARK'!$C$4=""),"",ABS(S104-'4_BENCHMARK'!$C$4))</f>
        <v>0.25</v>
      </c>
      <c r="AJ104" s="10">
        <f>IF(OR(T104="",'4_BENCHMARK'!$C$5=""),"",ABS(T104-'4_BENCHMARK'!$C$5))</f>
        <v>0.25</v>
      </c>
      <c r="AK104" s="10">
        <f>IF(OR(U104="",'4_BENCHMARK'!$C$6=""),"",ABS(U104-'4_BENCHMARK'!$C$6))</f>
        <v>0.25</v>
      </c>
      <c r="AL104" s="10">
        <f>IF(OR(V104="",'4_BENCHMARK'!$C$7=""),"",ABS(V104-'4_BENCHMARK'!$C$7))</f>
        <v>0.25</v>
      </c>
      <c r="AM104" s="10">
        <f>IF(OR(W104="",'4_BENCHMARK'!$C$8=""),"",ABS(W104-'4_BENCHMARK'!$C$8))</f>
        <v>0</v>
      </c>
      <c r="AN104" s="10">
        <f>IF(OR(X104="",'4_BENCHMARK'!$C$9=""),"",ABS(X104-'4_BENCHMARK'!$C$9))</f>
        <v>0</v>
      </c>
      <c r="AO104" s="10">
        <f>IF(OR(Y104="",'4_BENCHMARK'!$C$10=""),"",ABS(Y104-'4_BENCHMARK'!$C$10))</f>
        <v>0.25</v>
      </c>
      <c r="AP104" s="10">
        <f>IF(OR(Z104="",'4_BENCHMARK'!$C$11=""),"",ABS(Z104-'4_BENCHMARK'!$C$11))</f>
        <v>0.25</v>
      </c>
      <c r="AQ104" s="13">
        <f t="shared" si="52"/>
        <v>0.8125</v>
      </c>
      <c r="AR104" s="10"/>
      <c r="AS104" s="10" t="s">
        <v>145</v>
      </c>
      <c r="AT104" s="13">
        <f t="shared" si="53"/>
        <v>0.75</v>
      </c>
      <c r="AU104" s="1" t="str">
        <f t="shared" si="54"/>
        <v/>
      </c>
      <c r="AV104" s="1" t="str">
        <f t="shared" si="55"/>
        <v/>
      </c>
      <c r="AW104" s="1" t="str">
        <f t="shared" si="56"/>
        <v/>
      </c>
      <c r="AX104" s="1" t="str">
        <f t="shared" si="57"/>
        <v/>
      </c>
      <c r="AY104" s="1" t="str">
        <f t="shared" si="58"/>
        <v/>
      </c>
      <c r="AZ104" s="1" t="str">
        <f t="shared" si="59"/>
        <v/>
      </c>
      <c r="BA104" s="1" t="str">
        <f t="shared" si="60"/>
        <v/>
      </c>
      <c r="BB104" s="1" t="str">
        <f t="shared" si="61"/>
        <v/>
      </c>
      <c r="BC104" s="1">
        <f t="shared" si="62"/>
        <v>4</v>
      </c>
      <c r="BD104" s="1">
        <f t="shared" si="63"/>
        <v>4</v>
      </c>
      <c r="BE104" s="1">
        <f t="shared" si="64"/>
        <v>4</v>
      </c>
      <c r="BF104" s="1">
        <f t="shared" si="65"/>
        <v>4</v>
      </c>
      <c r="BG104" s="1">
        <f t="shared" si="66"/>
        <v>1</v>
      </c>
      <c r="BH104" s="1">
        <f t="shared" si="67"/>
        <v>1</v>
      </c>
      <c r="BI104" s="1">
        <f t="shared" si="68"/>
        <v>2</v>
      </c>
      <c r="BJ104" s="1">
        <f t="shared" si="69"/>
        <v>4</v>
      </c>
    </row>
    <row r="105" ht="14.25" customHeight="1" spans="1:62">
      <c r="A105" s="10">
        <v>101</v>
      </c>
      <c r="B105" s="40" t="s">
        <v>454</v>
      </c>
      <c r="C105" s="10">
        <v>2023</v>
      </c>
      <c r="D105" s="10">
        <f t="shared" si="35"/>
        <v>2020</v>
      </c>
      <c r="E105" s="36" t="s">
        <v>136</v>
      </c>
      <c r="F105" s="35" t="s">
        <v>455</v>
      </c>
      <c r="G105" s="36" t="s">
        <v>456</v>
      </c>
      <c r="H105" s="10" t="s">
        <v>140</v>
      </c>
      <c r="I105" s="10" t="s">
        <v>140</v>
      </c>
      <c r="J105" s="36" t="s">
        <v>457</v>
      </c>
      <c r="K105" s="10">
        <v>4</v>
      </c>
      <c r="L105" s="10">
        <v>4</v>
      </c>
      <c r="M105" s="10">
        <v>4</v>
      </c>
      <c r="N105" s="10">
        <v>3</v>
      </c>
      <c r="O105" s="10">
        <v>2</v>
      </c>
      <c r="P105" s="10">
        <v>1</v>
      </c>
      <c r="Q105" s="10">
        <v>2</v>
      </c>
      <c r="R105" s="10">
        <v>3</v>
      </c>
      <c r="S105" s="10">
        <f t="shared" si="36"/>
        <v>0.75</v>
      </c>
      <c r="T105" s="10">
        <f t="shared" si="37"/>
        <v>0.75</v>
      </c>
      <c r="U105" s="10">
        <f t="shared" si="38"/>
        <v>0.75</v>
      </c>
      <c r="V105" s="10">
        <f t="shared" si="39"/>
        <v>0.5</v>
      </c>
      <c r="W105" s="10">
        <f t="shared" si="40"/>
        <v>0.25</v>
      </c>
      <c r="X105" s="10">
        <f t="shared" si="41"/>
        <v>0</v>
      </c>
      <c r="Y105" s="10">
        <f t="shared" si="42"/>
        <v>0.25</v>
      </c>
      <c r="Z105" s="10">
        <f t="shared" si="43"/>
        <v>0.5</v>
      </c>
      <c r="AA105" s="10" t="str">
        <f t="shared" si="44"/>
        <v/>
      </c>
      <c r="AB105" s="10" t="str">
        <f t="shared" si="45"/>
        <v/>
      </c>
      <c r="AC105" s="10" t="str">
        <f t="shared" si="46"/>
        <v/>
      </c>
      <c r="AD105" s="10" t="str">
        <f t="shared" si="47"/>
        <v/>
      </c>
      <c r="AE105" s="10" t="str">
        <f t="shared" si="48"/>
        <v/>
      </c>
      <c r="AF105" s="10" t="str">
        <f t="shared" si="49"/>
        <v/>
      </c>
      <c r="AG105" s="10" t="str">
        <f t="shared" si="50"/>
        <v/>
      </c>
      <c r="AH105" s="10" t="str">
        <f t="shared" si="51"/>
        <v/>
      </c>
      <c r="AI105" s="10">
        <f>IF(OR(S105="",'4_BENCHMARK'!$C$4=""),"",ABS(S105-'4_BENCHMARK'!$C$4))</f>
        <v>0.25</v>
      </c>
      <c r="AJ105" s="10">
        <f>IF(OR(T105="",'4_BENCHMARK'!$C$5=""),"",ABS(T105-'4_BENCHMARK'!$C$5))</f>
        <v>0.25</v>
      </c>
      <c r="AK105" s="10">
        <f>IF(OR(U105="",'4_BENCHMARK'!$C$6=""),"",ABS(U105-'4_BENCHMARK'!$C$6))</f>
        <v>0.25</v>
      </c>
      <c r="AL105" s="10">
        <f>IF(OR(V105="",'4_BENCHMARK'!$C$7=""),"",ABS(V105-'4_BENCHMARK'!$C$7))</f>
        <v>0.5</v>
      </c>
      <c r="AM105" s="10">
        <f>IF(OR(W105="",'4_BENCHMARK'!$C$8=""),"",ABS(W105-'4_BENCHMARK'!$C$8))</f>
        <v>0.25</v>
      </c>
      <c r="AN105" s="10">
        <f>IF(OR(X105="",'4_BENCHMARK'!$C$9=""),"",ABS(X105-'4_BENCHMARK'!$C$9))</f>
        <v>0</v>
      </c>
      <c r="AO105" s="10">
        <f>IF(OR(Y105="",'4_BENCHMARK'!$C$10=""),"",ABS(Y105-'4_BENCHMARK'!$C$10))</f>
        <v>0.25</v>
      </c>
      <c r="AP105" s="10">
        <f>IF(OR(Z105="",'4_BENCHMARK'!$C$11=""),"",ABS(Z105-'4_BENCHMARK'!$C$11))</f>
        <v>0.5</v>
      </c>
      <c r="AQ105" s="13">
        <f t="shared" si="52"/>
        <v>0.71875</v>
      </c>
      <c r="AR105" s="10"/>
      <c r="AS105" s="10" t="s">
        <v>145</v>
      </c>
      <c r="AT105" s="13">
        <f t="shared" si="53"/>
        <v>0.666666666666667</v>
      </c>
      <c r="AU105" s="1" t="str">
        <f t="shared" si="54"/>
        <v/>
      </c>
      <c r="AV105" s="1" t="str">
        <f t="shared" si="55"/>
        <v/>
      </c>
      <c r="AW105" s="1" t="str">
        <f t="shared" si="56"/>
        <v/>
      </c>
      <c r="AX105" s="1" t="str">
        <f t="shared" si="57"/>
        <v/>
      </c>
      <c r="AY105" s="1" t="str">
        <f t="shared" si="58"/>
        <v/>
      </c>
      <c r="AZ105" s="1" t="str">
        <f t="shared" si="59"/>
        <v/>
      </c>
      <c r="BA105" s="1" t="str">
        <f t="shared" si="60"/>
        <v/>
      </c>
      <c r="BB105" s="1" t="str">
        <f t="shared" si="61"/>
        <v/>
      </c>
      <c r="BC105" s="1">
        <f t="shared" si="62"/>
        <v>4</v>
      </c>
      <c r="BD105" s="1">
        <f t="shared" si="63"/>
        <v>4</v>
      </c>
      <c r="BE105" s="1">
        <f t="shared" si="64"/>
        <v>4</v>
      </c>
      <c r="BF105" s="1">
        <f t="shared" si="65"/>
        <v>3</v>
      </c>
      <c r="BG105" s="1">
        <f t="shared" si="66"/>
        <v>2</v>
      </c>
      <c r="BH105" s="1">
        <f t="shared" si="67"/>
        <v>1</v>
      </c>
      <c r="BI105" s="1">
        <f t="shared" si="68"/>
        <v>2</v>
      </c>
      <c r="BJ105" s="1">
        <f t="shared" si="69"/>
        <v>3</v>
      </c>
    </row>
    <row r="106" ht="14.25" customHeight="1" spans="1:62">
      <c r="A106" s="10">
        <v>102</v>
      </c>
      <c r="B106" s="36" t="s">
        <v>458</v>
      </c>
      <c r="C106" s="10">
        <v>1909</v>
      </c>
      <c r="D106" s="10">
        <f t="shared" si="35"/>
        <v>1900</v>
      </c>
      <c r="E106" s="36" t="s">
        <v>136</v>
      </c>
      <c r="F106" s="35" t="s">
        <v>459</v>
      </c>
      <c r="G106" s="36" t="s">
        <v>460</v>
      </c>
      <c r="H106" s="10" t="s">
        <v>139</v>
      </c>
      <c r="I106" s="10" t="s">
        <v>140</v>
      </c>
      <c r="J106" s="10"/>
      <c r="K106" s="10">
        <v>5</v>
      </c>
      <c r="L106" s="10">
        <v>5</v>
      </c>
      <c r="M106" s="10">
        <v>5</v>
      </c>
      <c r="N106" s="10">
        <v>5</v>
      </c>
      <c r="O106" s="10">
        <v>1</v>
      </c>
      <c r="P106" s="10">
        <v>1</v>
      </c>
      <c r="Q106" s="10">
        <v>3</v>
      </c>
      <c r="R106" s="10">
        <v>5</v>
      </c>
      <c r="S106" s="10">
        <f t="shared" si="36"/>
        <v>1</v>
      </c>
      <c r="T106" s="10">
        <f t="shared" si="37"/>
        <v>1</v>
      </c>
      <c r="U106" s="10">
        <f t="shared" si="38"/>
        <v>1</v>
      </c>
      <c r="V106" s="10">
        <f t="shared" si="39"/>
        <v>1</v>
      </c>
      <c r="W106" s="10">
        <f t="shared" si="40"/>
        <v>0</v>
      </c>
      <c r="X106" s="10">
        <f t="shared" si="41"/>
        <v>0</v>
      </c>
      <c r="Y106" s="10">
        <f t="shared" si="42"/>
        <v>0.5</v>
      </c>
      <c r="Z106" s="10">
        <f t="shared" si="43"/>
        <v>1</v>
      </c>
      <c r="AA106" s="10">
        <f t="shared" si="44"/>
        <v>1</v>
      </c>
      <c r="AB106" s="10">
        <f t="shared" si="45"/>
        <v>1</v>
      </c>
      <c r="AC106" s="10">
        <f t="shared" si="46"/>
        <v>1</v>
      </c>
      <c r="AD106" s="10">
        <f t="shared" si="47"/>
        <v>1</v>
      </c>
      <c r="AE106" s="10">
        <f t="shared" si="48"/>
        <v>0</v>
      </c>
      <c r="AF106" s="10">
        <f t="shared" si="49"/>
        <v>0</v>
      </c>
      <c r="AG106" s="10">
        <f t="shared" si="50"/>
        <v>0.5</v>
      </c>
      <c r="AH106" s="10">
        <f t="shared" si="51"/>
        <v>1</v>
      </c>
      <c r="AI106" s="10">
        <f>IF(OR(S106="",'4_BENCHMARK'!$C$4=""),"",ABS(S106-'4_BENCHMARK'!$C$4))</f>
        <v>0</v>
      </c>
      <c r="AJ106" s="10">
        <f>IF(OR(T106="",'4_BENCHMARK'!$C$5=""),"",ABS(T106-'4_BENCHMARK'!$C$5))</f>
        <v>0</v>
      </c>
      <c r="AK106" s="10">
        <f>IF(OR(U106="",'4_BENCHMARK'!$C$6=""),"",ABS(U106-'4_BENCHMARK'!$C$6))</f>
        <v>0</v>
      </c>
      <c r="AL106" s="10">
        <f>IF(OR(V106="",'4_BENCHMARK'!$C$7=""),"",ABS(V106-'4_BENCHMARK'!$C$7))</f>
        <v>0</v>
      </c>
      <c r="AM106" s="10">
        <f>IF(OR(W106="",'4_BENCHMARK'!$C$8=""),"",ABS(W106-'4_BENCHMARK'!$C$8))</f>
        <v>0</v>
      </c>
      <c r="AN106" s="10">
        <f>IF(OR(X106="",'4_BENCHMARK'!$C$9=""),"",ABS(X106-'4_BENCHMARK'!$C$9))</f>
        <v>0</v>
      </c>
      <c r="AO106" s="10">
        <f>IF(OR(Y106="",'4_BENCHMARK'!$C$10=""),"",ABS(Y106-'4_BENCHMARK'!$C$10))</f>
        <v>0</v>
      </c>
      <c r="AP106" s="10">
        <f>IF(OR(Z106="",'4_BENCHMARK'!$C$11=""),"",ABS(Z106-'4_BENCHMARK'!$C$11))</f>
        <v>0</v>
      </c>
      <c r="AQ106" s="13">
        <f t="shared" si="52"/>
        <v>1</v>
      </c>
      <c r="AR106" s="10"/>
      <c r="AS106" s="10" t="s">
        <v>141</v>
      </c>
      <c r="AT106" s="13">
        <f t="shared" si="53"/>
        <v>1</v>
      </c>
      <c r="AU106" s="1">
        <f t="shared" si="54"/>
        <v>5</v>
      </c>
      <c r="AV106" s="1">
        <f t="shared" si="55"/>
        <v>5</v>
      </c>
      <c r="AW106" s="1">
        <f t="shared" si="56"/>
        <v>5</v>
      </c>
      <c r="AX106" s="1">
        <f t="shared" si="57"/>
        <v>5</v>
      </c>
      <c r="AY106" s="1">
        <f t="shared" si="58"/>
        <v>1</v>
      </c>
      <c r="AZ106" s="1">
        <f t="shared" si="59"/>
        <v>1</v>
      </c>
      <c r="BA106" s="1">
        <f t="shared" si="60"/>
        <v>3</v>
      </c>
      <c r="BB106" s="1">
        <f t="shared" si="61"/>
        <v>5</v>
      </c>
      <c r="BC106" s="1" t="str">
        <f t="shared" si="62"/>
        <v/>
      </c>
      <c r="BD106" s="1" t="str">
        <f t="shared" si="63"/>
        <v/>
      </c>
      <c r="BE106" s="1" t="str">
        <f t="shared" si="64"/>
        <v/>
      </c>
      <c r="BF106" s="1" t="str">
        <f t="shared" si="65"/>
        <v/>
      </c>
      <c r="BG106" s="1" t="str">
        <f t="shared" si="66"/>
        <v/>
      </c>
      <c r="BH106" s="1" t="str">
        <f t="shared" si="67"/>
        <v/>
      </c>
      <c r="BI106" s="1" t="str">
        <f t="shared" si="68"/>
        <v/>
      </c>
      <c r="BJ106" s="1" t="str">
        <f t="shared" si="69"/>
        <v/>
      </c>
    </row>
    <row r="107" ht="14.25" customHeight="1" spans="1:62">
      <c r="A107" s="10">
        <v>103</v>
      </c>
      <c r="B107" s="36" t="s">
        <v>461</v>
      </c>
      <c r="C107" s="10">
        <v>1904</v>
      </c>
      <c r="D107" s="10">
        <f t="shared" si="35"/>
        <v>1900</v>
      </c>
      <c r="E107" s="36" t="s">
        <v>136</v>
      </c>
      <c r="F107" s="35" t="s">
        <v>462</v>
      </c>
      <c r="G107" s="10" t="s">
        <v>463</v>
      </c>
      <c r="H107" s="10" t="s">
        <v>139</v>
      </c>
      <c r="I107" s="10" t="s">
        <v>140</v>
      </c>
      <c r="J107" s="10"/>
      <c r="K107" s="10">
        <v>5</v>
      </c>
      <c r="L107" s="10">
        <v>5</v>
      </c>
      <c r="M107" s="10">
        <v>5</v>
      </c>
      <c r="N107" s="10">
        <v>5</v>
      </c>
      <c r="O107" s="10">
        <v>5</v>
      </c>
      <c r="P107" s="10">
        <v>5</v>
      </c>
      <c r="Q107" s="10">
        <v>3</v>
      </c>
      <c r="R107" s="10">
        <v>5</v>
      </c>
      <c r="S107" s="10">
        <f t="shared" si="36"/>
        <v>1</v>
      </c>
      <c r="T107" s="10">
        <f t="shared" si="37"/>
        <v>1</v>
      </c>
      <c r="U107" s="10">
        <f t="shared" si="38"/>
        <v>1</v>
      </c>
      <c r="V107" s="10">
        <f t="shared" si="39"/>
        <v>1</v>
      </c>
      <c r="W107" s="10">
        <f t="shared" si="40"/>
        <v>1</v>
      </c>
      <c r="X107" s="10">
        <f t="shared" si="41"/>
        <v>1</v>
      </c>
      <c r="Y107" s="10">
        <f t="shared" si="42"/>
        <v>0.5</v>
      </c>
      <c r="Z107" s="10">
        <f t="shared" si="43"/>
        <v>1</v>
      </c>
      <c r="AA107" s="10">
        <f t="shared" si="44"/>
        <v>1</v>
      </c>
      <c r="AB107" s="10">
        <f t="shared" si="45"/>
        <v>1</v>
      </c>
      <c r="AC107" s="10">
        <f t="shared" si="46"/>
        <v>1</v>
      </c>
      <c r="AD107" s="10">
        <f t="shared" si="47"/>
        <v>1</v>
      </c>
      <c r="AE107" s="10">
        <f t="shared" si="48"/>
        <v>1</v>
      </c>
      <c r="AF107" s="10">
        <f t="shared" si="49"/>
        <v>1</v>
      </c>
      <c r="AG107" s="10">
        <f t="shared" si="50"/>
        <v>0.5</v>
      </c>
      <c r="AH107" s="10">
        <f t="shared" si="51"/>
        <v>1</v>
      </c>
      <c r="AI107" s="10">
        <f>IF(OR(S107="",'4_BENCHMARK'!$C$4=""),"",ABS(S107-'4_BENCHMARK'!$C$4))</f>
        <v>0</v>
      </c>
      <c r="AJ107" s="10">
        <f>IF(OR(T107="",'4_BENCHMARK'!$C$5=""),"",ABS(T107-'4_BENCHMARK'!$C$5))</f>
        <v>0</v>
      </c>
      <c r="AK107" s="10">
        <f>IF(OR(U107="",'4_BENCHMARK'!$C$6=""),"",ABS(U107-'4_BENCHMARK'!$C$6))</f>
        <v>0</v>
      </c>
      <c r="AL107" s="10">
        <f>IF(OR(V107="",'4_BENCHMARK'!$C$7=""),"",ABS(V107-'4_BENCHMARK'!$C$7))</f>
        <v>0</v>
      </c>
      <c r="AM107" s="10">
        <f>IF(OR(W107="",'4_BENCHMARK'!$C$8=""),"",ABS(W107-'4_BENCHMARK'!$C$8))</f>
        <v>1</v>
      </c>
      <c r="AN107" s="10">
        <f>IF(OR(X107="",'4_BENCHMARK'!$C$9=""),"",ABS(X107-'4_BENCHMARK'!$C$9))</f>
        <v>1</v>
      </c>
      <c r="AO107" s="10">
        <f>IF(OR(Y107="",'4_BENCHMARK'!$C$10=""),"",ABS(Y107-'4_BENCHMARK'!$C$10))</f>
        <v>0</v>
      </c>
      <c r="AP107" s="10">
        <f>IF(OR(Z107="",'4_BENCHMARK'!$C$11=""),"",ABS(Z107-'4_BENCHMARK'!$C$11))</f>
        <v>0</v>
      </c>
      <c r="AQ107" s="13">
        <f t="shared" si="52"/>
        <v>0.75</v>
      </c>
      <c r="AR107" s="10"/>
      <c r="AS107" s="10" t="s">
        <v>141</v>
      </c>
      <c r="AT107" s="13">
        <f t="shared" si="53"/>
        <v>1</v>
      </c>
      <c r="AU107" s="1">
        <f t="shared" si="54"/>
        <v>5</v>
      </c>
      <c r="AV107" s="1">
        <f t="shared" si="55"/>
        <v>5</v>
      </c>
      <c r="AW107" s="1">
        <f t="shared" si="56"/>
        <v>5</v>
      </c>
      <c r="AX107" s="1">
        <f t="shared" si="57"/>
        <v>5</v>
      </c>
      <c r="AY107" s="1">
        <f t="shared" si="58"/>
        <v>5</v>
      </c>
      <c r="AZ107" s="1">
        <f t="shared" si="59"/>
        <v>5</v>
      </c>
      <c r="BA107" s="1">
        <f t="shared" si="60"/>
        <v>3</v>
      </c>
      <c r="BB107" s="1">
        <f t="shared" si="61"/>
        <v>5</v>
      </c>
      <c r="BC107" s="1" t="str">
        <f t="shared" si="62"/>
        <v/>
      </c>
      <c r="BD107" s="1" t="str">
        <f t="shared" si="63"/>
        <v/>
      </c>
      <c r="BE107" s="1" t="str">
        <f t="shared" si="64"/>
        <v/>
      </c>
      <c r="BF107" s="1" t="str">
        <f t="shared" si="65"/>
        <v/>
      </c>
      <c r="BG107" s="1" t="str">
        <f t="shared" si="66"/>
        <v/>
      </c>
      <c r="BH107" s="1" t="str">
        <f t="shared" si="67"/>
        <v/>
      </c>
      <c r="BI107" s="1" t="str">
        <f t="shared" si="68"/>
        <v/>
      </c>
      <c r="BJ107" s="1" t="str">
        <f t="shared" si="69"/>
        <v/>
      </c>
    </row>
    <row r="108" ht="14.25" customHeight="1" spans="1:62">
      <c r="A108" s="10">
        <v>104</v>
      </c>
      <c r="B108" s="10" t="s">
        <v>464</v>
      </c>
      <c r="C108" s="10">
        <v>1870</v>
      </c>
      <c r="D108" s="10">
        <f t="shared" si="35"/>
        <v>1870</v>
      </c>
      <c r="E108" s="10" t="s">
        <v>136</v>
      </c>
      <c r="F108" s="35" t="s">
        <v>465</v>
      </c>
      <c r="G108" s="10" t="s">
        <v>466</v>
      </c>
      <c r="H108" s="10" t="s">
        <v>139</v>
      </c>
      <c r="I108" s="10" t="s">
        <v>140</v>
      </c>
      <c r="J108" s="10" t="s">
        <v>335</v>
      </c>
      <c r="K108" s="10">
        <v>5</v>
      </c>
      <c r="L108" s="10">
        <v>5</v>
      </c>
      <c r="M108" s="10">
        <v>5</v>
      </c>
      <c r="N108" s="10">
        <v>5</v>
      </c>
      <c r="O108" s="10">
        <v>1</v>
      </c>
      <c r="P108" s="10">
        <v>1</v>
      </c>
      <c r="Q108" s="10">
        <v>3</v>
      </c>
      <c r="R108" s="10">
        <v>5</v>
      </c>
      <c r="S108" s="10">
        <f t="shared" si="36"/>
        <v>1</v>
      </c>
      <c r="T108" s="10">
        <f t="shared" si="37"/>
        <v>1</v>
      </c>
      <c r="U108" s="10">
        <f t="shared" si="38"/>
        <v>1</v>
      </c>
      <c r="V108" s="10">
        <f t="shared" si="39"/>
        <v>1</v>
      </c>
      <c r="W108" s="10">
        <f t="shared" si="40"/>
        <v>0</v>
      </c>
      <c r="X108" s="10">
        <f t="shared" si="41"/>
        <v>0</v>
      </c>
      <c r="Y108" s="10">
        <f t="shared" si="42"/>
        <v>0.5</v>
      </c>
      <c r="Z108" s="10">
        <f t="shared" si="43"/>
        <v>1</v>
      </c>
      <c r="AA108" s="10">
        <f t="shared" si="44"/>
        <v>1</v>
      </c>
      <c r="AB108" s="10">
        <f t="shared" si="45"/>
        <v>1</v>
      </c>
      <c r="AC108" s="10">
        <f t="shared" si="46"/>
        <v>1</v>
      </c>
      <c r="AD108" s="10">
        <f t="shared" si="47"/>
        <v>1</v>
      </c>
      <c r="AE108" s="10">
        <f t="shared" si="48"/>
        <v>0</v>
      </c>
      <c r="AF108" s="10">
        <f t="shared" si="49"/>
        <v>0</v>
      </c>
      <c r="AG108" s="10">
        <f t="shared" si="50"/>
        <v>0.5</v>
      </c>
      <c r="AH108" s="10">
        <f t="shared" si="51"/>
        <v>1</v>
      </c>
      <c r="AI108" s="10">
        <f>IF(OR(S108="",'4_BENCHMARK'!$C$4=""),"",ABS(S108-'4_BENCHMARK'!$C$4))</f>
        <v>0</v>
      </c>
      <c r="AJ108" s="10">
        <f>IF(OR(T108="",'4_BENCHMARK'!$C$5=""),"",ABS(T108-'4_BENCHMARK'!$C$5))</f>
        <v>0</v>
      </c>
      <c r="AK108" s="10">
        <f>IF(OR(U108="",'4_BENCHMARK'!$C$6=""),"",ABS(U108-'4_BENCHMARK'!$C$6))</f>
        <v>0</v>
      </c>
      <c r="AL108" s="10">
        <f>IF(OR(V108="",'4_BENCHMARK'!$C$7=""),"",ABS(V108-'4_BENCHMARK'!$C$7))</f>
        <v>0</v>
      </c>
      <c r="AM108" s="10">
        <f>IF(OR(W108="",'4_BENCHMARK'!$C$8=""),"",ABS(W108-'4_BENCHMARK'!$C$8))</f>
        <v>0</v>
      </c>
      <c r="AN108" s="10">
        <f>IF(OR(X108="",'4_BENCHMARK'!$C$9=""),"",ABS(X108-'4_BENCHMARK'!$C$9))</f>
        <v>0</v>
      </c>
      <c r="AO108" s="10">
        <f>IF(OR(Y108="",'4_BENCHMARK'!$C$10=""),"",ABS(Y108-'4_BENCHMARK'!$C$10))</f>
        <v>0</v>
      </c>
      <c r="AP108" s="10">
        <f>IF(OR(Z108="",'4_BENCHMARK'!$C$11=""),"",ABS(Z108-'4_BENCHMARK'!$C$11))</f>
        <v>0</v>
      </c>
      <c r="AQ108" s="13">
        <f t="shared" si="52"/>
        <v>1</v>
      </c>
      <c r="AR108" s="10"/>
      <c r="AS108" s="10" t="s">
        <v>141</v>
      </c>
      <c r="AT108" s="13">
        <f t="shared" si="53"/>
        <v>1</v>
      </c>
      <c r="AU108" s="1">
        <f t="shared" si="54"/>
        <v>5</v>
      </c>
      <c r="AV108" s="1">
        <f t="shared" si="55"/>
        <v>5</v>
      </c>
      <c r="AW108" s="1">
        <f t="shared" si="56"/>
        <v>5</v>
      </c>
      <c r="AX108" s="1">
        <f t="shared" si="57"/>
        <v>5</v>
      </c>
      <c r="AY108" s="1">
        <f t="shared" si="58"/>
        <v>1</v>
      </c>
      <c r="AZ108" s="1">
        <f t="shared" si="59"/>
        <v>1</v>
      </c>
      <c r="BA108" s="1">
        <f t="shared" si="60"/>
        <v>3</v>
      </c>
      <c r="BB108" s="1">
        <f t="shared" si="61"/>
        <v>5</v>
      </c>
      <c r="BC108" s="1" t="str">
        <f t="shared" si="62"/>
        <v/>
      </c>
      <c r="BD108" s="1" t="str">
        <f t="shared" si="63"/>
        <v/>
      </c>
      <c r="BE108" s="1" t="str">
        <f t="shared" si="64"/>
        <v/>
      </c>
      <c r="BF108" s="1" t="str">
        <f t="shared" si="65"/>
        <v/>
      </c>
      <c r="BG108" s="1" t="str">
        <f t="shared" si="66"/>
        <v/>
      </c>
      <c r="BH108" s="1" t="str">
        <f t="shared" si="67"/>
        <v/>
      </c>
      <c r="BI108" s="1" t="str">
        <f t="shared" si="68"/>
        <v/>
      </c>
      <c r="BJ108" s="1" t="str">
        <f t="shared" si="69"/>
        <v/>
      </c>
    </row>
    <row r="109" ht="14.25" customHeight="1" spans="1:62">
      <c r="A109" s="10">
        <v>105</v>
      </c>
      <c r="B109" s="10" t="s">
        <v>467</v>
      </c>
      <c r="C109" s="10">
        <v>1970</v>
      </c>
      <c r="D109" s="10">
        <f t="shared" si="35"/>
        <v>1970</v>
      </c>
      <c r="E109" s="10" t="s">
        <v>136</v>
      </c>
      <c r="F109" s="35" t="s">
        <v>468</v>
      </c>
      <c r="G109" s="10" t="s">
        <v>469</v>
      </c>
      <c r="H109" s="10" t="s">
        <v>139</v>
      </c>
      <c r="I109" s="10" t="s">
        <v>140</v>
      </c>
      <c r="J109" s="10" t="s">
        <v>470</v>
      </c>
      <c r="K109" s="10">
        <v>5</v>
      </c>
      <c r="L109" s="10">
        <v>5</v>
      </c>
      <c r="M109" s="10">
        <v>5</v>
      </c>
      <c r="N109" s="10">
        <v>5</v>
      </c>
      <c r="O109" s="10">
        <v>5</v>
      </c>
      <c r="P109" s="10">
        <v>5</v>
      </c>
      <c r="Q109" s="10">
        <v>2</v>
      </c>
      <c r="R109" s="10">
        <v>5</v>
      </c>
      <c r="S109" s="10">
        <f t="shared" si="36"/>
        <v>1</v>
      </c>
      <c r="T109" s="10">
        <f t="shared" si="37"/>
        <v>1</v>
      </c>
      <c r="U109" s="10">
        <f t="shared" si="38"/>
        <v>1</v>
      </c>
      <c r="V109" s="10">
        <f t="shared" si="39"/>
        <v>1</v>
      </c>
      <c r="W109" s="10">
        <f t="shared" si="40"/>
        <v>1</v>
      </c>
      <c r="X109" s="10">
        <f t="shared" si="41"/>
        <v>1</v>
      </c>
      <c r="Y109" s="10">
        <f t="shared" si="42"/>
        <v>0.25</v>
      </c>
      <c r="Z109" s="10">
        <f t="shared" si="43"/>
        <v>1</v>
      </c>
      <c r="AA109" s="10" t="str">
        <f t="shared" si="44"/>
        <v/>
      </c>
      <c r="AB109" s="10" t="str">
        <f t="shared" si="45"/>
        <v/>
      </c>
      <c r="AC109" s="10" t="str">
        <f t="shared" si="46"/>
        <v/>
      </c>
      <c r="AD109" s="10" t="str">
        <f t="shared" si="47"/>
        <v/>
      </c>
      <c r="AE109" s="10" t="str">
        <f t="shared" si="48"/>
        <v/>
      </c>
      <c r="AF109" s="10" t="str">
        <f t="shared" si="49"/>
        <v/>
      </c>
      <c r="AG109" s="10" t="str">
        <f t="shared" si="50"/>
        <v/>
      </c>
      <c r="AH109" s="10" t="str">
        <f t="shared" si="51"/>
        <v/>
      </c>
      <c r="AI109" s="10">
        <f>IF(OR(S109="",'4_BENCHMARK'!$C$4=""),"",ABS(S109-'4_BENCHMARK'!$C$4))</f>
        <v>0</v>
      </c>
      <c r="AJ109" s="10">
        <f>IF(OR(T109="",'4_BENCHMARK'!$C$5=""),"",ABS(T109-'4_BENCHMARK'!$C$5))</f>
        <v>0</v>
      </c>
      <c r="AK109" s="10">
        <f>IF(OR(U109="",'4_BENCHMARK'!$C$6=""),"",ABS(U109-'4_BENCHMARK'!$C$6))</f>
        <v>0</v>
      </c>
      <c r="AL109" s="10">
        <f>IF(OR(V109="",'4_BENCHMARK'!$C$7=""),"",ABS(V109-'4_BENCHMARK'!$C$7))</f>
        <v>0</v>
      </c>
      <c r="AM109" s="10">
        <f>IF(OR(W109="",'4_BENCHMARK'!$C$8=""),"",ABS(W109-'4_BENCHMARK'!$C$8))</f>
        <v>1</v>
      </c>
      <c r="AN109" s="10">
        <f>IF(OR(X109="",'4_BENCHMARK'!$C$9=""),"",ABS(X109-'4_BENCHMARK'!$C$9))</f>
        <v>1</v>
      </c>
      <c r="AO109" s="10">
        <f>IF(OR(Y109="",'4_BENCHMARK'!$C$10=""),"",ABS(Y109-'4_BENCHMARK'!$C$10))</f>
        <v>0.25</v>
      </c>
      <c r="AP109" s="10">
        <f>IF(OR(Z109="",'4_BENCHMARK'!$C$11=""),"",ABS(Z109-'4_BENCHMARK'!$C$11))</f>
        <v>0</v>
      </c>
      <c r="AQ109" s="13">
        <f t="shared" si="52"/>
        <v>0.71875</v>
      </c>
      <c r="AR109" s="10"/>
      <c r="AS109" s="10" t="s">
        <v>149</v>
      </c>
      <c r="AT109" s="13">
        <f t="shared" si="53"/>
        <v>0.958333333333333</v>
      </c>
      <c r="AU109" s="1" t="str">
        <f t="shared" si="54"/>
        <v/>
      </c>
      <c r="AV109" s="1" t="str">
        <f t="shared" si="55"/>
        <v/>
      </c>
      <c r="AW109" s="1" t="str">
        <f t="shared" si="56"/>
        <v/>
      </c>
      <c r="AX109" s="1" t="str">
        <f t="shared" si="57"/>
        <v/>
      </c>
      <c r="AY109" s="1" t="str">
        <f t="shared" si="58"/>
        <v/>
      </c>
      <c r="AZ109" s="1" t="str">
        <f t="shared" si="59"/>
        <v/>
      </c>
      <c r="BA109" s="1" t="str">
        <f t="shared" si="60"/>
        <v/>
      </c>
      <c r="BB109" s="1" t="str">
        <f t="shared" si="61"/>
        <v/>
      </c>
      <c r="BC109" s="1" t="str">
        <f t="shared" si="62"/>
        <v/>
      </c>
      <c r="BD109" s="1" t="str">
        <f t="shared" si="63"/>
        <v/>
      </c>
      <c r="BE109" s="1" t="str">
        <f t="shared" si="64"/>
        <v/>
      </c>
      <c r="BF109" s="1" t="str">
        <f t="shared" si="65"/>
        <v/>
      </c>
      <c r="BG109" s="1" t="str">
        <f t="shared" si="66"/>
        <v/>
      </c>
      <c r="BH109" s="1" t="str">
        <f t="shared" si="67"/>
        <v/>
      </c>
      <c r="BI109" s="1" t="str">
        <f t="shared" si="68"/>
        <v/>
      </c>
      <c r="BJ109" s="1" t="str">
        <f t="shared" si="69"/>
        <v/>
      </c>
    </row>
    <row r="110" ht="14.25" customHeight="1" spans="1:62">
      <c r="A110" s="10">
        <v>106</v>
      </c>
      <c r="B110" s="10" t="s">
        <v>471</v>
      </c>
      <c r="C110" s="10">
        <v>1915</v>
      </c>
      <c r="D110" s="10">
        <f t="shared" si="35"/>
        <v>1910</v>
      </c>
      <c r="E110" s="10" t="s">
        <v>136</v>
      </c>
      <c r="F110" s="35" t="s">
        <v>472</v>
      </c>
      <c r="G110" s="10" t="s">
        <v>473</v>
      </c>
      <c r="H110" s="10" t="s">
        <v>139</v>
      </c>
      <c r="I110" s="10" t="s">
        <v>140</v>
      </c>
      <c r="J110" s="10" t="s">
        <v>474</v>
      </c>
      <c r="K110" s="10">
        <v>5</v>
      </c>
      <c r="L110" s="10">
        <v>5</v>
      </c>
      <c r="M110" s="10">
        <v>5</v>
      </c>
      <c r="N110" s="10">
        <v>4</v>
      </c>
      <c r="O110" s="10">
        <v>1</v>
      </c>
      <c r="P110" s="10">
        <v>1</v>
      </c>
      <c r="Q110" s="10">
        <v>2</v>
      </c>
      <c r="R110" s="10">
        <v>5</v>
      </c>
      <c r="S110" s="10">
        <f t="shared" si="36"/>
        <v>1</v>
      </c>
      <c r="T110" s="10">
        <f t="shared" si="37"/>
        <v>1</v>
      </c>
      <c r="U110" s="10">
        <f t="shared" si="38"/>
        <v>1</v>
      </c>
      <c r="V110" s="10">
        <f t="shared" si="39"/>
        <v>0.75</v>
      </c>
      <c r="W110" s="10">
        <f t="shared" si="40"/>
        <v>0</v>
      </c>
      <c r="X110" s="10">
        <f t="shared" si="41"/>
        <v>0</v>
      </c>
      <c r="Y110" s="10">
        <f t="shared" si="42"/>
        <v>0.25</v>
      </c>
      <c r="Z110" s="10">
        <f t="shared" si="43"/>
        <v>1</v>
      </c>
      <c r="AA110" s="10">
        <f t="shared" si="44"/>
        <v>1</v>
      </c>
      <c r="AB110" s="10">
        <f t="shared" si="45"/>
        <v>1</v>
      </c>
      <c r="AC110" s="10">
        <f t="shared" si="46"/>
        <v>1</v>
      </c>
      <c r="AD110" s="10">
        <f t="shared" si="47"/>
        <v>0.75</v>
      </c>
      <c r="AE110" s="10">
        <f t="shared" si="48"/>
        <v>0</v>
      </c>
      <c r="AF110" s="10">
        <f t="shared" si="49"/>
        <v>0</v>
      </c>
      <c r="AG110" s="10">
        <f t="shared" si="50"/>
        <v>0.25</v>
      </c>
      <c r="AH110" s="10">
        <f t="shared" si="51"/>
        <v>1</v>
      </c>
      <c r="AI110" s="10">
        <f>IF(OR(S110="",'4_BENCHMARK'!$C$4=""),"",ABS(S110-'4_BENCHMARK'!$C$4))</f>
        <v>0</v>
      </c>
      <c r="AJ110" s="10">
        <f>IF(OR(T110="",'4_BENCHMARK'!$C$5=""),"",ABS(T110-'4_BENCHMARK'!$C$5))</f>
        <v>0</v>
      </c>
      <c r="AK110" s="10">
        <f>IF(OR(U110="",'4_BENCHMARK'!$C$6=""),"",ABS(U110-'4_BENCHMARK'!$C$6))</f>
        <v>0</v>
      </c>
      <c r="AL110" s="10">
        <f>IF(OR(V110="",'4_BENCHMARK'!$C$7=""),"",ABS(V110-'4_BENCHMARK'!$C$7))</f>
        <v>0.25</v>
      </c>
      <c r="AM110" s="10">
        <f>IF(OR(W110="",'4_BENCHMARK'!$C$8=""),"",ABS(W110-'4_BENCHMARK'!$C$8))</f>
        <v>0</v>
      </c>
      <c r="AN110" s="10">
        <f>IF(OR(X110="",'4_BENCHMARK'!$C$9=""),"",ABS(X110-'4_BENCHMARK'!$C$9))</f>
        <v>0</v>
      </c>
      <c r="AO110" s="10">
        <f>IF(OR(Y110="",'4_BENCHMARK'!$C$10=""),"",ABS(Y110-'4_BENCHMARK'!$C$10))</f>
        <v>0.25</v>
      </c>
      <c r="AP110" s="10">
        <f>IF(OR(Z110="",'4_BENCHMARK'!$C$11=""),"",ABS(Z110-'4_BENCHMARK'!$C$11))</f>
        <v>0</v>
      </c>
      <c r="AQ110" s="13">
        <f t="shared" si="52"/>
        <v>0.9375</v>
      </c>
      <c r="AR110" s="10"/>
      <c r="AS110" s="10" t="s">
        <v>141</v>
      </c>
      <c r="AT110" s="13">
        <f t="shared" si="53"/>
        <v>0.916666666666667</v>
      </c>
      <c r="AU110" s="1">
        <f t="shared" si="54"/>
        <v>5</v>
      </c>
      <c r="AV110" s="1">
        <f t="shared" si="55"/>
        <v>5</v>
      </c>
      <c r="AW110" s="1">
        <f t="shared" si="56"/>
        <v>5</v>
      </c>
      <c r="AX110" s="1">
        <f t="shared" si="57"/>
        <v>4</v>
      </c>
      <c r="AY110" s="1">
        <f t="shared" si="58"/>
        <v>1</v>
      </c>
      <c r="AZ110" s="1">
        <f t="shared" si="59"/>
        <v>1</v>
      </c>
      <c r="BA110" s="1">
        <f t="shared" si="60"/>
        <v>2</v>
      </c>
      <c r="BB110" s="1">
        <f t="shared" si="61"/>
        <v>5</v>
      </c>
      <c r="BC110" s="1" t="str">
        <f t="shared" si="62"/>
        <v/>
      </c>
      <c r="BD110" s="1" t="str">
        <f t="shared" si="63"/>
        <v/>
      </c>
      <c r="BE110" s="1" t="str">
        <f t="shared" si="64"/>
        <v/>
      </c>
      <c r="BF110" s="1" t="str">
        <f t="shared" si="65"/>
        <v/>
      </c>
      <c r="BG110" s="1" t="str">
        <f t="shared" si="66"/>
        <v/>
      </c>
      <c r="BH110" s="1" t="str">
        <f t="shared" si="67"/>
        <v/>
      </c>
      <c r="BI110" s="1" t="str">
        <f t="shared" si="68"/>
        <v/>
      </c>
      <c r="BJ110" s="1" t="str">
        <f t="shared" si="69"/>
        <v/>
      </c>
    </row>
    <row r="111" ht="14.25" customHeight="1" spans="1:62">
      <c r="A111" s="10">
        <v>107</v>
      </c>
      <c r="B111" s="10" t="s">
        <v>475</v>
      </c>
      <c r="C111" s="10">
        <v>1870</v>
      </c>
      <c r="D111" s="10">
        <f t="shared" si="35"/>
        <v>1870</v>
      </c>
      <c r="E111" s="10" t="s">
        <v>136</v>
      </c>
      <c r="F111" s="35" t="s">
        <v>476</v>
      </c>
      <c r="G111" s="10" t="s">
        <v>477</v>
      </c>
      <c r="H111" s="10" t="s">
        <v>139</v>
      </c>
      <c r="I111" s="10" t="s">
        <v>140</v>
      </c>
      <c r="J111" s="10" t="s">
        <v>335</v>
      </c>
      <c r="K111" s="10">
        <v>5</v>
      </c>
      <c r="L111" s="10">
        <v>5</v>
      </c>
      <c r="M111" s="10">
        <v>5</v>
      </c>
      <c r="N111" s="10">
        <v>5</v>
      </c>
      <c r="O111" s="10">
        <v>1</v>
      </c>
      <c r="P111" s="10">
        <v>1</v>
      </c>
      <c r="Q111" s="10">
        <v>3</v>
      </c>
      <c r="R111" s="10">
        <v>5</v>
      </c>
      <c r="S111" s="10">
        <f t="shared" si="36"/>
        <v>1</v>
      </c>
      <c r="T111" s="10">
        <f t="shared" si="37"/>
        <v>1</v>
      </c>
      <c r="U111" s="10">
        <f t="shared" si="38"/>
        <v>1</v>
      </c>
      <c r="V111" s="10">
        <f t="shared" si="39"/>
        <v>1</v>
      </c>
      <c r="W111" s="10">
        <f t="shared" si="40"/>
        <v>0</v>
      </c>
      <c r="X111" s="10">
        <f t="shared" si="41"/>
        <v>0</v>
      </c>
      <c r="Y111" s="10">
        <f t="shared" si="42"/>
        <v>0.5</v>
      </c>
      <c r="Z111" s="10">
        <f t="shared" si="43"/>
        <v>1</v>
      </c>
      <c r="AA111" s="10">
        <f t="shared" si="44"/>
        <v>1</v>
      </c>
      <c r="AB111" s="10">
        <f t="shared" si="45"/>
        <v>1</v>
      </c>
      <c r="AC111" s="10">
        <f t="shared" si="46"/>
        <v>1</v>
      </c>
      <c r="AD111" s="10">
        <f t="shared" si="47"/>
        <v>1</v>
      </c>
      <c r="AE111" s="10">
        <f t="shared" si="48"/>
        <v>0</v>
      </c>
      <c r="AF111" s="10">
        <f t="shared" si="49"/>
        <v>0</v>
      </c>
      <c r="AG111" s="10">
        <f t="shared" si="50"/>
        <v>0.5</v>
      </c>
      <c r="AH111" s="10">
        <f t="shared" si="51"/>
        <v>1</v>
      </c>
      <c r="AI111" s="10">
        <f>IF(OR(S111="",'4_BENCHMARK'!$C$4=""),"",ABS(S111-'4_BENCHMARK'!$C$4))</f>
        <v>0</v>
      </c>
      <c r="AJ111" s="10">
        <f>IF(OR(T111="",'4_BENCHMARK'!$C$5=""),"",ABS(T111-'4_BENCHMARK'!$C$5))</f>
        <v>0</v>
      </c>
      <c r="AK111" s="10">
        <f>IF(OR(U111="",'4_BENCHMARK'!$C$6=""),"",ABS(U111-'4_BENCHMARK'!$C$6))</f>
        <v>0</v>
      </c>
      <c r="AL111" s="10">
        <f>IF(OR(V111="",'4_BENCHMARK'!$C$7=""),"",ABS(V111-'4_BENCHMARK'!$C$7))</f>
        <v>0</v>
      </c>
      <c r="AM111" s="10">
        <f>IF(OR(W111="",'4_BENCHMARK'!$C$8=""),"",ABS(W111-'4_BENCHMARK'!$C$8))</f>
        <v>0</v>
      </c>
      <c r="AN111" s="10">
        <f>IF(OR(X111="",'4_BENCHMARK'!$C$9=""),"",ABS(X111-'4_BENCHMARK'!$C$9))</f>
        <v>0</v>
      </c>
      <c r="AO111" s="10">
        <f>IF(OR(Y111="",'4_BENCHMARK'!$C$10=""),"",ABS(Y111-'4_BENCHMARK'!$C$10))</f>
        <v>0</v>
      </c>
      <c r="AP111" s="10">
        <f>IF(OR(Z111="",'4_BENCHMARK'!$C$11=""),"",ABS(Z111-'4_BENCHMARK'!$C$11))</f>
        <v>0</v>
      </c>
      <c r="AQ111" s="13">
        <f t="shared" si="52"/>
        <v>1</v>
      </c>
      <c r="AR111" s="10"/>
      <c r="AS111" s="10" t="s">
        <v>141</v>
      </c>
      <c r="AT111" s="13">
        <f t="shared" si="53"/>
        <v>1</v>
      </c>
      <c r="AU111" s="1">
        <f t="shared" si="54"/>
        <v>5</v>
      </c>
      <c r="AV111" s="1">
        <f t="shared" si="55"/>
        <v>5</v>
      </c>
      <c r="AW111" s="1">
        <f t="shared" si="56"/>
        <v>5</v>
      </c>
      <c r="AX111" s="1">
        <f t="shared" si="57"/>
        <v>5</v>
      </c>
      <c r="AY111" s="1">
        <f t="shared" si="58"/>
        <v>1</v>
      </c>
      <c r="AZ111" s="1">
        <f t="shared" si="59"/>
        <v>1</v>
      </c>
      <c r="BA111" s="1">
        <f t="shared" si="60"/>
        <v>3</v>
      </c>
      <c r="BB111" s="1">
        <f t="shared" si="61"/>
        <v>5</v>
      </c>
      <c r="BC111" s="1" t="str">
        <f t="shared" si="62"/>
        <v/>
      </c>
      <c r="BD111" s="1" t="str">
        <f t="shared" si="63"/>
        <v/>
      </c>
      <c r="BE111" s="1" t="str">
        <f t="shared" si="64"/>
        <v/>
      </c>
      <c r="BF111" s="1" t="str">
        <f t="shared" si="65"/>
        <v/>
      </c>
      <c r="BG111" s="1" t="str">
        <f t="shared" si="66"/>
        <v/>
      </c>
      <c r="BH111" s="1" t="str">
        <f t="shared" si="67"/>
        <v/>
      </c>
      <c r="BI111" s="1" t="str">
        <f t="shared" si="68"/>
        <v/>
      </c>
      <c r="BJ111" s="1" t="str">
        <f t="shared" si="69"/>
        <v/>
      </c>
    </row>
    <row r="112" ht="14.25" customHeight="1" spans="1:62">
      <c r="A112" s="10">
        <v>108</v>
      </c>
      <c r="B112" s="10" t="s">
        <v>478</v>
      </c>
      <c r="C112" s="10">
        <v>1905</v>
      </c>
      <c r="D112" s="10">
        <f t="shared" si="35"/>
        <v>1900</v>
      </c>
      <c r="E112" s="10" t="s">
        <v>136</v>
      </c>
      <c r="F112" s="35" t="s">
        <v>479</v>
      </c>
      <c r="G112" s="10" t="s">
        <v>480</v>
      </c>
      <c r="H112" s="10" t="s">
        <v>139</v>
      </c>
      <c r="I112" s="10" t="s">
        <v>140</v>
      </c>
      <c r="J112" s="10"/>
      <c r="K112" s="10">
        <v>5</v>
      </c>
      <c r="L112" s="10">
        <v>5</v>
      </c>
      <c r="M112" s="10">
        <v>5</v>
      </c>
      <c r="N112" s="10">
        <v>5</v>
      </c>
      <c r="O112" s="10">
        <v>5</v>
      </c>
      <c r="P112" s="10">
        <v>5</v>
      </c>
      <c r="Q112" s="10">
        <v>3</v>
      </c>
      <c r="R112" s="10">
        <v>5</v>
      </c>
      <c r="S112" s="10">
        <f t="shared" si="36"/>
        <v>1</v>
      </c>
      <c r="T112" s="10">
        <f t="shared" si="37"/>
        <v>1</v>
      </c>
      <c r="U112" s="10">
        <f t="shared" si="38"/>
        <v>1</v>
      </c>
      <c r="V112" s="10">
        <f t="shared" si="39"/>
        <v>1</v>
      </c>
      <c r="W112" s="10">
        <f t="shared" si="40"/>
        <v>1</v>
      </c>
      <c r="X112" s="10">
        <f t="shared" si="41"/>
        <v>1</v>
      </c>
      <c r="Y112" s="10">
        <f t="shared" si="42"/>
        <v>0.5</v>
      </c>
      <c r="Z112" s="10">
        <f t="shared" si="43"/>
        <v>1</v>
      </c>
      <c r="AA112" s="10">
        <f t="shared" si="44"/>
        <v>1</v>
      </c>
      <c r="AB112" s="10">
        <f t="shared" si="45"/>
        <v>1</v>
      </c>
      <c r="AC112" s="10">
        <f t="shared" si="46"/>
        <v>1</v>
      </c>
      <c r="AD112" s="10">
        <f t="shared" si="47"/>
        <v>1</v>
      </c>
      <c r="AE112" s="10">
        <f t="shared" si="48"/>
        <v>1</v>
      </c>
      <c r="AF112" s="10">
        <f t="shared" si="49"/>
        <v>1</v>
      </c>
      <c r="AG112" s="10">
        <f t="shared" si="50"/>
        <v>0.5</v>
      </c>
      <c r="AH112" s="10">
        <f t="shared" si="51"/>
        <v>1</v>
      </c>
      <c r="AI112" s="10">
        <f>IF(OR(S112="",'4_BENCHMARK'!$C$4=""),"",ABS(S112-'4_BENCHMARK'!$C$4))</f>
        <v>0</v>
      </c>
      <c r="AJ112" s="10">
        <f>IF(OR(T112="",'4_BENCHMARK'!$C$5=""),"",ABS(T112-'4_BENCHMARK'!$C$5))</f>
        <v>0</v>
      </c>
      <c r="AK112" s="10">
        <f>IF(OR(U112="",'4_BENCHMARK'!$C$6=""),"",ABS(U112-'4_BENCHMARK'!$C$6))</f>
        <v>0</v>
      </c>
      <c r="AL112" s="10">
        <f>IF(OR(V112="",'4_BENCHMARK'!$C$7=""),"",ABS(V112-'4_BENCHMARK'!$C$7))</f>
        <v>0</v>
      </c>
      <c r="AM112" s="10">
        <f>IF(OR(W112="",'4_BENCHMARK'!$C$8=""),"",ABS(W112-'4_BENCHMARK'!$C$8))</f>
        <v>1</v>
      </c>
      <c r="AN112" s="10">
        <f>IF(OR(X112="",'4_BENCHMARK'!$C$9=""),"",ABS(X112-'4_BENCHMARK'!$C$9))</f>
        <v>1</v>
      </c>
      <c r="AO112" s="10">
        <f>IF(OR(Y112="",'4_BENCHMARK'!$C$10=""),"",ABS(Y112-'4_BENCHMARK'!$C$10))</f>
        <v>0</v>
      </c>
      <c r="AP112" s="10">
        <f>IF(OR(Z112="",'4_BENCHMARK'!$C$11=""),"",ABS(Z112-'4_BENCHMARK'!$C$11))</f>
        <v>0</v>
      </c>
      <c r="AQ112" s="13">
        <f t="shared" si="52"/>
        <v>0.75</v>
      </c>
      <c r="AR112" s="10"/>
      <c r="AS112" s="10" t="s">
        <v>141</v>
      </c>
      <c r="AT112" s="13">
        <f t="shared" si="53"/>
        <v>1</v>
      </c>
      <c r="AU112" s="1">
        <f t="shared" si="54"/>
        <v>5</v>
      </c>
      <c r="AV112" s="1">
        <f t="shared" si="55"/>
        <v>5</v>
      </c>
      <c r="AW112" s="1">
        <f t="shared" si="56"/>
        <v>5</v>
      </c>
      <c r="AX112" s="1">
        <f t="shared" si="57"/>
        <v>5</v>
      </c>
      <c r="AY112" s="1">
        <f t="shared" si="58"/>
        <v>5</v>
      </c>
      <c r="AZ112" s="1">
        <f t="shared" si="59"/>
        <v>5</v>
      </c>
      <c r="BA112" s="1">
        <f t="shared" si="60"/>
        <v>3</v>
      </c>
      <c r="BB112" s="1">
        <f t="shared" si="61"/>
        <v>5</v>
      </c>
      <c r="BC112" s="1" t="str">
        <f t="shared" si="62"/>
        <v/>
      </c>
      <c r="BD112" s="1" t="str">
        <f t="shared" si="63"/>
        <v/>
      </c>
      <c r="BE112" s="1" t="str">
        <f t="shared" si="64"/>
        <v/>
      </c>
      <c r="BF112" s="1" t="str">
        <f t="shared" si="65"/>
        <v/>
      </c>
      <c r="BG112" s="1" t="str">
        <f t="shared" si="66"/>
        <v/>
      </c>
      <c r="BH112" s="1" t="str">
        <f t="shared" si="67"/>
        <v/>
      </c>
      <c r="BI112" s="1" t="str">
        <f t="shared" si="68"/>
        <v/>
      </c>
      <c r="BJ112" s="1" t="str">
        <f t="shared" si="69"/>
        <v/>
      </c>
    </row>
    <row r="113" ht="14.25" customHeight="1" spans="1:62">
      <c r="A113" s="10">
        <v>109</v>
      </c>
      <c r="B113" s="10" t="s">
        <v>481</v>
      </c>
      <c r="C113" s="10">
        <v>2022</v>
      </c>
      <c r="D113" s="10">
        <f t="shared" si="35"/>
        <v>2020</v>
      </c>
      <c r="E113" s="10" t="s">
        <v>136</v>
      </c>
      <c r="F113" s="35" t="s">
        <v>482</v>
      </c>
      <c r="G113" s="10" t="s">
        <v>483</v>
      </c>
      <c r="H113" s="10" t="s">
        <v>140</v>
      </c>
      <c r="I113" s="10" t="s">
        <v>140</v>
      </c>
      <c r="J113" s="10"/>
      <c r="K113" s="10">
        <v>5</v>
      </c>
      <c r="L113" s="10">
        <v>5</v>
      </c>
      <c r="M113" s="10">
        <v>5</v>
      </c>
      <c r="N113" s="10">
        <v>5</v>
      </c>
      <c r="O113" s="10">
        <v>5</v>
      </c>
      <c r="P113" s="10">
        <v>5</v>
      </c>
      <c r="Q113" s="10">
        <v>2</v>
      </c>
      <c r="R113" s="10">
        <v>5</v>
      </c>
      <c r="S113" s="10">
        <f t="shared" si="36"/>
        <v>1</v>
      </c>
      <c r="T113" s="10">
        <f t="shared" si="37"/>
        <v>1</v>
      </c>
      <c r="U113" s="10">
        <f t="shared" si="38"/>
        <v>1</v>
      </c>
      <c r="V113" s="10">
        <f t="shared" si="39"/>
        <v>1</v>
      </c>
      <c r="W113" s="10">
        <f t="shared" si="40"/>
        <v>1</v>
      </c>
      <c r="X113" s="10">
        <f t="shared" si="41"/>
        <v>1</v>
      </c>
      <c r="Y113" s="10">
        <f t="shared" si="42"/>
        <v>0.25</v>
      </c>
      <c r="Z113" s="10">
        <f t="shared" si="43"/>
        <v>1</v>
      </c>
      <c r="AA113" s="10" t="str">
        <f t="shared" si="44"/>
        <v/>
      </c>
      <c r="AB113" s="10" t="str">
        <f t="shared" si="45"/>
        <v/>
      </c>
      <c r="AC113" s="10" t="str">
        <f t="shared" si="46"/>
        <v/>
      </c>
      <c r="AD113" s="10" t="str">
        <f t="shared" si="47"/>
        <v/>
      </c>
      <c r="AE113" s="10" t="str">
        <f t="shared" si="48"/>
        <v/>
      </c>
      <c r="AF113" s="10" t="str">
        <f t="shared" si="49"/>
        <v/>
      </c>
      <c r="AG113" s="10" t="str">
        <f t="shared" si="50"/>
        <v/>
      </c>
      <c r="AH113" s="10" t="str">
        <f t="shared" si="51"/>
        <v/>
      </c>
      <c r="AI113" s="10">
        <f>IF(OR(S113="",'4_BENCHMARK'!$C$4=""),"",ABS(S113-'4_BENCHMARK'!$C$4))</f>
        <v>0</v>
      </c>
      <c r="AJ113" s="10">
        <f>IF(OR(T113="",'4_BENCHMARK'!$C$5=""),"",ABS(T113-'4_BENCHMARK'!$C$5))</f>
        <v>0</v>
      </c>
      <c r="AK113" s="10">
        <f>IF(OR(U113="",'4_BENCHMARK'!$C$6=""),"",ABS(U113-'4_BENCHMARK'!$C$6))</f>
        <v>0</v>
      </c>
      <c r="AL113" s="10">
        <f>IF(OR(V113="",'4_BENCHMARK'!$C$7=""),"",ABS(V113-'4_BENCHMARK'!$C$7))</f>
        <v>0</v>
      </c>
      <c r="AM113" s="10">
        <f>IF(OR(W113="",'4_BENCHMARK'!$C$8=""),"",ABS(W113-'4_BENCHMARK'!$C$8))</f>
        <v>1</v>
      </c>
      <c r="AN113" s="10">
        <f>IF(OR(X113="",'4_BENCHMARK'!$C$9=""),"",ABS(X113-'4_BENCHMARK'!$C$9))</f>
        <v>1</v>
      </c>
      <c r="AO113" s="10">
        <f>IF(OR(Y113="",'4_BENCHMARK'!$C$10=""),"",ABS(Y113-'4_BENCHMARK'!$C$10))</f>
        <v>0.25</v>
      </c>
      <c r="AP113" s="10">
        <f>IF(OR(Z113="",'4_BENCHMARK'!$C$11=""),"",ABS(Z113-'4_BENCHMARK'!$C$11))</f>
        <v>0</v>
      </c>
      <c r="AQ113" s="13">
        <f t="shared" si="52"/>
        <v>0.71875</v>
      </c>
      <c r="AR113" s="10"/>
      <c r="AS113" s="10" t="s">
        <v>149</v>
      </c>
      <c r="AT113" s="13">
        <f t="shared" si="53"/>
        <v>0.958333333333333</v>
      </c>
      <c r="AU113" s="1" t="str">
        <f t="shared" si="54"/>
        <v/>
      </c>
      <c r="AV113" s="1" t="str">
        <f t="shared" si="55"/>
        <v/>
      </c>
      <c r="AW113" s="1" t="str">
        <f t="shared" si="56"/>
        <v/>
      </c>
      <c r="AX113" s="1" t="str">
        <f t="shared" si="57"/>
        <v/>
      </c>
      <c r="AY113" s="1" t="str">
        <f t="shared" si="58"/>
        <v/>
      </c>
      <c r="AZ113" s="1" t="str">
        <f t="shared" si="59"/>
        <v/>
      </c>
      <c r="BA113" s="1" t="str">
        <f t="shared" si="60"/>
        <v/>
      </c>
      <c r="BB113" s="1" t="str">
        <f t="shared" si="61"/>
        <v/>
      </c>
      <c r="BC113" s="1">
        <f t="shared" si="62"/>
        <v>5</v>
      </c>
      <c r="BD113" s="1">
        <f t="shared" si="63"/>
        <v>5</v>
      </c>
      <c r="BE113" s="1">
        <f t="shared" si="64"/>
        <v>5</v>
      </c>
      <c r="BF113" s="1">
        <f t="shared" si="65"/>
        <v>5</v>
      </c>
      <c r="BG113" s="1">
        <f t="shared" si="66"/>
        <v>5</v>
      </c>
      <c r="BH113" s="1">
        <f t="shared" si="67"/>
        <v>5</v>
      </c>
      <c r="BI113" s="1">
        <f t="shared" si="68"/>
        <v>2</v>
      </c>
      <c r="BJ113" s="1">
        <f t="shared" si="69"/>
        <v>5</v>
      </c>
    </row>
    <row r="114" ht="14.25" customHeight="1" spans="1:62">
      <c r="A114" s="10">
        <v>110</v>
      </c>
      <c r="B114" s="10" t="s">
        <v>484</v>
      </c>
      <c r="C114" s="10">
        <v>2015</v>
      </c>
      <c r="D114" s="10">
        <f t="shared" si="35"/>
        <v>2010</v>
      </c>
      <c r="E114" s="10" t="s">
        <v>136</v>
      </c>
      <c r="F114" s="35" t="s">
        <v>485</v>
      </c>
      <c r="G114" s="10" t="s">
        <v>486</v>
      </c>
      <c r="H114" s="10" t="s">
        <v>139</v>
      </c>
      <c r="I114" s="10" t="s">
        <v>140</v>
      </c>
      <c r="J114" s="10"/>
      <c r="K114" s="10">
        <v>5</v>
      </c>
      <c r="L114" s="10">
        <v>3</v>
      </c>
      <c r="M114" s="10">
        <v>4</v>
      </c>
      <c r="N114" s="10">
        <v>2</v>
      </c>
      <c r="O114" s="10">
        <v>5</v>
      </c>
      <c r="P114" s="10">
        <v>5</v>
      </c>
      <c r="Q114" s="10">
        <v>2</v>
      </c>
      <c r="R114" s="10">
        <v>2</v>
      </c>
      <c r="S114" s="10">
        <f t="shared" si="36"/>
        <v>1</v>
      </c>
      <c r="T114" s="10">
        <f t="shared" si="37"/>
        <v>0.5</v>
      </c>
      <c r="U114" s="10">
        <f t="shared" si="38"/>
        <v>0.75</v>
      </c>
      <c r="V114" s="10">
        <f t="shared" si="39"/>
        <v>0.25</v>
      </c>
      <c r="W114" s="10">
        <f t="shared" si="40"/>
        <v>1</v>
      </c>
      <c r="X114" s="10">
        <f t="shared" si="41"/>
        <v>1</v>
      </c>
      <c r="Y114" s="10">
        <f t="shared" si="42"/>
        <v>0.25</v>
      </c>
      <c r="Z114" s="10">
        <f t="shared" si="43"/>
        <v>0.25</v>
      </c>
      <c r="AA114" s="10" t="str">
        <f t="shared" si="44"/>
        <v/>
      </c>
      <c r="AB114" s="10" t="str">
        <f t="shared" si="45"/>
        <v/>
      </c>
      <c r="AC114" s="10" t="str">
        <f t="shared" si="46"/>
        <v/>
      </c>
      <c r="AD114" s="10" t="str">
        <f t="shared" si="47"/>
        <v/>
      </c>
      <c r="AE114" s="10" t="str">
        <f t="shared" si="48"/>
        <v/>
      </c>
      <c r="AF114" s="10" t="str">
        <f t="shared" si="49"/>
        <v/>
      </c>
      <c r="AG114" s="10" t="str">
        <f t="shared" si="50"/>
        <v/>
      </c>
      <c r="AH114" s="10" t="str">
        <f t="shared" si="51"/>
        <v/>
      </c>
      <c r="AI114" s="10">
        <f>IF(OR(S114="",'4_BENCHMARK'!$C$4=""),"",ABS(S114-'4_BENCHMARK'!$C$4))</f>
        <v>0</v>
      </c>
      <c r="AJ114" s="10">
        <f>IF(OR(T114="",'4_BENCHMARK'!$C$5=""),"",ABS(T114-'4_BENCHMARK'!$C$5))</f>
        <v>0.5</v>
      </c>
      <c r="AK114" s="10">
        <f>IF(OR(U114="",'4_BENCHMARK'!$C$6=""),"",ABS(U114-'4_BENCHMARK'!$C$6))</f>
        <v>0.25</v>
      </c>
      <c r="AL114" s="10">
        <f>IF(OR(V114="",'4_BENCHMARK'!$C$7=""),"",ABS(V114-'4_BENCHMARK'!$C$7))</f>
        <v>0.75</v>
      </c>
      <c r="AM114" s="10">
        <f>IF(OR(W114="",'4_BENCHMARK'!$C$8=""),"",ABS(W114-'4_BENCHMARK'!$C$8))</f>
        <v>1</v>
      </c>
      <c r="AN114" s="10">
        <f>IF(OR(X114="",'4_BENCHMARK'!$C$9=""),"",ABS(X114-'4_BENCHMARK'!$C$9))</f>
        <v>1</v>
      </c>
      <c r="AO114" s="10">
        <f>IF(OR(Y114="",'4_BENCHMARK'!$C$10=""),"",ABS(Y114-'4_BENCHMARK'!$C$10))</f>
        <v>0.25</v>
      </c>
      <c r="AP114" s="10">
        <f>IF(OR(Z114="",'4_BENCHMARK'!$C$11=""),"",ABS(Z114-'4_BENCHMARK'!$C$11))</f>
        <v>0.75</v>
      </c>
      <c r="AQ114" s="13">
        <f t="shared" si="52"/>
        <v>0.4375</v>
      </c>
      <c r="AR114" s="10"/>
      <c r="AS114" s="10" t="s">
        <v>145</v>
      </c>
      <c r="AT114" s="13">
        <f t="shared" si="53"/>
        <v>0.583333333333333</v>
      </c>
      <c r="AU114" s="1" t="str">
        <f t="shared" si="54"/>
        <v/>
      </c>
      <c r="AV114" s="1" t="str">
        <f t="shared" si="55"/>
        <v/>
      </c>
      <c r="AW114" s="1" t="str">
        <f t="shared" si="56"/>
        <v/>
      </c>
      <c r="AX114" s="1" t="str">
        <f t="shared" si="57"/>
        <v/>
      </c>
      <c r="AY114" s="1" t="str">
        <f t="shared" si="58"/>
        <v/>
      </c>
      <c r="AZ114" s="1" t="str">
        <f t="shared" si="59"/>
        <v/>
      </c>
      <c r="BA114" s="1" t="str">
        <f t="shared" si="60"/>
        <v/>
      </c>
      <c r="BB114" s="1" t="str">
        <f t="shared" si="61"/>
        <v/>
      </c>
      <c r="BC114" s="1">
        <f t="shared" si="62"/>
        <v>5</v>
      </c>
      <c r="BD114" s="1">
        <f t="shared" si="63"/>
        <v>3</v>
      </c>
      <c r="BE114" s="1">
        <f t="shared" si="64"/>
        <v>4</v>
      </c>
      <c r="BF114" s="1">
        <f t="shared" si="65"/>
        <v>2</v>
      </c>
      <c r="BG114" s="1">
        <f t="shared" si="66"/>
        <v>5</v>
      </c>
      <c r="BH114" s="1">
        <f t="shared" si="67"/>
        <v>5</v>
      </c>
      <c r="BI114" s="1">
        <f t="shared" si="68"/>
        <v>2</v>
      </c>
      <c r="BJ114" s="1">
        <f t="shared" si="69"/>
        <v>2</v>
      </c>
    </row>
    <row r="115" ht="14.25" customHeight="1" spans="1:62">
      <c r="A115" s="10">
        <v>111</v>
      </c>
      <c r="B115" s="10" t="s">
        <v>487</v>
      </c>
      <c r="C115" s="10">
        <v>2015</v>
      </c>
      <c r="D115" s="10">
        <f t="shared" si="35"/>
        <v>2010</v>
      </c>
      <c r="E115" s="10" t="s">
        <v>136</v>
      </c>
      <c r="F115" s="35" t="s">
        <v>488</v>
      </c>
      <c r="G115" s="10" t="s">
        <v>489</v>
      </c>
      <c r="H115" s="10" t="s">
        <v>140</v>
      </c>
      <c r="I115" s="10" t="s">
        <v>140</v>
      </c>
      <c r="J115" s="10"/>
      <c r="K115" s="10">
        <v>3</v>
      </c>
      <c r="L115" s="10">
        <v>4</v>
      </c>
      <c r="M115" s="10">
        <v>4</v>
      </c>
      <c r="N115" s="10">
        <v>4</v>
      </c>
      <c r="O115" s="10">
        <v>1</v>
      </c>
      <c r="P115" s="10">
        <v>1</v>
      </c>
      <c r="Q115" s="10">
        <v>2</v>
      </c>
      <c r="R115" s="10">
        <v>4</v>
      </c>
      <c r="S115" s="10">
        <f t="shared" si="36"/>
        <v>0.5</v>
      </c>
      <c r="T115" s="10">
        <f t="shared" si="37"/>
        <v>0.75</v>
      </c>
      <c r="U115" s="10">
        <f t="shared" si="38"/>
        <v>0.75</v>
      </c>
      <c r="V115" s="10">
        <f t="shared" si="39"/>
        <v>0.75</v>
      </c>
      <c r="W115" s="10">
        <f t="shared" si="40"/>
        <v>0</v>
      </c>
      <c r="X115" s="10">
        <f t="shared" si="41"/>
        <v>0</v>
      </c>
      <c r="Y115" s="10">
        <f t="shared" si="42"/>
        <v>0.25</v>
      </c>
      <c r="Z115" s="10">
        <f t="shared" si="43"/>
        <v>0.75</v>
      </c>
      <c r="AA115" s="10" t="str">
        <f t="shared" si="44"/>
        <v/>
      </c>
      <c r="AB115" s="10" t="str">
        <f t="shared" si="45"/>
        <v/>
      </c>
      <c r="AC115" s="10" t="str">
        <f t="shared" si="46"/>
        <v/>
      </c>
      <c r="AD115" s="10" t="str">
        <f t="shared" si="47"/>
        <v/>
      </c>
      <c r="AE115" s="10" t="str">
        <f t="shared" si="48"/>
        <v/>
      </c>
      <c r="AF115" s="10" t="str">
        <f t="shared" si="49"/>
        <v/>
      </c>
      <c r="AG115" s="10" t="str">
        <f t="shared" si="50"/>
        <v/>
      </c>
      <c r="AH115" s="10" t="str">
        <f t="shared" si="51"/>
        <v/>
      </c>
      <c r="AI115" s="10">
        <f>IF(OR(S115="",'4_BENCHMARK'!$C$4=""),"",ABS(S115-'4_BENCHMARK'!$C$4))</f>
        <v>0.5</v>
      </c>
      <c r="AJ115" s="10">
        <f>IF(OR(T115="",'4_BENCHMARK'!$C$5=""),"",ABS(T115-'4_BENCHMARK'!$C$5))</f>
        <v>0.25</v>
      </c>
      <c r="AK115" s="10">
        <f>IF(OR(U115="",'4_BENCHMARK'!$C$6=""),"",ABS(U115-'4_BENCHMARK'!$C$6))</f>
        <v>0.25</v>
      </c>
      <c r="AL115" s="10">
        <f>IF(OR(V115="",'4_BENCHMARK'!$C$7=""),"",ABS(V115-'4_BENCHMARK'!$C$7))</f>
        <v>0.25</v>
      </c>
      <c r="AM115" s="10">
        <f>IF(OR(W115="",'4_BENCHMARK'!$C$8=""),"",ABS(W115-'4_BENCHMARK'!$C$8))</f>
        <v>0</v>
      </c>
      <c r="AN115" s="10">
        <f>IF(OR(X115="",'4_BENCHMARK'!$C$9=""),"",ABS(X115-'4_BENCHMARK'!$C$9))</f>
        <v>0</v>
      </c>
      <c r="AO115" s="10">
        <f>IF(OR(Y115="",'4_BENCHMARK'!$C$10=""),"",ABS(Y115-'4_BENCHMARK'!$C$10))</f>
        <v>0.25</v>
      </c>
      <c r="AP115" s="10">
        <f>IF(OR(Z115="",'4_BENCHMARK'!$C$11=""),"",ABS(Z115-'4_BENCHMARK'!$C$11))</f>
        <v>0.25</v>
      </c>
      <c r="AQ115" s="13">
        <f t="shared" si="52"/>
        <v>0.78125</v>
      </c>
      <c r="AR115" s="10"/>
      <c r="AS115" s="10" t="s">
        <v>145</v>
      </c>
      <c r="AT115" s="13">
        <f t="shared" si="53"/>
        <v>0.708333333333333</v>
      </c>
      <c r="AU115" s="1" t="str">
        <f t="shared" si="54"/>
        <v/>
      </c>
      <c r="AV115" s="1" t="str">
        <f t="shared" si="55"/>
        <v/>
      </c>
      <c r="AW115" s="1" t="str">
        <f t="shared" si="56"/>
        <v/>
      </c>
      <c r="AX115" s="1" t="str">
        <f t="shared" si="57"/>
        <v/>
      </c>
      <c r="AY115" s="1" t="str">
        <f t="shared" si="58"/>
        <v/>
      </c>
      <c r="AZ115" s="1" t="str">
        <f t="shared" si="59"/>
        <v/>
      </c>
      <c r="BA115" s="1" t="str">
        <f t="shared" si="60"/>
        <v/>
      </c>
      <c r="BB115" s="1" t="str">
        <f t="shared" si="61"/>
        <v/>
      </c>
      <c r="BC115" s="1">
        <f t="shared" si="62"/>
        <v>3</v>
      </c>
      <c r="BD115" s="1">
        <f t="shared" si="63"/>
        <v>4</v>
      </c>
      <c r="BE115" s="1">
        <f t="shared" si="64"/>
        <v>4</v>
      </c>
      <c r="BF115" s="1">
        <f t="shared" si="65"/>
        <v>4</v>
      </c>
      <c r="BG115" s="1">
        <f t="shared" si="66"/>
        <v>1</v>
      </c>
      <c r="BH115" s="1">
        <f t="shared" si="67"/>
        <v>1</v>
      </c>
      <c r="BI115" s="1">
        <f t="shared" si="68"/>
        <v>2</v>
      </c>
      <c r="BJ115" s="1">
        <f t="shared" si="69"/>
        <v>4</v>
      </c>
    </row>
    <row r="116" ht="14.25" customHeight="1" spans="1:62">
      <c r="A116" s="10">
        <v>112</v>
      </c>
      <c r="B116" s="10" t="s">
        <v>490</v>
      </c>
      <c r="C116" s="10">
        <v>2001</v>
      </c>
      <c r="D116" s="10">
        <f t="shared" si="35"/>
        <v>2000</v>
      </c>
      <c r="E116" s="10" t="s">
        <v>136</v>
      </c>
      <c r="F116" s="35" t="s">
        <v>491</v>
      </c>
      <c r="G116" s="10" t="s">
        <v>492</v>
      </c>
      <c r="H116" s="10" t="s">
        <v>139</v>
      </c>
      <c r="I116" s="10" t="s">
        <v>140</v>
      </c>
      <c r="J116" s="10"/>
      <c r="K116" s="10">
        <v>5</v>
      </c>
      <c r="L116" s="10">
        <v>1</v>
      </c>
      <c r="M116" s="10">
        <v>5</v>
      </c>
      <c r="N116" s="10">
        <v>4</v>
      </c>
      <c r="O116" s="10">
        <v>5</v>
      </c>
      <c r="P116" s="10">
        <v>3</v>
      </c>
      <c r="Q116" s="10">
        <v>2</v>
      </c>
      <c r="R116" s="10">
        <v>4</v>
      </c>
      <c r="S116" s="10">
        <f t="shared" si="36"/>
        <v>1</v>
      </c>
      <c r="T116" s="10">
        <f t="shared" si="37"/>
        <v>0</v>
      </c>
      <c r="U116" s="10">
        <f t="shared" si="38"/>
        <v>1</v>
      </c>
      <c r="V116" s="10">
        <f t="shared" si="39"/>
        <v>0.75</v>
      </c>
      <c r="W116" s="10">
        <f t="shared" si="40"/>
        <v>1</v>
      </c>
      <c r="X116" s="10">
        <f t="shared" si="41"/>
        <v>0.5</v>
      </c>
      <c r="Y116" s="10">
        <f t="shared" si="42"/>
        <v>0.25</v>
      </c>
      <c r="Z116" s="10">
        <f t="shared" si="43"/>
        <v>0.75</v>
      </c>
      <c r="AA116" s="10" t="str">
        <f t="shared" si="44"/>
        <v/>
      </c>
      <c r="AB116" s="10" t="str">
        <f t="shared" si="45"/>
        <v/>
      </c>
      <c r="AC116" s="10" t="str">
        <f t="shared" si="46"/>
        <v/>
      </c>
      <c r="AD116" s="10" t="str">
        <f t="shared" si="47"/>
        <v/>
      </c>
      <c r="AE116" s="10" t="str">
        <f t="shared" si="48"/>
        <v/>
      </c>
      <c r="AF116" s="10" t="str">
        <f t="shared" si="49"/>
        <v/>
      </c>
      <c r="AG116" s="10" t="str">
        <f t="shared" si="50"/>
        <v/>
      </c>
      <c r="AH116" s="10" t="str">
        <f t="shared" si="51"/>
        <v/>
      </c>
      <c r="AI116" s="10">
        <f>IF(OR(S116="",'4_BENCHMARK'!$C$4=""),"",ABS(S116-'4_BENCHMARK'!$C$4))</f>
        <v>0</v>
      </c>
      <c r="AJ116" s="10">
        <f>IF(OR(T116="",'4_BENCHMARK'!$C$5=""),"",ABS(T116-'4_BENCHMARK'!$C$5))</f>
        <v>1</v>
      </c>
      <c r="AK116" s="10">
        <f>IF(OR(U116="",'4_BENCHMARK'!$C$6=""),"",ABS(U116-'4_BENCHMARK'!$C$6))</f>
        <v>0</v>
      </c>
      <c r="AL116" s="10">
        <f>IF(OR(V116="",'4_BENCHMARK'!$C$7=""),"",ABS(V116-'4_BENCHMARK'!$C$7))</f>
        <v>0.25</v>
      </c>
      <c r="AM116" s="10">
        <f>IF(OR(W116="",'4_BENCHMARK'!$C$8=""),"",ABS(W116-'4_BENCHMARK'!$C$8))</f>
        <v>1</v>
      </c>
      <c r="AN116" s="10">
        <f>IF(OR(X116="",'4_BENCHMARK'!$C$9=""),"",ABS(X116-'4_BENCHMARK'!$C$9))</f>
        <v>0.5</v>
      </c>
      <c r="AO116" s="10">
        <f>IF(OR(Y116="",'4_BENCHMARK'!$C$10=""),"",ABS(Y116-'4_BENCHMARK'!$C$10))</f>
        <v>0.25</v>
      </c>
      <c r="AP116" s="10">
        <f>IF(OR(Z116="",'4_BENCHMARK'!$C$11=""),"",ABS(Z116-'4_BENCHMARK'!$C$11))</f>
        <v>0.25</v>
      </c>
      <c r="AQ116" s="13">
        <f t="shared" si="52"/>
        <v>0.59375</v>
      </c>
      <c r="AR116" s="10" t="s">
        <v>140</v>
      </c>
      <c r="AS116" s="10" t="s">
        <v>230</v>
      </c>
      <c r="AT116" s="13">
        <f t="shared" si="53"/>
        <v>0.708333333333333</v>
      </c>
      <c r="AU116" s="1" t="str">
        <f t="shared" si="54"/>
        <v/>
      </c>
      <c r="AV116" s="1" t="str">
        <f t="shared" si="55"/>
        <v/>
      </c>
      <c r="AW116" s="1" t="str">
        <f t="shared" si="56"/>
        <v/>
      </c>
      <c r="AX116" s="1" t="str">
        <f t="shared" si="57"/>
        <v/>
      </c>
      <c r="AY116" s="1" t="str">
        <f t="shared" si="58"/>
        <v/>
      </c>
      <c r="AZ116" s="1" t="str">
        <f t="shared" si="59"/>
        <v/>
      </c>
      <c r="BA116" s="1" t="str">
        <f t="shared" si="60"/>
        <v/>
      </c>
      <c r="BB116" s="1" t="str">
        <f t="shared" si="61"/>
        <v/>
      </c>
      <c r="BC116" s="1">
        <f t="shared" si="62"/>
        <v>5</v>
      </c>
      <c r="BD116" s="1">
        <f t="shared" si="63"/>
        <v>1</v>
      </c>
      <c r="BE116" s="1">
        <f t="shared" si="64"/>
        <v>5</v>
      </c>
      <c r="BF116" s="1">
        <f t="shared" si="65"/>
        <v>4</v>
      </c>
      <c r="BG116" s="1">
        <f t="shared" si="66"/>
        <v>5</v>
      </c>
      <c r="BH116" s="1">
        <f t="shared" si="67"/>
        <v>3</v>
      </c>
      <c r="BI116" s="1">
        <f t="shared" si="68"/>
        <v>2</v>
      </c>
      <c r="BJ116" s="1">
        <f t="shared" si="69"/>
        <v>4</v>
      </c>
    </row>
    <row r="117" ht="14.25" customHeight="1" spans="1:62">
      <c r="A117" s="10">
        <v>113</v>
      </c>
      <c r="B117" s="10" t="s">
        <v>493</v>
      </c>
      <c r="C117" s="10">
        <v>2025</v>
      </c>
      <c r="D117" s="10">
        <f t="shared" si="35"/>
        <v>2020</v>
      </c>
      <c r="E117" s="10" t="s">
        <v>136</v>
      </c>
      <c r="F117" s="35" t="s">
        <v>494</v>
      </c>
      <c r="G117" s="10" t="s">
        <v>495</v>
      </c>
      <c r="H117" s="10" t="s">
        <v>140</v>
      </c>
      <c r="I117" s="10" t="s">
        <v>140</v>
      </c>
      <c r="J117" s="10"/>
      <c r="K117" s="10">
        <v>5</v>
      </c>
      <c r="L117" s="10">
        <v>1</v>
      </c>
      <c r="M117" s="10">
        <v>5</v>
      </c>
      <c r="N117" s="10">
        <v>4</v>
      </c>
      <c r="O117" s="10">
        <v>5</v>
      </c>
      <c r="P117" s="10">
        <v>5</v>
      </c>
      <c r="Q117" s="10">
        <v>2</v>
      </c>
      <c r="R117" s="10">
        <v>4</v>
      </c>
      <c r="S117" s="10">
        <f t="shared" si="36"/>
        <v>1</v>
      </c>
      <c r="T117" s="10">
        <f t="shared" si="37"/>
        <v>0</v>
      </c>
      <c r="U117" s="10">
        <f t="shared" si="38"/>
        <v>1</v>
      </c>
      <c r="V117" s="10">
        <f t="shared" si="39"/>
        <v>0.75</v>
      </c>
      <c r="W117" s="10">
        <f t="shared" si="40"/>
        <v>1</v>
      </c>
      <c r="X117" s="10">
        <f t="shared" si="41"/>
        <v>1</v>
      </c>
      <c r="Y117" s="10">
        <f t="shared" si="42"/>
        <v>0.25</v>
      </c>
      <c r="Z117" s="10">
        <f t="shared" si="43"/>
        <v>0.75</v>
      </c>
      <c r="AA117" s="10" t="str">
        <f t="shared" si="44"/>
        <v/>
      </c>
      <c r="AB117" s="10" t="str">
        <f t="shared" si="45"/>
        <v/>
      </c>
      <c r="AC117" s="10" t="str">
        <f t="shared" si="46"/>
        <v/>
      </c>
      <c r="AD117" s="10" t="str">
        <f t="shared" si="47"/>
        <v/>
      </c>
      <c r="AE117" s="10" t="str">
        <f t="shared" si="48"/>
        <v/>
      </c>
      <c r="AF117" s="10" t="str">
        <f t="shared" si="49"/>
        <v/>
      </c>
      <c r="AG117" s="10" t="str">
        <f t="shared" si="50"/>
        <v/>
      </c>
      <c r="AH117" s="10" t="str">
        <f t="shared" si="51"/>
        <v/>
      </c>
      <c r="AI117" s="10">
        <f>IF(OR(S117="",'4_BENCHMARK'!$C$4=""),"",ABS(S117-'4_BENCHMARK'!$C$4))</f>
        <v>0</v>
      </c>
      <c r="AJ117" s="10">
        <f>IF(OR(T117="",'4_BENCHMARK'!$C$5=""),"",ABS(T117-'4_BENCHMARK'!$C$5))</f>
        <v>1</v>
      </c>
      <c r="AK117" s="10">
        <f>IF(OR(U117="",'4_BENCHMARK'!$C$6=""),"",ABS(U117-'4_BENCHMARK'!$C$6))</f>
        <v>0</v>
      </c>
      <c r="AL117" s="10">
        <f>IF(OR(V117="",'4_BENCHMARK'!$C$7=""),"",ABS(V117-'4_BENCHMARK'!$C$7))</f>
        <v>0.25</v>
      </c>
      <c r="AM117" s="10">
        <f>IF(OR(W117="",'4_BENCHMARK'!$C$8=""),"",ABS(W117-'4_BENCHMARK'!$C$8))</f>
        <v>1</v>
      </c>
      <c r="AN117" s="10">
        <f>IF(OR(X117="",'4_BENCHMARK'!$C$9=""),"",ABS(X117-'4_BENCHMARK'!$C$9))</f>
        <v>1</v>
      </c>
      <c r="AO117" s="10">
        <f>IF(OR(Y117="",'4_BENCHMARK'!$C$10=""),"",ABS(Y117-'4_BENCHMARK'!$C$10))</f>
        <v>0.25</v>
      </c>
      <c r="AP117" s="10">
        <f>IF(OR(Z117="",'4_BENCHMARK'!$C$11=""),"",ABS(Z117-'4_BENCHMARK'!$C$11))</f>
        <v>0.25</v>
      </c>
      <c r="AQ117" s="13">
        <f t="shared" si="52"/>
        <v>0.53125</v>
      </c>
      <c r="AR117" s="10"/>
      <c r="AS117" s="10" t="s">
        <v>145</v>
      </c>
      <c r="AT117" s="13">
        <f t="shared" si="53"/>
        <v>0.708333333333333</v>
      </c>
      <c r="AU117" s="1" t="str">
        <f t="shared" si="54"/>
        <v/>
      </c>
      <c r="AV117" s="1" t="str">
        <f t="shared" si="55"/>
        <v/>
      </c>
      <c r="AW117" s="1" t="str">
        <f t="shared" si="56"/>
        <v/>
      </c>
      <c r="AX117" s="1" t="str">
        <f t="shared" si="57"/>
        <v/>
      </c>
      <c r="AY117" s="1" t="str">
        <f t="shared" si="58"/>
        <v/>
      </c>
      <c r="AZ117" s="1" t="str">
        <f t="shared" si="59"/>
        <v/>
      </c>
      <c r="BA117" s="1" t="str">
        <f t="shared" si="60"/>
        <v/>
      </c>
      <c r="BB117" s="1" t="str">
        <f t="shared" si="61"/>
        <v/>
      </c>
      <c r="BC117" s="1">
        <f t="shared" si="62"/>
        <v>5</v>
      </c>
      <c r="BD117" s="1">
        <f t="shared" si="63"/>
        <v>1</v>
      </c>
      <c r="BE117" s="1">
        <f t="shared" si="64"/>
        <v>5</v>
      </c>
      <c r="BF117" s="1">
        <f t="shared" si="65"/>
        <v>4</v>
      </c>
      <c r="BG117" s="1">
        <f t="shared" si="66"/>
        <v>5</v>
      </c>
      <c r="BH117" s="1">
        <f t="shared" si="67"/>
        <v>5</v>
      </c>
      <c r="BI117" s="1">
        <f t="shared" si="68"/>
        <v>2</v>
      </c>
      <c r="BJ117" s="1">
        <f t="shared" si="69"/>
        <v>4</v>
      </c>
    </row>
    <row r="118" ht="14.25" customHeight="1" spans="1:62">
      <c r="A118" s="10">
        <v>114</v>
      </c>
      <c r="B118" s="10" t="s">
        <v>496</v>
      </c>
      <c r="C118" s="10">
        <v>2003</v>
      </c>
      <c r="D118" s="10">
        <f t="shared" si="35"/>
        <v>2000</v>
      </c>
      <c r="E118" s="10" t="s">
        <v>136</v>
      </c>
      <c r="F118" s="35" t="s">
        <v>497</v>
      </c>
      <c r="G118" s="10" t="s">
        <v>498</v>
      </c>
      <c r="H118" s="10" t="s">
        <v>140</v>
      </c>
      <c r="I118" s="10" t="s">
        <v>140</v>
      </c>
      <c r="J118" s="10"/>
      <c r="K118" s="10">
        <v>5</v>
      </c>
      <c r="L118" s="10">
        <v>5</v>
      </c>
      <c r="M118" s="10">
        <v>5</v>
      </c>
      <c r="N118" s="10">
        <v>4</v>
      </c>
      <c r="O118" s="10">
        <v>5</v>
      </c>
      <c r="P118" s="10">
        <v>4</v>
      </c>
      <c r="Q118" s="10">
        <v>2</v>
      </c>
      <c r="R118" s="10">
        <v>5</v>
      </c>
      <c r="S118" s="10">
        <f t="shared" si="36"/>
        <v>1</v>
      </c>
      <c r="T118" s="10">
        <f t="shared" si="37"/>
        <v>1</v>
      </c>
      <c r="U118" s="10">
        <f t="shared" si="38"/>
        <v>1</v>
      </c>
      <c r="V118" s="10">
        <f t="shared" si="39"/>
        <v>0.75</v>
      </c>
      <c r="W118" s="10">
        <f t="shared" si="40"/>
        <v>1</v>
      </c>
      <c r="X118" s="10">
        <f t="shared" si="41"/>
        <v>0.75</v>
      </c>
      <c r="Y118" s="10">
        <f t="shared" si="42"/>
        <v>0.25</v>
      </c>
      <c r="Z118" s="10">
        <f t="shared" si="43"/>
        <v>1</v>
      </c>
      <c r="AA118" s="10" t="str">
        <f t="shared" si="44"/>
        <v/>
      </c>
      <c r="AB118" s="10" t="str">
        <f t="shared" si="45"/>
        <v/>
      </c>
      <c r="AC118" s="10" t="str">
        <f t="shared" si="46"/>
        <v/>
      </c>
      <c r="AD118" s="10" t="str">
        <f t="shared" si="47"/>
        <v/>
      </c>
      <c r="AE118" s="10" t="str">
        <f t="shared" si="48"/>
        <v/>
      </c>
      <c r="AF118" s="10" t="str">
        <f t="shared" si="49"/>
        <v/>
      </c>
      <c r="AG118" s="10" t="str">
        <f t="shared" si="50"/>
        <v/>
      </c>
      <c r="AH118" s="10" t="str">
        <f t="shared" si="51"/>
        <v/>
      </c>
      <c r="AI118" s="10">
        <f>IF(OR(S118="",'4_BENCHMARK'!$C$4=""),"",ABS(S118-'4_BENCHMARK'!$C$4))</f>
        <v>0</v>
      </c>
      <c r="AJ118" s="10">
        <f>IF(OR(T118="",'4_BENCHMARK'!$C$5=""),"",ABS(T118-'4_BENCHMARK'!$C$5))</f>
        <v>0</v>
      </c>
      <c r="AK118" s="10">
        <f>IF(OR(U118="",'4_BENCHMARK'!$C$6=""),"",ABS(U118-'4_BENCHMARK'!$C$6))</f>
        <v>0</v>
      </c>
      <c r="AL118" s="10">
        <f>IF(OR(V118="",'4_BENCHMARK'!$C$7=""),"",ABS(V118-'4_BENCHMARK'!$C$7))</f>
        <v>0.25</v>
      </c>
      <c r="AM118" s="10">
        <f>IF(OR(W118="",'4_BENCHMARK'!$C$8=""),"",ABS(W118-'4_BENCHMARK'!$C$8))</f>
        <v>1</v>
      </c>
      <c r="AN118" s="10">
        <f>IF(OR(X118="",'4_BENCHMARK'!$C$9=""),"",ABS(X118-'4_BENCHMARK'!$C$9))</f>
        <v>0.75</v>
      </c>
      <c r="AO118" s="10">
        <f>IF(OR(Y118="",'4_BENCHMARK'!$C$10=""),"",ABS(Y118-'4_BENCHMARK'!$C$10))</f>
        <v>0.25</v>
      </c>
      <c r="AP118" s="10">
        <f>IF(OR(Z118="",'4_BENCHMARK'!$C$11=""),"",ABS(Z118-'4_BENCHMARK'!$C$11))</f>
        <v>0</v>
      </c>
      <c r="AQ118" s="13">
        <f t="shared" si="52"/>
        <v>0.71875</v>
      </c>
      <c r="AR118" s="10"/>
      <c r="AS118" s="10" t="s">
        <v>149</v>
      </c>
      <c r="AT118" s="13">
        <f t="shared" si="53"/>
        <v>0.916666666666667</v>
      </c>
      <c r="AU118" s="1" t="str">
        <f t="shared" si="54"/>
        <v/>
      </c>
      <c r="AV118" s="1" t="str">
        <f t="shared" si="55"/>
        <v/>
      </c>
      <c r="AW118" s="1" t="str">
        <f t="shared" si="56"/>
        <v/>
      </c>
      <c r="AX118" s="1" t="str">
        <f t="shared" si="57"/>
        <v/>
      </c>
      <c r="AY118" s="1" t="str">
        <f t="shared" si="58"/>
        <v/>
      </c>
      <c r="AZ118" s="1" t="str">
        <f t="shared" si="59"/>
        <v/>
      </c>
      <c r="BA118" s="1" t="str">
        <f t="shared" si="60"/>
        <v/>
      </c>
      <c r="BB118" s="1" t="str">
        <f t="shared" si="61"/>
        <v/>
      </c>
      <c r="BC118" s="1">
        <f t="shared" si="62"/>
        <v>5</v>
      </c>
      <c r="BD118" s="1">
        <f t="shared" si="63"/>
        <v>5</v>
      </c>
      <c r="BE118" s="1">
        <f t="shared" si="64"/>
        <v>5</v>
      </c>
      <c r="BF118" s="1">
        <f t="shared" si="65"/>
        <v>4</v>
      </c>
      <c r="BG118" s="1">
        <f t="shared" si="66"/>
        <v>5</v>
      </c>
      <c r="BH118" s="1">
        <f t="shared" si="67"/>
        <v>4</v>
      </c>
      <c r="BI118" s="1">
        <f t="shared" si="68"/>
        <v>2</v>
      </c>
      <c r="BJ118" s="1">
        <f t="shared" si="69"/>
        <v>5</v>
      </c>
    </row>
    <row r="119" ht="14.25" customHeight="1" spans="1:62">
      <c r="A119" s="10">
        <v>115</v>
      </c>
      <c r="B119" s="10" t="s">
        <v>499</v>
      </c>
      <c r="C119" s="10">
        <v>2018</v>
      </c>
      <c r="D119" s="10">
        <f t="shared" si="35"/>
        <v>2010</v>
      </c>
      <c r="E119" s="10" t="s">
        <v>136</v>
      </c>
      <c r="F119" s="35" t="s">
        <v>500</v>
      </c>
      <c r="G119" s="10" t="s">
        <v>501</v>
      </c>
      <c r="H119" s="10" t="s">
        <v>140</v>
      </c>
      <c r="I119" s="10" t="s">
        <v>140</v>
      </c>
      <c r="J119" s="10"/>
      <c r="K119" s="10">
        <v>5</v>
      </c>
      <c r="L119" s="10">
        <v>2</v>
      </c>
      <c r="M119" s="10">
        <v>4</v>
      </c>
      <c r="N119" s="10">
        <v>4</v>
      </c>
      <c r="O119" s="10">
        <v>1</v>
      </c>
      <c r="P119" s="10">
        <v>1</v>
      </c>
      <c r="Q119" s="10">
        <v>3</v>
      </c>
      <c r="R119" s="10">
        <v>4</v>
      </c>
      <c r="S119" s="10">
        <f t="shared" si="36"/>
        <v>1</v>
      </c>
      <c r="T119" s="10">
        <f t="shared" si="37"/>
        <v>0.25</v>
      </c>
      <c r="U119" s="10">
        <f t="shared" si="38"/>
        <v>0.75</v>
      </c>
      <c r="V119" s="10">
        <f t="shared" si="39"/>
        <v>0.75</v>
      </c>
      <c r="W119" s="10">
        <f t="shared" si="40"/>
        <v>0</v>
      </c>
      <c r="X119" s="10">
        <f t="shared" si="41"/>
        <v>0</v>
      </c>
      <c r="Y119" s="10">
        <f t="shared" si="42"/>
        <v>0.5</v>
      </c>
      <c r="Z119" s="10">
        <f t="shared" si="43"/>
        <v>0.75</v>
      </c>
      <c r="AA119" s="10" t="str">
        <f t="shared" si="44"/>
        <v/>
      </c>
      <c r="AB119" s="10" t="str">
        <f t="shared" si="45"/>
        <v/>
      </c>
      <c r="AC119" s="10" t="str">
        <f t="shared" si="46"/>
        <v/>
      </c>
      <c r="AD119" s="10" t="str">
        <f t="shared" si="47"/>
        <v/>
      </c>
      <c r="AE119" s="10" t="str">
        <f t="shared" si="48"/>
        <v/>
      </c>
      <c r="AF119" s="10" t="str">
        <f t="shared" si="49"/>
        <v/>
      </c>
      <c r="AG119" s="10" t="str">
        <f t="shared" si="50"/>
        <v/>
      </c>
      <c r="AH119" s="10" t="str">
        <f t="shared" si="51"/>
        <v/>
      </c>
      <c r="AI119" s="10">
        <f>IF(OR(S119="",'4_BENCHMARK'!$C$4=""),"",ABS(S119-'4_BENCHMARK'!$C$4))</f>
        <v>0</v>
      </c>
      <c r="AJ119" s="10">
        <f>IF(OR(T119="",'4_BENCHMARK'!$C$5=""),"",ABS(T119-'4_BENCHMARK'!$C$5))</f>
        <v>0.75</v>
      </c>
      <c r="AK119" s="10">
        <f>IF(OR(U119="",'4_BENCHMARK'!$C$6=""),"",ABS(U119-'4_BENCHMARK'!$C$6))</f>
        <v>0.25</v>
      </c>
      <c r="AL119" s="10">
        <f>IF(OR(V119="",'4_BENCHMARK'!$C$7=""),"",ABS(V119-'4_BENCHMARK'!$C$7))</f>
        <v>0.25</v>
      </c>
      <c r="AM119" s="10">
        <f>IF(OR(W119="",'4_BENCHMARK'!$C$8=""),"",ABS(W119-'4_BENCHMARK'!$C$8))</f>
        <v>0</v>
      </c>
      <c r="AN119" s="10">
        <f>IF(OR(X119="",'4_BENCHMARK'!$C$9=""),"",ABS(X119-'4_BENCHMARK'!$C$9))</f>
        <v>0</v>
      </c>
      <c r="AO119" s="10">
        <f>IF(OR(Y119="",'4_BENCHMARK'!$C$10=""),"",ABS(Y119-'4_BENCHMARK'!$C$10))</f>
        <v>0</v>
      </c>
      <c r="AP119" s="10">
        <f>IF(OR(Z119="",'4_BENCHMARK'!$C$11=""),"",ABS(Z119-'4_BENCHMARK'!$C$11))</f>
        <v>0.25</v>
      </c>
      <c r="AQ119" s="13">
        <f t="shared" si="52"/>
        <v>0.8125</v>
      </c>
      <c r="AR119" s="10"/>
      <c r="AS119" s="10" t="s">
        <v>145</v>
      </c>
      <c r="AT119" s="13">
        <f t="shared" si="53"/>
        <v>0.75</v>
      </c>
      <c r="AU119" s="1" t="str">
        <f t="shared" si="54"/>
        <v/>
      </c>
      <c r="AV119" s="1" t="str">
        <f t="shared" si="55"/>
        <v/>
      </c>
      <c r="AW119" s="1" t="str">
        <f t="shared" si="56"/>
        <v/>
      </c>
      <c r="AX119" s="1" t="str">
        <f t="shared" si="57"/>
        <v/>
      </c>
      <c r="AY119" s="1" t="str">
        <f t="shared" si="58"/>
        <v/>
      </c>
      <c r="AZ119" s="1" t="str">
        <f t="shared" si="59"/>
        <v/>
      </c>
      <c r="BA119" s="1" t="str">
        <f t="shared" si="60"/>
        <v/>
      </c>
      <c r="BB119" s="1" t="str">
        <f t="shared" si="61"/>
        <v/>
      </c>
      <c r="BC119" s="1">
        <f t="shared" si="62"/>
        <v>5</v>
      </c>
      <c r="BD119" s="1">
        <f t="shared" si="63"/>
        <v>2</v>
      </c>
      <c r="BE119" s="1">
        <f t="shared" si="64"/>
        <v>4</v>
      </c>
      <c r="BF119" s="1">
        <f t="shared" si="65"/>
        <v>4</v>
      </c>
      <c r="BG119" s="1">
        <f t="shared" si="66"/>
        <v>1</v>
      </c>
      <c r="BH119" s="1">
        <f t="shared" si="67"/>
        <v>1</v>
      </c>
      <c r="BI119" s="1">
        <f t="shared" si="68"/>
        <v>3</v>
      </c>
      <c r="BJ119" s="1">
        <f t="shared" si="69"/>
        <v>4</v>
      </c>
    </row>
    <row r="120" ht="14.25" customHeight="1" spans="1:62">
      <c r="A120" s="10">
        <v>116</v>
      </c>
      <c r="B120" s="10" t="s">
        <v>292</v>
      </c>
      <c r="C120" s="10">
        <v>1991</v>
      </c>
      <c r="D120" s="10">
        <f t="shared" si="35"/>
        <v>1990</v>
      </c>
      <c r="E120" s="10" t="s">
        <v>136</v>
      </c>
      <c r="F120" s="35" t="s">
        <v>502</v>
      </c>
      <c r="G120" s="10" t="s">
        <v>503</v>
      </c>
      <c r="H120" s="10" t="s">
        <v>140</v>
      </c>
      <c r="I120" s="10" t="s">
        <v>140</v>
      </c>
      <c r="J120" s="10"/>
      <c r="K120" s="10">
        <v>5</v>
      </c>
      <c r="L120" s="10">
        <v>5</v>
      </c>
      <c r="M120" s="10">
        <v>5</v>
      </c>
      <c r="N120" s="10">
        <v>5</v>
      </c>
      <c r="O120" s="10">
        <v>5</v>
      </c>
      <c r="P120" s="10">
        <v>5</v>
      </c>
      <c r="Q120" s="10">
        <v>2</v>
      </c>
      <c r="R120" s="10">
        <v>5</v>
      </c>
      <c r="S120" s="10">
        <f t="shared" si="36"/>
        <v>1</v>
      </c>
      <c r="T120" s="10">
        <f t="shared" si="37"/>
        <v>1</v>
      </c>
      <c r="U120" s="10">
        <f t="shared" si="38"/>
        <v>1</v>
      </c>
      <c r="V120" s="10">
        <f t="shared" si="39"/>
        <v>1</v>
      </c>
      <c r="W120" s="10">
        <f t="shared" si="40"/>
        <v>1</v>
      </c>
      <c r="X120" s="10">
        <f t="shared" si="41"/>
        <v>1</v>
      </c>
      <c r="Y120" s="10">
        <f t="shared" si="42"/>
        <v>0.25</v>
      </c>
      <c r="Z120" s="10">
        <f t="shared" si="43"/>
        <v>1</v>
      </c>
      <c r="AA120" s="10" t="str">
        <f t="shared" si="44"/>
        <v/>
      </c>
      <c r="AB120" s="10" t="str">
        <f t="shared" si="45"/>
        <v/>
      </c>
      <c r="AC120" s="10" t="str">
        <f t="shared" si="46"/>
        <v/>
      </c>
      <c r="AD120" s="10" t="str">
        <f t="shared" si="47"/>
        <v/>
      </c>
      <c r="AE120" s="10" t="str">
        <f t="shared" si="48"/>
        <v/>
      </c>
      <c r="AF120" s="10" t="str">
        <f t="shared" si="49"/>
        <v/>
      </c>
      <c r="AG120" s="10" t="str">
        <f t="shared" si="50"/>
        <v/>
      </c>
      <c r="AH120" s="10" t="str">
        <f t="shared" si="51"/>
        <v/>
      </c>
      <c r="AI120" s="10">
        <f>IF(OR(S120="",'4_BENCHMARK'!$C$4=""),"",ABS(S120-'4_BENCHMARK'!$C$4))</f>
        <v>0</v>
      </c>
      <c r="AJ120" s="10">
        <f>IF(OR(T120="",'4_BENCHMARK'!$C$5=""),"",ABS(T120-'4_BENCHMARK'!$C$5))</f>
        <v>0</v>
      </c>
      <c r="AK120" s="10">
        <f>IF(OR(U120="",'4_BENCHMARK'!$C$6=""),"",ABS(U120-'4_BENCHMARK'!$C$6))</f>
        <v>0</v>
      </c>
      <c r="AL120" s="10">
        <f>IF(OR(V120="",'4_BENCHMARK'!$C$7=""),"",ABS(V120-'4_BENCHMARK'!$C$7))</f>
        <v>0</v>
      </c>
      <c r="AM120" s="10">
        <f>IF(OR(W120="",'4_BENCHMARK'!$C$8=""),"",ABS(W120-'4_BENCHMARK'!$C$8))</f>
        <v>1</v>
      </c>
      <c r="AN120" s="10">
        <f>IF(OR(X120="",'4_BENCHMARK'!$C$9=""),"",ABS(X120-'4_BENCHMARK'!$C$9))</f>
        <v>1</v>
      </c>
      <c r="AO120" s="10">
        <f>IF(OR(Y120="",'4_BENCHMARK'!$C$10=""),"",ABS(Y120-'4_BENCHMARK'!$C$10))</f>
        <v>0.25</v>
      </c>
      <c r="AP120" s="10">
        <f>IF(OR(Z120="",'4_BENCHMARK'!$C$11=""),"",ABS(Z120-'4_BENCHMARK'!$C$11))</f>
        <v>0</v>
      </c>
      <c r="AQ120" s="13">
        <f t="shared" si="52"/>
        <v>0.71875</v>
      </c>
      <c r="AR120" s="10"/>
      <c r="AS120" s="10" t="s">
        <v>141</v>
      </c>
      <c r="AT120" s="13">
        <f t="shared" si="53"/>
        <v>0.958333333333333</v>
      </c>
      <c r="AU120" s="1" t="str">
        <f t="shared" si="54"/>
        <v/>
      </c>
      <c r="AV120" s="1" t="str">
        <f t="shared" si="55"/>
        <v/>
      </c>
      <c r="AW120" s="1" t="str">
        <f t="shared" si="56"/>
        <v/>
      </c>
      <c r="AX120" s="1" t="str">
        <f t="shared" si="57"/>
        <v/>
      </c>
      <c r="AY120" s="1" t="str">
        <f t="shared" si="58"/>
        <v/>
      </c>
      <c r="AZ120" s="1" t="str">
        <f t="shared" si="59"/>
        <v/>
      </c>
      <c r="BA120" s="1" t="str">
        <f t="shared" si="60"/>
        <v/>
      </c>
      <c r="BB120" s="1" t="str">
        <f t="shared" si="61"/>
        <v/>
      </c>
      <c r="BC120" s="1" t="str">
        <f t="shared" si="62"/>
        <v/>
      </c>
      <c r="BD120" s="1" t="str">
        <f t="shared" si="63"/>
        <v/>
      </c>
      <c r="BE120" s="1" t="str">
        <f t="shared" si="64"/>
        <v/>
      </c>
      <c r="BF120" s="1" t="str">
        <f t="shared" si="65"/>
        <v/>
      </c>
      <c r="BG120" s="1" t="str">
        <f t="shared" si="66"/>
        <v/>
      </c>
      <c r="BH120" s="1" t="str">
        <f t="shared" si="67"/>
        <v/>
      </c>
      <c r="BI120" s="1" t="str">
        <f t="shared" si="68"/>
        <v/>
      </c>
      <c r="BJ120" s="1" t="str">
        <f t="shared" si="69"/>
        <v/>
      </c>
    </row>
    <row r="121" ht="14.25" customHeight="1" spans="1:62">
      <c r="A121" s="10">
        <v>117</v>
      </c>
      <c r="B121" s="10" t="s">
        <v>504</v>
      </c>
      <c r="C121" s="10">
        <v>1911</v>
      </c>
      <c r="D121" s="10">
        <f t="shared" si="35"/>
        <v>1910</v>
      </c>
      <c r="E121" s="10" t="s">
        <v>136</v>
      </c>
      <c r="F121" s="35" t="s">
        <v>505</v>
      </c>
      <c r="G121" s="10" t="s">
        <v>506</v>
      </c>
      <c r="H121" s="10" t="s">
        <v>139</v>
      </c>
      <c r="I121" s="10" t="s">
        <v>140</v>
      </c>
      <c r="J121" s="10"/>
      <c r="K121" s="10">
        <v>5</v>
      </c>
      <c r="L121" s="10">
        <v>5</v>
      </c>
      <c r="M121" s="10">
        <v>5</v>
      </c>
      <c r="N121" s="10">
        <v>4</v>
      </c>
      <c r="O121" s="10">
        <v>5</v>
      </c>
      <c r="P121" s="10">
        <v>5</v>
      </c>
      <c r="Q121" s="10">
        <v>3</v>
      </c>
      <c r="R121" s="10">
        <v>5</v>
      </c>
      <c r="S121" s="10">
        <f t="shared" si="36"/>
        <v>1</v>
      </c>
      <c r="T121" s="10">
        <f t="shared" si="37"/>
        <v>1</v>
      </c>
      <c r="U121" s="10">
        <f t="shared" si="38"/>
        <v>1</v>
      </c>
      <c r="V121" s="10">
        <f t="shared" si="39"/>
        <v>0.75</v>
      </c>
      <c r="W121" s="10">
        <f t="shared" si="40"/>
        <v>1</v>
      </c>
      <c r="X121" s="10">
        <f t="shared" si="41"/>
        <v>1</v>
      </c>
      <c r="Y121" s="10">
        <f t="shared" si="42"/>
        <v>0.5</v>
      </c>
      <c r="Z121" s="10">
        <f t="shared" si="43"/>
        <v>1</v>
      </c>
      <c r="AA121" s="10">
        <f t="shared" si="44"/>
        <v>1</v>
      </c>
      <c r="AB121" s="10">
        <f t="shared" si="45"/>
        <v>1</v>
      </c>
      <c r="AC121" s="10">
        <f t="shared" si="46"/>
        <v>1</v>
      </c>
      <c r="AD121" s="10">
        <f t="shared" si="47"/>
        <v>0.75</v>
      </c>
      <c r="AE121" s="10">
        <f t="shared" si="48"/>
        <v>1</v>
      </c>
      <c r="AF121" s="10">
        <f t="shared" si="49"/>
        <v>1</v>
      </c>
      <c r="AG121" s="10">
        <f t="shared" si="50"/>
        <v>0.5</v>
      </c>
      <c r="AH121" s="10">
        <f t="shared" si="51"/>
        <v>1</v>
      </c>
      <c r="AI121" s="10">
        <f>IF(OR(S121="",'4_BENCHMARK'!$C$4=""),"",ABS(S121-'4_BENCHMARK'!$C$4))</f>
        <v>0</v>
      </c>
      <c r="AJ121" s="10">
        <f>IF(OR(T121="",'4_BENCHMARK'!$C$5=""),"",ABS(T121-'4_BENCHMARK'!$C$5))</f>
        <v>0</v>
      </c>
      <c r="AK121" s="10">
        <f>IF(OR(U121="",'4_BENCHMARK'!$C$6=""),"",ABS(U121-'4_BENCHMARK'!$C$6))</f>
        <v>0</v>
      </c>
      <c r="AL121" s="10">
        <f>IF(OR(V121="",'4_BENCHMARK'!$C$7=""),"",ABS(V121-'4_BENCHMARK'!$C$7))</f>
        <v>0.25</v>
      </c>
      <c r="AM121" s="10">
        <f>IF(OR(W121="",'4_BENCHMARK'!$C$8=""),"",ABS(W121-'4_BENCHMARK'!$C$8))</f>
        <v>1</v>
      </c>
      <c r="AN121" s="10">
        <f>IF(OR(X121="",'4_BENCHMARK'!$C$9=""),"",ABS(X121-'4_BENCHMARK'!$C$9))</f>
        <v>1</v>
      </c>
      <c r="AO121" s="10">
        <f>IF(OR(Y121="",'4_BENCHMARK'!$C$10=""),"",ABS(Y121-'4_BENCHMARK'!$C$10))</f>
        <v>0</v>
      </c>
      <c r="AP121" s="10">
        <f>IF(OR(Z121="",'4_BENCHMARK'!$C$11=""),"",ABS(Z121-'4_BENCHMARK'!$C$11))</f>
        <v>0</v>
      </c>
      <c r="AQ121" s="13">
        <f t="shared" si="52"/>
        <v>0.71875</v>
      </c>
      <c r="AR121" s="10"/>
      <c r="AS121" s="10" t="s">
        <v>141</v>
      </c>
      <c r="AT121" s="13">
        <f t="shared" si="53"/>
        <v>0.958333333333333</v>
      </c>
      <c r="AU121" s="1">
        <f t="shared" si="54"/>
        <v>5</v>
      </c>
      <c r="AV121" s="1">
        <f t="shared" si="55"/>
        <v>5</v>
      </c>
      <c r="AW121" s="1">
        <f t="shared" si="56"/>
        <v>5</v>
      </c>
      <c r="AX121" s="1">
        <f t="shared" si="57"/>
        <v>4</v>
      </c>
      <c r="AY121" s="1">
        <f t="shared" si="58"/>
        <v>5</v>
      </c>
      <c r="AZ121" s="1">
        <f t="shared" si="59"/>
        <v>5</v>
      </c>
      <c r="BA121" s="1">
        <f t="shared" si="60"/>
        <v>3</v>
      </c>
      <c r="BB121" s="1">
        <f t="shared" si="61"/>
        <v>5</v>
      </c>
      <c r="BC121" s="1" t="str">
        <f t="shared" si="62"/>
        <v/>
      </c>
      <c r="BD121" s="1" t="str">
        <f t="shared" si="63"/>
        <v/>
      </c>
      <c r="BE121" s="1" t="str">
        <f t="shared" si="64"/>
        <v/>
      </c>
      <c r="BF121" s="1" t="str">
        <f t="shared" si="65"/>
        <v/>
      </c>
      <c r="BG121" s="1" t="str">
        <f t="shared" si="66"/>
        <v/>
      </c>
      <c r="BH121" s="1" t="str">
        <f t="shared" si="67"/>
        <v/>
      </c>
      <c r="BI121" s="1" t="str">
        <f t="shared" si="68"/>
        <v/>
      </c>
      <c r="BJ121" s="1" t="str">
        <f t="shared" si="69"/>
        <v/>
      </c>
    </row>
    <row r="122" ht="14.25" customHeight="1" spans="1:62">
      <c r="A122" s="10">
        <v>118</v>
      </c>
      <c r="B122" s="10" t="s">
        <v>507</v>
      </c>
      <c r="C122" s="10">
        <v>1905</v>
      </c>
      <c r="D122" s="10">
        <f t="shared" si="35"/>
        <v>1900</v>
      </c>
      <c r="E122" s="10" t="s">
        <v>136</v>
      </c>
      <c r="F122" s="35" t="s">
        <v>508</v>
      </c>
      <c r="G122" s="10" t="s">
        <v>509</v>
      </c>
      <c r="H122" s="10" t="s">
        <v>139</v>
      </c>
      <c r="I122" s="10" t="s">
        <v>140</v>
      </c>
      <c r="J122" s="10"/>
      <c r="K122" s="10">
        <v>5</v>
      </c>
      <c r="L122" s="10">
        <v>5</v>
      </c>
      <c r="M122" s="10">
        <v>5</v>
      </c>
      <c r="N122" s="10">
        <v>5</v>
      </c>
      <c r="O122" s="10">
        <v>5</v>
      </c>
      <c r="P122" s="10">
        <v>5</v>
      </c>
      <c r="Q122" s="10">
        <v>3</v>
      </c>
      <c r="R122" s="10">
        <v>5</v>
      </c>
      <c r="S122" s="10">
        <f t="shared" si="36"/>
        <v>1</v>
      </c>
      <c r="T122" s="10">
        <f t="shared" si="37"/>
        <v>1</v>
      </c>
      <c r="U122" s="10">
        <f t="shared" si="38"/>
        <v>1</v>
      </c>
      <c r="V122" s="10">
        <f t="shared" si="39"/>
        <v>1</v>
      </c>
      <c r="W122" s="10">
        <f t="shared" si="40"/>
        <v>1</v>
      </c>
      <c r="X122" s="10">
        <f t="shared" si="41"/>
        <v>1</v>
      </c>
      <c r="Y122" s="10">
        <f t="shared" si="42"/>
        <v>0.5</v>
      </c>
      <c r="Z122" s="10">
        <f t="shared" si="43"/>
        <v>1</v>
      </c>
      <c r="AA122" s="10">
        <f t="shared" si="44"/>
        <v>1</v>
      </c>
      <c r="AB122" s="10">
        <f t="shared" si="45"/>
        <v>1</v>
      </c>
      <c r="AC122" s="10">
        <f t="shared" si="46"/>
        <v>1</v>
      </c>
      <c r="AD122" s="10">
        <f t="shared" si="47"/>
        <v>1</v>
      </c>
      <c r="AE122" s="10">
        <f t="shared" si="48"/>
        <v>1</v>
      </c>
      <c r="AF122" s="10">
        <f t="shared" si="49"/>
        <v>1</v>
      </c>
      <c r="AG122" s="10">
        <f t="shared" si="50"/>
        <v>0.5</v>
      </c>
      <c r="AH122" s="10">
        <f t="shared" si="51"/>
        <v>1</v>
      </c>
      <c r="AI122" s="10">
        <f>IF(OR(S122="",'4_BENCHMARK'!$C$4=""),"",ABS(S122-'4_BENCHMARK'!$C$4))</f>
        <v>0</v>
      </c>
      <c r="AJ122" s="10">
        <f>IF(OR(T122="",'4_BENCHMARK'!$C$5=""),"",ABS(T122-'4_BENCHMARK'!$C$5))</f>
        <v>0</v>
      </c>
      <c r="AK122" s="10">
        <f>IF(OR(U122="",'4_BENCHMARK'!$C$6=""),"",ABS(U122-'4_BENCHMARK'!$C$6))</f>
        <v>0</v>
      </c>
      <c r="AL122" s="10">
        <f>IF(OR(V122="",'4_BENCHMARK'!$C$7=""),"",ABS(V122-'4_BENCHMARK'!$C$7))</f>
        <v>0</v>
      </c>
      <c r="AM122" s="10">
        <f>IF(OR(W122="",'4_BENCHMARK'!$C$8=""),"",ABS(W122-'4_BENCHMARK'!$C$8))</f>
        <v>1</v>
      </c>
      <c r="AN122" s="10">
        <f>IF(OR(X122="",'4_BENCHMARK'!$C$9=""),"",ABS(X122-'4_BENCHMARK'!$C$9))</f>
        <v>1</v>
      </c>
      <c r="AO122" s="10">
        <f>IF(OR(Y122="",'4_BENCHMARK'!$C$10=""),"",ABS(Y122-'4_BENCHMARK'!$C$10))</f>
        <v>0</v>
      </c>
      <c r="AP122" s="10">
        <f>IF(OR(Z122="",'4_BENCHMARK'!$C$11=""),"",ABS(Z122-'4_BENCHMARK'!$C$11))</f>
        <v>0</v>
      </c>
      <c r="AQ122" s="13">
        <f t="shared" si="52"/>
        <v>0.75</v>
      </c>
      <c r="AR122" s="10"/>
      <c r="AS122" s="10" t="s">
        <v>141</v>
      </c>
      <c r="AT122" s="13">
        <f t="shared" si="53"/>
        <v>1</v>
      </c>
      <c r="AU122" s="1">
        <f t="shared" si="54"/>
        <v>5</v>
      </c>
      <c r="AV122" s="1">
        <f t="shared" si="55"/>
        <v>5</v>
      </c>
      <c r="AW122" s="1">
        <f t="shared" si="56"/>
        <v>5</v>
      </c>
      <c r="AX122" s="1">
        <f t="shared" si="57"/>
        <v>5</v>
      </c>
      <c r="AY122" s="1">
        <f t="shared" si="58"/>
        <v>5</v>
      </c>
      <c r="AZ122" s="1">
        <f t="shared" si="59"/>
        <v>5</v>
      </c>
      <c r="BA122" s="1">
        <f t="shared" si="60"/>
        <v>3</v>
      </c>
      <c r="BB122" s="1">
        <f t="shared" si="61"/>
        <v>5</v>
      </c>
      <c r="BC122" s="1" t="str">
        <f t="shared" si="62"/>
        <v/>
      </c>
      <c r="BD122" s="1" t="str">
        <f t="shared" si="63"/>
        <v/>
      </c>
      <c r="BE122" s="1" t="str">
        <f t="shared" si="64"/>
        <v/>
      </c>
      <c r="BF122" s="1" t="str">
        <f t="shared" si="65"/>
        <v/>
      </c>
      <c r="BG122" s="1" t="str">
        <f t="shared" si="66"/>
        <v/>
      </c>
      <c r="BH122" s="1" t="str">
        <f t="shared" si="67"/>
        <v/>
      </c>
      <c r="BI122" s="1" t="str">
        <f t="shared" si="68"/>
        <v/>
      </c>
      <c r="BJ122" s="1" t="str">
        <f t="shared" si="69"/>
        <v/>
      </c>
    </row>
    <row r="123" ht="14.25" customHeight="1" spans="1:62">
      <c r="A123" s="10">
        <v>119</v>
      </c>
      <c r="B123" s="10" t="s">
        <v>510</v>
      </c>
      <c r="C123" s="10">
        <v>2020</v>
      </c>
      <c r="D123" s="10">
        <f t="shared" si="35"/>
        <v>2020</v>
      </c>
      <c r="E123" s="10" t="s">
        <v>136</v>
      </c>
      <c r="F123" s="35" t="s">
        <v>511</v>
      </c>
      <c r="G123" s="10" t="s">
        <v>512</v>
      </c>
      <c r="H123" s="10" t="s">
        <v>140</v>
      </c>
      <c r="I123" s="10" t="s">
        <v>140</v>
      </c>
      <c r="J123" s="10"/>
      <c r="K123" s="10">
        <v>5</v>
      </c>
      <c r="L123" s="10">
        <v>4</v>
      </c>
      <c r="M123" s="10">
        <v>5</v>
      </c>
      <c r="N123" s="10">
        <v>5</v>
      </c>
      <c r="O123" s="10">
        <v>5</v>
      </c>
      <c r="P123" s="10">
        <v>5</v>
      </c>
      <c r="Q123" s="10">
        <v>1</v>
      </c>
      <c r="R123" s="10">
        <v>2</v>
      </c>
      <c r="S123" s="10">
        <f t="shared" si="36"/>
        <v>1</v>
      </c>
      <c r="T123" s="10">
        <f t="shared" si="37"/>
        <v>0.75</v>
      </c>
      <c r="U123" s="10">
        <f t="shared" si="38"/>
        <v>1</v>
      </c>
      <c r="V123" s="10">
        <f t="shared" si="39"/>
        <v>1</v>
      </c>
      <c r="W123" s="10">
        <f t="shared" si="40"/>
        <v>1</v>
      </c>
      <c r="X123" s="10">
        <f t="shared" si="41"/>
        <v>1</v>
      </c>
      <c r="Y123" s="10">
        <f t="shared" si="42"/>
        <v>0</v>
      </c>
      <c r="Z123" s="10">
        <f t="shared" si="43"/>
        <v>0.25</v>
      </c>
      <c r="AA123" s="10" t="str">
        <f t="shared" si="44"/>
        <v/>
      </c>
      <c r="AB123" s="10" t="str">
        <f t="shared" si="45"/>
        <v/>
      </c>
      <c r="AC123" s="10" t="str">
        <f t="shared" si="46"/>
        <v/>
      </c>
      <c r="AD123" s="10" t="str">
        <f t="shared" si="47"/>
        <v/>
      </c>
      <c r="AE123" s="10" t="str">
        <f t="shared" si="48"/>
        <v/>
      </c>
      <c r="AF123" s="10" t="str">
        <f t="shared" si="49"/>
        <v/>
      </c>
      <c r="AG123" s="10" t="str">
        <f t="shared" si="50"/>
        <v/>
      </c>
      <c r="AH123" s="10" t="str">
        <f t="shared" si="51"/>
        <v/>
      </c>
      <c r="AI123" s="10">
        <f>IF(OR(S123="",'4_BENCHMARK'!$C$4=""),"",ABS(S123-'4_BENCHMARK'!$C$4))</f>
        <v>0</v>
      </c>
      <c r="AJ123" s="10">
        <f>IF(OR(T123="",'4_BENCHMARK'!$C$5=""),"",ABS(T123-'4_BENCHMARK'!$C$5))</f>
        <v>0.25</v>
      </c>
      <c r="AK123" s="10">
        <f>IF(OR(U123="",'4_BENCHMARK'!$C$6=""),"",ABS(U123-'4_BENCHMARK'!$C$6))</f>
        <v>0</v>
      </c>
      <c r="AL123" s="10">
        <f>IF(OR(V123="",'4_BENCHMARK'!$C$7=""),"",ABS(V123-'4_BENCHMARK'!$C$7))</f>
        <v>0</v>
      </c>
      <c r="AM123" s="10">
        <f>IF(OR(W123="",'4_BENCHMARK'!$C$8=""),"",ABS(W123-'4_BENCHMARK'!$C$8))</f>
        <v>1</v>
      </c>
      <c r="AN123" s="10">
        <f>IF(OR(X123="",'4_BENCHMARK'!$C$9=""),"",ABS(X123-'4_BENCHMARK'!$C$9))</f>
        <v>1</v>
      </c>
      <c r="AO123" s="10">
        <f>IF(OR(Y123="",'4_BENCHMARK'!$C$10=""),"",ABS(Y123-'4_BENCHMARK'!$C$10))</f>
        <v>0.5</v>
      </c>
      <c r="AP123" s="10">
        <f>IF(OR(Z123="",'4_BENCHMARK'!$C$11=""),"",ABS(Z123-'4_BENCHMARK'!$C$11))</f>
        <v>0.75</v>
      </c>
      <c r="AQ123" s="13">
        <f t="shared" si="52"/>
        <v>0.5625</v>
      </c>
      <c r="AR123" s="10"/>
      <c r="AS123" s="10" t="s">
        <v>145</v>
      </c>
      <c r="AT123" s="13">
        <f t="shared" si="53"/>
        <v>0.75</v>
      </c>
      <c r="AU123" s="1" t="str">
        <f t="shared" si="54"/>
        <v/>
      </c>
      <c r="AV123" s="1" t="str">
        <f t="shared" si="55"/>
        <v/>
      </c>
      <c r="AW123" s="1" t="str">
        <f t="shared" si="56"/>
        <v/>
      </c>
      <c r="AX123" s="1" t="str">
        <f t="shared" si="57"/>
        <v/>
      </c>
      <c r="AY123" s="1" t="str">
        <f t="shared" si="58"/>
        <v/>
      </c>
      <c r="AZ123" s="1" t="str">
        <f t="shared" si="59"/>
        <v/>
      </c>
      <c r="BA123" s="1" t="str">
        <f t="shared" si="60"/>
        <v/>
      </c>
      <c r="BB123" s="1" t="str">
        <f t="shared" si="61"/>
        <v/>
      </c>
      <c r="BC123" s="1">
        <f t="shared" si="62"/>
        <v>5</v>
      </c>
      <c r="BD123" s="1">
        <f t="shared" si="63"/>
        <v>4</v>
      </c>
      <c r="BE123" s="1">
        <f t="shared" si="64"/>
        <v>5</v>
      </c>
      <c r="BF123" s="1">
        <f t="shared" si="65"/>
        <v>5</v>
      </c>
      <c r="BG123" s="1">
        <f t="shared" si="66"/>
        <v>5</v>
      </c>
      <c r="BH123" s="1">
        <f t="shared" si="67"/>
        <v>5</v>
      </c>
      <c r="BI123" s="1">
        <f t="shared" si="68"/>
        <v>1</v>
      </c>
      <c r="BJ123" s="1">
        <f t="shared" si="69"/>
        <v>2</v>
      </c>
    </row>
    <row r="124" ht="14.25" customHeight="1" spans="1:62">
      <c r="A124" s="10">
        <v>120</v>
      </c>
      <c r="B124" s="10" t="s">
        <v>513</v>
      </c>
      <c r="C124" s="10">
        <v>2021</v>
      </c>
      <c r="D124" s="10">
        <f t="shared" si="35"/>
        <v>2020</v>
      </c>
      <c r="E124" s="10" t="s">
        <v>136</v>
      </c>
      <c r="F124" s="35" t="s">
        <v>514</v>
      </c>
      <c r="G124" s="10" t="s">
        <v>515</v>
      </c>
      <c r="H124" s="10" t="s">
        <v>140</v>
      </c>
      <c r="I124" s="10" t="s">
        <v>140</v>
      </c>
      <c r="J124" s="10"/>
      <c r="K124" s="10">
        <v>3</v>
      </c>
      <c r="L124" s="10">
        <v>4</v>
      </c>
      <c r="M124" s="10">
        <v>4</v>
      </c>
      <c r="N124" s="10">
        <v>3</v>
      </c>
      <c r="O124" s="10">
        <v>5</v>
      </c>
      <c r="P124" s="10">
        <v>1</v>
      </c>
      <c r="Q124" s="10">
        <v>2</v>
      </c>
      <c r="R124" s="10">
        <v>4</v>
      </c>
      <c r="S124" s="10">
        <f t="shared" si="36"/>
        <v>0.5</v>
      </c>
      <c r="T124" s="10">
        <f t="shared" si="37"/>
        <v>0.75</v>
      </c>
      <c r="U124" s="10">
        <f t="shared" si="38"/>
        <v>0.75</v>
      </c>
      <c r="V124" s="10">
        <f t="shared" si="39"/>
        <v>0.5</v>
      </c>
      <c r="W124" s="10">
        <f t="shared" si="40"/>
        <v>1</v>
      </c>
      <c r="X124" s="10">
        <f t="shared" si="41"/>
        <v>0</v>
      </c>
      <c r="Y124" s="10">
        <f t="shared" si="42"/>
        <v>0.25</v>
      </c>
      <c r="Z124" s="10">
        <f t="shared" si="43"/>
        <v>0.75</v>
      </c>
      <c r="AA124" s="10" t="str">
        <f t="shared" si="44"/>
        <v/>
      </c>
      <c r="AB124" s="10" t="str">
        <f t="shared" si="45"/>
        <v/>
      </c>
      <c r="AC124" s="10" t="str">
        <f t="shared" si="46"/>
        <v/>
      </c>
      <c r="AD124" s="10" t="str">
        <f t="shared" si="47"/>
        <v/>
      </c>
      <c r="AE124" s="10" t="str">
        <f t="shared" si="48"/>
        <v/>
      </c>
      <c r="AF124" s="10" t="str">
        <f t="shared" si="49"/>
        <v/>
      </c>
      <c r="AG124" s="10" t="str">
        <f t="shared" si="50"/>
        <v/>
      </c>
      <c r="AH124" s="10" t="str">
        <f t="shared" si="51"/>
        <v/>
      </c>
      <c r="AI124" s="10">
        <f>IF(OR(S124="",'4_BENCHMARK'!$C$4=""),"",ABS(S124-'4_BENCHMARK'!$C$4))</f>
        <v>0.5</v>
      </c>
      <c r="AJ124" s="10">
        <f>IF(OR(T124="",'4_BENCHMARK'!$C$5=""),"",ABS(T124-'4_BENCHMARK'!$C$5))</f>
        <v>0.25</v>
      </c>
      <c r="AK124" s="10">
        <f>IF(OR(U124="",'4_BENCHMARK'!$C$6=""),"",ABS(U124-'4_BENCHMARK'!$C$6))</f>
        <v>0.25</v>
      </c>
      <c r="AL124" s="10">
        <f>IF(OR(V124="",'4_BENCHMARK'!$C$7=""),"",ABS(V124-'4_BENCHMARK'!$C$7))</f>
        <v>0.5</v>
      </c>
      <c r="AM124" s="10">
        <f>IF(OR(W124="",'4_BENCHMARK'!$C$8=""),"",ABS(W124-'4_BENCHMARK'!$C$8))</f>
        <v>1</v>
      </c>
      <c r="AN124" s="10">
        <f>IF(OR(X124="",'4_BENCHMARK'!$C$9=""),"",ABS(X124-'4_BENCHMARK'!$C$9))</f>
        <v>0</v>
      </c>
      <c r="AO124" s="10">
        <f>IF(OR(Y124="",'4_BENCHMARK'!$C$10=""),"",ABS(Y124-'4_BENCHMARK'!$C$10))</f>
        <v>0.25</v>
      </c>
      <c r="AP124" s="10">
        <f>IF(OR(Z124="",'4_BENCHMARK'!$C$11=""),"",ABS(Z124-'4_BENCHMARK'!$C$11))</f>
        <v>0.25</v>
      </c>
      <c r="AQ124" s="13">
        <f t="shared" si="52"/>
        <v>0.625</v>
      </c>
      <c r="AR124" s="10"/>
      <c r="AS124" s="10" t="s">
        <v>145</v>
      </c>
      <c r="AT124" s="13">
        <f t="shared" si="53"/>
        <v>0.666666666666667</v>
      </c>
      <c r="AU124" s="1" t="str">
        <f t="shared" si="54"/>
        <v/>
      </c>
      <c r="AV124" s="1" t="str">
        <f t="shared" si="55"/>
        <v/>
      </c>
      <c r="AW124" s="1" t="str">
        <f t="shared" si="56"/>
        <v/>
      </c>
      <c r="AX124" s="1" t="str">
        <f t="shared" si="57"/>
        <v/>
      </c>
      <c r="AY124" s="1" t="str">
        <f t="shared" si="58"/>
        <v/>
      </c>
      <c r="AZ124" s="1" t="str">
        <f t="shared" si="59"/>
        <v/>
      </c>
      <c r="BA124" s="1" t="str">
        <f t="shared" si="60"/>
        <v/>
      </c>
      <c r="BB124" s="1" t="str">
        <f t="shared" si="61"/>
        <v/>
      </c>
      <c r="BC124" s="1">
        <f t="shared" si="62"/>
        <v>3</v>
      </c>
      <c r="BD124" s="1">
        <f t="shared" si="63"/>
        <v>4</v>
      </c>
      <c r="BE124" s="1">
        <f t="shared" si="64"/>
        <v>4</v>
      </c>
      <c r="BF124" s="1">
        <f t="shared" si="65"/>
        <v>3</v>
      </c>
      <c r="BG124" s="1">
        <f t="shared" si="66"/>
        <v>5</v>
      </c>
      <c r="BH124" s="1">
        <f t="shared" si="67"/>
        <v>1</v>
      </c>
      <c r="BI124" s="1">
        <f t="shared" si="68"/>
        <v>2</v>
      </c>
      <c r="BJ124" s="1">
        <f t="shared" si="69"/>
        <v>4</v>
      </c>
    </row>
    <row r="125" ht="14.25" customHeight="1" spans="1:62">
      <c r="A125" s="10">
        <v>121</v>
      </c>
      <c r="B125" s="10" t="s">
        <v>516</v>
      </c>
      <c r="C125" s="10">
        <v>1992</v>
      </c>
      <c r="D125" s="10">
        <f t="shared" si="35"/>
        <v>1990</v>
      </c>
      <c r="E125" s="10" t="s">
        <v>136</v>
      </c>
      <c r="F125" s="35" t="s">
        <v>517</v>
      </c>
      <c r="G125" s="10" t="s">
        <v>518</v>
      </c>
      <c r="H125" s="10" t="s">
        <v>140</v>
      </c>
      <c r="I125" s="10" t="s">
        <v>140</v>
      </c>
      <c r="J125" s="10"/>
      <c r="K125" s="10">
        <v>5</v>
      </c>
      <c r="L125" s="10">
        <v>5</v>
      </c>
      <c r="M125" s="10">
        <v>5</v>
      </c>
      <c r="N125" s="10">
        <v>4</v>
      </c>
      <c r="O125" s="10">
        <v>5</v>
      </c>
      <c r="P125" s="10">
        <v>4</v>
      </c>
      <c r="Q125" s="10">
        <v>3</v>
      </c>
      <c r="R125" s="10">
        <v>5</v>
      </c>
      <c r="S125" s="10">
        <f t="shared" si="36"/>
        <v>1</v>
      </c>
      <c r="T125" s="10">
        <f t="shared" si="37"/>
        <v>1</v>
      </c>
      <c r="U125" s="10">
        <f t="shared" si="38"/>
        <v>1</v>
      </c>
      <c r="V125" s="10">
        <f t="shared" si="39"/>
        <v>0.75</v>
      </c>
      <c r="W125" s="10">
        <f t="shared" si="40"/>
        <v>1</v>
      </c>
      <c r="X125" s="10">
        <f t="shared" si="41"/>
        <v>0.75</v>
      </c>
      <c r="Y125" s="10">
        <f t="shared" si="42"/>
        <v>0.5</v>
      </c>
      <c r="Z125" s="10">
        <f t="shared" si="43"/>
        <v>1</v>
      </c>
      <c r="AA125" s="10" t="str">
        <f t="shared" si="44"/>
        <v/>
      </c>
      <c r="AB125" s="10" t="str">
        <f t="shared" si="45"/>
        <v/>
      </c>
      <c r="AC125" s="10" t="str">
        <f t="shared" si="46"/>
        <v/>
      </c>
      <c r="AD125" s="10" t="str">
        <f t="shared" si="47"/>
        <v/>
      </c>
      <c r="AE125" s="10" t="str">
        <f t="shared" si="48"/>
        <v/>
      </c>
      <c r="AF125" s="10" t="str">
        <f t="shared" si="49"/>
        <v/>
      </c>
      <c r="AG125" s="10" t="str">
        <f t="shared" si="50"/>
        <v/>
      </c>
      <c r="AH125" s="10" t="str">
        <f t="shared" si="51"/>
        <v/>
      </c>
      <c r="AI125" s="10">
        <f>IF(OR(S125="",'4_BENCHMARK'!$C$4=""),"",ABS(S125-'4_BENCHMARK'!$C$4))</f>
        <v>0</v>
      </c>
      <c r="AJ125" s="10">
        <f>IF(OR(T125="",'4_BENCHMARK'!$C$5=""),"",ABS(T125-'4_BENCHMARK'!$C$5))</f>
        <v>0</v>
      </c>
      <c r="AK125" s="10">
        <f>IF(OR(U125="",'4_BENCHMARK'!$C$6=""),"",ABS(U125-'4_BENCHMARK'!$C$6))</f>
        <v>0</v>
      </c>
      <c r="AL125" s="10">
        <f>IF(OR(V125="",'4_BENCHMARK'!$C$7=""),"",ABS(V125-'4_BENCHMARK'!$C$7))</f>
        <v>0.25</v>
      </c>
      <c r="AM125" s="10">
        <f>IF(OR(W125="",'4_BENCHMARK'!$C$8=""),"",ABS(W125-'4_BENCHMARK'!$C$8))</f>
        <v>1</v>
      </c>
      <c r="AN125" s="10">
        <f>IF(OR(X125="",'4_BENCHMARK'!$C$9=""),"",ABS(X125-'4_BENCHMARK'!$C$9))</f>
        <v>0.75</v>
      </c>
      <c r="AO125" s="10">
        <f>IF(OR(Y125="",'4_BENCHMARK'!$C$10=""),"",ABS(Y125-'4_BENCHMARK'!$C$10))</f>
        <v>0</v>
      </c>
      <c r="AP125" s="10">
        <f>IF(OR(Z125="",'4_BENCHMARK'!$C$11=""),"",ABS(Z125-'4_BENCHMARK'!$C$11))</f>
        <v>0</v>
      </c>
      <c r="AQ125" s="13">
        <f t="shared" si="52"/>
        <v>0.75</v>
      </c>
      <c r="AR125" s="10"/>
      <c r="AS125" s="10" t="s">
        <v>141</v>
      </c>
      <c r="AT125" s="13">
        <f t="shared" si="53"/>
        <v>0.958333333333333</v>
      </c>
      <c r="AU125" s="1" t="str">
        <f t="shared" si="54"/>
        <v/>
      </c>
      <c r="AV125" s="1" t="str">
        <f t="shared" si="55"/>
        <v/>
      </c>
      <c r="AW125" s="1" t="str">
        <f t="shared" si="56"/>
        <v/>
      </c>
      <c r="AX125" s="1" t="str">
        <f t="shared" si="57"/>
        <v/>
      </c>
      <c r="AY125" s="1" t="str">
        <f t="shared" si="58"/>
        <v/>
      </c>
      <c r="AZ125" s="1" t="str">
        <f t="shared" si="59"/>
        <v/>
      </c>
      <c r="BA125" s="1" t="str">
        <f t="shared" si="60"/>
        <v/>
      </c>
      <c r="BB125" s="1" t="str">
        <f t="shared" si="61"/>
        <v/>
      </c>
      <c r="BC125" s="1" t="str">
        <f t="shared" si="62"/>
        <v/>
      </c>
      <c r="BD125" s="1" t="str">
        <f t="shared" si="63"/>
        <v/>
      </c>
      <c r="BE125" s="1" t="str">
        <f t="shared" si="64"/>
        <v/>
      </c>
      <c r="BF125" s="1" t="str">
        <f t="shared" si="65"/>
        <v/>
      </c>
      <c r="BG125" s="1" t="str">
        <f t="shared" si="66"/>
        <v/>
      </c>
      <c r="BH125" s="1" t="str">
        <f t="shared" si="67"/>
        <v/>
      </c>
      <c r="BI125" s="1" t="str">
        <f t="shared" si="68"/>
        <v/>
      </c>
      <c r="BJ125" s="1" t="str">
        <f t="shared" si="69"/>
        <v/>
      </c>
    </row>
    <row r="126" ht="14.25" customHeight="1" spans="1:62">
      <c r="A126" s="10">
        <v>122</v>
      </c>
      <c r="B126" s="10" t="s">
        <v>519</v>
      </c>
      <c r="C126" s="10">
        <v>2022</v>
      </c>
      <c r="D126" s="10">
        <f t="shared" si="35"/>
        <v>2020</v>
      </c>
      <c r="E126" s="10" t="s">
        <v>136</v>
      </c>
      <c r="F126" s="35" t="s">
        <v>520</v>
      </c>
      <c r="G126" s="10" t="s">
        <v>521</v>
      </c>
      <c r="H126" s="10" t="s">
        <v>140</v>
      </c>
      <c r="I126" s="10" t="s">
        <v>140</v>
      </c>
      <c r="J126" s="10"/>
      <c r="K126" s="10">
        <v>4</v>
      </c>
      <c r="L126" s="10">
        <v>4</v>
      </c>
      <c r="M126" s="10">
        <v>4</v>
      </c>
      <c r="N126" s="10">
        <v>3</v>
      </c>
      <c r="O126" s="10">
        <v>5</v>
      </c>
      <c r="P126" s="10">
        <v>1</v>
      </c>
      <c r="Q126" s="10">
        <v>2</v>
      </c>
      <c r="R126" s="10">
        <v>4</v>
      </c>
      <c r="S126" s="10">
        <f t="shared" si="36"/>
        <v>0.75</v>
      </c>
      <c r="T126" s="10">
        <f t="shared" si="37"/>
        <v>0.75</v>
      </c>
      <c r="U126" s="10">
        <f t="shared" si="38"/>
        <v>0.75</v>
      </c>
      <c r="V126" s="10">
        <f t="shared" si="39"/>
        <v>0.5</v>
      </c>
      <c r="W126" s="10">
        <f t="shared" si="40"/>
        <v>1</v>
      </c>
      <c r="X126" s="10">
        <f t="shared" si="41"/>
        <v>0</v>
      </c>
      <c r="Y126" s="10">
        <f t="shared" si="42"/>
        <v>0.25</v>
      </c>
      <c r="Z126" s="10">
        <f t="shared" si="43"/>
        <v>0.75</v>
      </c>
      <c r="AA126" s="10" t="str">
        <f t="shared" si="44"/>
        <v/>
      </c>
      <c r="AB126" s="10" t="str">
        <f t="shared" si="45"/>
        <v/>
      </c>
      <c r="AC126" s="10" t="str">
        <f t="shared" si="46"/>
        <v/>
      </c>
      <c r="AD126" s="10" t="str">
        <f t="shared" si="47"/>
        <v/>
      </c>
      <c r="AE126" s="10" t="str">
        <f t="shared" si="48"/>
        <v/>
      </c>
      <c r="AF126" s="10" t="str">
        <f t="shared" si="49"/>
        <v/>
      </c>
      <c r="AG126" s="10" t="str">
        <f t="shared" si="50"/>
        <v/>
      </c>
      <c r="AH126" s="10" t="str">
        <f t="shared" si="51"/>
        <v/>
      </c>
      <c r="AI126" s="10">
        <f>IF(OR(S126="",'4_BENCHMARK'!$C$4=""),"",ABS(S126-'4_BENCHMARK'!$C$4))</f>
        <v>0.25</v>
      </c>
      <c r="AJ126" s="10">
        <f>IF(OR(T126="",'4_BENCHMARK'!$C$5=""),"",ABS(T126-'4_BENCHMARK'!$C$5))</f>
        <v>0.25</v>
      </c>
      <c r="AK126" s="10">
        <f>IF(OR(U126="",'4_BENCHMARK'!$C$6=""),"",ABS(U126-'4_BENCHMARK'!$C$6))</f>
        <v>0.25</v>
      </c>
      <c r="AL126" s="10">
        <f>IF(OR(V126="",'4_BENCHMARK'!$C$7=""),"",ABS(V126-'4_BENCHMARK'!$C$7))</f>
        <v>0.5</v>
      </c>
      <c r="AM126" s="10">
        <f>IF(OR(W126="",'4_BENCHMARK'!$C$8=""),"",ABS(W126-'4_BENCHMARK'!$C$8))</f>
        <v>1</v>
      </c>
      <c r="AN126" s="10">
        <f>IF(OR(X126="",'4_BENCHMARK'!$C$9=""),"",ABS(X126-'4_BENCHMARK'!$C$9))</f>
        <v>0</v>
      </c>
      <c r="AO126" s="10">
        <f>IF(OR(Y126="",'4_BENCHMARK'!$C$10=""),"",ABS(Y126-'4_BENCHMARK'!$C$10))</f>
        <v>0.25</v>
      </c>
      <c r="AP126" s="10">
        <f>IF(OR(Z126="",'4_BENCHMARK'!$C$11=""),"",ABS(Z126-'4_BENCHMARK'!$C$11))</f>
        <v>0.25</v>
      </c>
      <c r="AQ126" s="13">
        <f t="shared" si="52"/>
        <v>0.65625</v>
      </c>
      <c r="AR126" s="10"/>
      <c r="AS126" s="10" t="s">
        <v>145</v>
      </c>
      <c r="AT126" s="13">
        <f t="shared" si="53"/>
        <v>0.708333333333333</v>
      </c>
      <c r="AU126" s="1" t="str">
        <f t="shared" si="54"/>
        <v/>
      </c>
      <c r="AV126" s="1" t="str">
        <f t="shared" si="55"/>
        <v/>
      </c>
      <c r="AW126" s="1" t="str">
        <f t="shared" si="56"/>
        <v/>
      </c>
      <c r="AX126" s="1" t="str">
        <f t="shared" si="57"/>
        <v/>
      </c>
      <c r="AY126" s="1" t="str">
        <f t="shared" si="58"/>
        <v/>
      </c>
      <c r="AZ126" s="1" t="str">
        <f t="shared" si="59"/>
        <v/>
      </c>
      <c r="BA126" s="1" t="str">
        <f t="shared" si="60"/>
        <v/>
      </c>
      <c r="BB126" s="1" t="str">
        <f t="shared" si="61"/>
        <v/>
      </c>
      <c r="BC126" s="1">
        <f t="shared" si="62"/>
        <v>4</v>
      </c>
      <c r="BD126" s="1">
        <f t="shared" si="63"/>
        <v>4</v>
      </c>
      <c r="BE126" s="1">
        <f t="shared" si="64"/>
        <v>4</v>
      </c>
      <c r="BF126" s="1">
        <f t="shared" si="65"/>
        <v>3</v>
      </c>
      <c r="BG126" s="1">
        <f t="shared" si="66"/>
        <v>5</v>
      </c>
      <c r="BH126" s="1">
        <f t="shared" si="67"/>
        <v>1</v>
      </c>
      <c r="BI126" s="1">
        <f t="shared" si="68"/>
        <v>2</v>
      </c>
      <c r="BJ126" s="1">
        <f t="shared" si="69"/>
        <v>4</v>
      </c>
    </row>
    <row r="127" ht="14.25" customHeight="1" spans="1:62">
      <c r="A127" s="10">
        <v>123</v>
      </c>
      <c r="B127" s="10" t="s">
        <v>522</v>
      </c>
      <c r="C127" s="10">
        <v>2021</v>
      </c>
      <c r="D127" s="10">
        <f t="shared" si="35"/>
        <v>2020</v>
      </c>
      <c r="E127" s="10" t="s">
        <v>136</v>
      </c>
      <c r="F127" s="35" t="s">
        <v>523</v>
      </c>
      <c r="G127" s="10" t="s">
        <v>524</v>
      </c>
      <c r="H127" s="10" t="s">
        <v>140</v>
      </c>
      <c r="I127" s="10" t="s">
        <v>140</v>
      </c>
      <c r="J127" s="10"/>
      <c r="K127" s="10">
        <v>5</v>
      </c>
      <c r="L127" s="10">
        <v>5</v>
      </c>
      <c r="M127" s="10">
        <v>5</v>
      </c>
      <c r="N127" s="10">
        <v>3</v>
      </c>
      <c r="O127" s="10">
        <v>5</v>
      </c>
      <c r="P127" s="10">
        <v>5</v>
      </c>
      <c r="Q127" s="10">
        <v>2</v>
      </c>
      <c r="R127" s="10">
        <v>5</v>
      </c>
      <c r="S127" s="10">
        <f t="shared" si="36"/>
        <v>1</v>
      </c>
      <c r="T127" s="10">
        <f t="shared" si="37"/>
        <v>1</v>
      </c>
      <c r="U127" s="10">
        <f t="shared" si="38"/>
        <v>1</v>
      </c>
      <c r="V127" s="10">
        <f t="shared" si="39"/>
        <v>0.5</v>
      </c>
      <c r="W127" s="10">
        <f t="shared" si="40"/>
        <v>1</v>
      </c>
      <c r="X127" s="10">
        <f t="shared" si="41"/>
        <v>1</v>
      </c>
      <c r="Y127" s="10">
        <f t="shared" si="42"/>
        <v>0.25</v>
      </c>
      <c r="Z127" s="10">
        <f t="shared" si="43"/>
        <v>1</v>
      </c>
      <c r="AA127" s="10" t="str">
        <f t="shared" si="44"/>
        <v/>
      </c>
      <c r="AB127" s="10" t="str">
        <f t="shared" si="45"/>
        <v/>
      </c>
      <c r="AC127" s="10" t="str">
        <f t="shared" si="46"/>
        <v/>
      </c>
      <c r="AD127" s="10" t="str">
        <f t="shared" si="47"/>
        <v/>
      </c>
      <c r="AE127" s="10" t="str">
        <f t="shared" si="48"/>
        <v/>
      </c>
      <c r="AF127" s="10" t="str">
        <f t="shared" si="49"/>
        <v/>
      </c>
      <c r="AG127" s="10" t="str">
        <f t="shared" si="50"/>
        <v/>
      </c>
      <c r="AH127" s="10" t="str">
        <f t="shared" si="51"/>
        <v/>
      </c>
      <c r="AI127" s="10">
        <f>IF(OR(S127="",'4_BENCHMARK'!$C$4=""),"",ABS(S127-'4_BENCHMARK'!$C$4))</f>
        <v>0</v>
      </c>
      <c r="AJ127" s="10">
        <f>IF(OR(T127="",'4_BENCHMARK'!$C$5=""),"",ABS(T127-'4_BENCHMARK'!$C$5))</f>
        <v>0</v>
      </c>
      <c r="AK127" s="10">
        <f>IF(OR(U127="",'4_BENCHMARK'!$C$6=""),"",ABS(U127-'4_BENCHMARK'!$C$6))</f>
        <v>0</v>
      </c>
      <c r="AL127" s="10">
        <f>IF(OR(V127="",'4_BENCHMARK'!$C$7=""),"",ABS(V127-'4_BENCHMARK'!$C$7))</f>
        <v>0.5</v>
      </c>
      <c r="AM127" s="10">
        <f>IF(OR(W127="",'4_BENCHMARK'!$C$8=""),"",ABS(W127-'4_BENCHMARK'!$C$8))</f>
        <v>1</v>
      </c>
      <c r="AN127" s="10">
        <f>IF(OR(X127="",'4_BENCHMARK'!$C$9=""),"",ABS(X127-'4_BENCHMARK'!$C$9))</f>
        <v>1</v>
      </c>
      <c r="AO127" s="10">
        <f>IF(OR(Y127="",'4_BENCHMARK'!$C$10=""),"",ABS(Y127-'4_BENCHMARK'!$C$10))</f>
        <v>0.25</v>
      </c>
      <c r="AP127" s="10">
        <f>IF(OR(Z127="",'4_BENCHMARK'!$C$11=""),"",ABS(Z127-'4_BENCHMARK'!$C$11))</f>
        <v>0</v>
      </c>
      <c r="AQ127" s="13">
        <f t="shared" si="52"/>
        <v>0.65625</v>
      </c>
      <c r="AR127" s="10"/>
      <c r="AS127" s="10" t="s">
        <v>149</v>
      </c>
      <c r="AT127" s="13">
        <f t="shared" si="53"/>
        <v>0.875</v>
      </c>
      <c r="AU127" s="1" t="str">
        <f t="shared" si="54"/>
        <v/>
      </c>
      <c r="AV127" s="1" t="str">
        <f t="shared" si="55"/>
        <v/>
      </c>
      <c r="AW127" s="1" t="str">
        <f t="shared" si="56"/>
        <v/>
      </c>
      <c r="AX127" s="1" t="str">
        <f t="shared" si="57"/>
        <v/>
      </c>
      <c r="AY127" s="1" t="str">
        <f t="shared" si="58"/>
        <v/>
      </c>
      <c r="AZ127" s="1" t="str">
        <f t="shared" si="59"/>
        <v/>
      </c>
      <c r="BA127" s="1" t="str">
        <f t="shared" si="60"/>
        <v/>
      </c>
      <c r="BB127" s="1" t="str">
        <f t="shared" si="61"/>
        <v/>
      </c>
      <c r="BC127" s="1">
        <f t="shared" si="62"/>
        <v>5</v>
      </c>
      <c r="BD127" s="1">
        <f t="shared" si="63"/>
        <v>5</v>
      </c>
      <c r="BE127" s="1">
        <f t="shared" si="64"/>
        <v>5</v>
      </c>
      <c r="BF127" s="1">
        <f t="shared" si="65"/>
        <v>3</v>
      </c>
      <c r="BG127" s="1">
        <f t="shared" si="66"/>
        <v>5</v>
      </c>
      <c r="BH127" s="1">
        <f t="shared" si="67"/>
        <v>5</v>
      </c>
      <c r="BI127" s="1">
        <f t="shared" si="68"/>
        <v>2</v>
      </c>
      <c r="BJ127" s="1">
        <f t="shared" si="69"/>
        <v>5</v>
      </c>
    </row>
    <row r="128" ht="14.25" customHeight="1" spans="1:62">
      <c r="A128" s="10">
        <v>124</v>
      </c>
      <c r="B128" s="10" t="s">
        <v>525</v>
      </c>
      <c r="C128" s="10">
        <v>1932</v>
      </c>
      <c r="D128" s="10">
        <f t="shared" si="35"/>
        <v>1930</v>
      </c>
      <c r="E128" s="10" t="s">
        <v>136</v>
      </c>
      <c r="F128" s="35" t="s">
        <v>526</v>
      </c>
      <c r="G128" s="10" t="s">
        <v>527</v>
      </c>
      <c r="H128" s="10" t="s">
        <v>139</v>
      </c>
      <c r="I128" s="10" t="s">
        <v>140</v>
      </c>
      <c r="J128" s="10"/>
      <c r="K128" s="10">
        <v>5</v>
      </c>
      <c r="L128" s="10">
        <v>5</v>
      </c>
      <c r="M128" s="10">
        <v>5</v>
      </c>
      <c r="N128" s="10">
        <v>5</v>
      </c>
      <c r="O128" s="10">
        <v>5</v>
      </c>
      <c r="P128" s="10">
        <v>5</v>
      </c>
      <c r="Q128" s="10">
        <v>2</v>
      </c>
      <c r="R128" s="10">
        <v>5</v>
      </c>
      <c r="S128" s="10">
        <f t="shared" si="36"/>
        <v>1</v>
      </c>
      <c r="T128" s="10">
        <f t="shared" si="37"/>
        <v>1</v>
      </c>
      <c r="U128" s="10">
        <f t="shared" si="38"/>
        <v>1</v>
      </c>
      <c r="V128" s="10">
        <f t="shared" si="39"/>
        <v>1</v>
      </c>
      <c r="W128" s="10">
        <f t="shared" si="40"/>
        <v>1</v>
      </c>
      <c r="X128" s="10">
        <f t="shared" si="41"/>
        <v>1</v>
      </c>
      <c r="Y128" s="10">
        <f t="shared" si="42"/>
        <v>0.25</v>
      </c>
      <c r="Z128" s="10">
        <f t="shared" si="43"/>
        <v>1</v>
      </c>
      <c r="AA128" s="10">
        <f t="shared" si="44"/>
        <v>1</v>
      </c>
      <c r="AB128" s="10">
        <f t="shared" si="45"/>
        <v>1</v>
      </c>
      <c r="AC128" s="10">
        <f t="shared" si="46"/>
        <v>1</v>
      </c>
      <c r="AD128" s="10">
        <f t="shared" si="47"/>
        <v>1</v>
      </c>
      <c r="AE128" s="10">
        <f t="shared" si="48"/>
        <v>1</v>
      </c>
      <c r="AF128" s="10">
        <f t="shared" si="49"/>
        <v>1</v>
      </c>
      <c r="AG128" s="10">
        <f t="shared" si="50"/>
        <v>0.25</v>
      </c>
      <c r="AH128" s="10">
        <f t="shared" si="51"/>
        <v>1</v>
      </c>
      <c r="AI128" s="10">
        <f>IF(OR(S128="",'4_BENCHMARK'!$C$4=""),"",ABS(S128-'4_BENCHMARK'!$C$4))</f>
        <v>0</v>
      </c>
      <c r="AJ128" s="10">
        <f>IF(OR(T128="",'4_BENCHMARK'!$C$5=""),"",ABS(T128-'4_BENCHMARK'!$C$5))</f>
        <v>0</v>
      </c>
      <c r="AK128" s="10">
        <f>IF(OR(U128="",'4_BENCHMARK'!$C$6=""),"",ABS(U128-'4_BENCHMARK'!$C$6))</f>
        <v>0</v>
      </c>
      <c r="AL128" s="10">
        <f>IF(OR(V128="",'4_BENCHMARK'!$C$7=""),"",ABS(V128-'4_BENCHMARK'!$C$7))</f>
        <v>0</v>
      </c>
      <c r="AM128" s="10">
        <f>IF(OR(W128="",'4_BENCHMARK'!$C$8=""),"",ABS(W128-'4_BENCHMARK'!$C$8))</f>
        <v>1</v>
      </c>
      <c r="AN128" s="10">
        <f>IF(OR(X128="",'4_BENCHMARK'!$C$9=""),"",ABS(X128-'4_BENCHMARK'!$C$9))</f>
        <v>1</v>
      </c>
      <c r="AO128" s="10">
        <f>IF(OR(Y128="",'4_BENCHMARK'!$C$10=""),"",ABS(Y128-'4_BENCHMARK'!$C$10))</f>
        <v>0.25</v>
      </c>
      <c r="AP128" s="10">
        <f>IF(OR(Z128="",'4_BENCHMARK'!$C$11=""),"",ABS(Z128-'4_BENCHMARK'!$C$11))</f>
        <v>0</v>
      </c>
      <c r="AQ128" s="13">
        <f t="shared" si="52"/>
        <v>0.71875</v>
      </c>
      <c r="AR128" s="10"/>
      <c r="AS128" s="10" t="s">
        <v>149</v>
      </c>
      <c r="AT128" s="13">
        <f t="shared" si="53"/>
        <v>0.958333333333333</v>
      </c>
      <c r="AU128" s="1">
        <f t="shared" si="54"/>
        <v>5</v>
      </c>
      <c r="AV128" s="1">
        <f t="shared" si="55"/>
        <v>5</v>
      </c>
      <c r="AW128" s="1">
        <f t="shared" si="56"/>
        <v>5</v>
      </c>
      <c r="AX128" s="1">
        <f t="shared" si="57"/>
        <v>5</v>
      </c>
      <c r="AY128" s="1">
        <f t="shared" si="58"/>
        <v>5</v>
      </c>
      <c r="AZ128" s="1">
        <f t="shared" si="59"/>
        <v>5</v>
      </c>
      <c r="BA128" s="1">
        <f t="shared" si="60"/>
        <v>2</v>
      </c>
      <c r="BB128" s="1">
        <f t="shared" si="61"/>
        <v>5</v>
      </c>
      <c r="BC128" s="1" t="str">
        <f t="shared" si="62"/>
        <v/>
      </c>
      <c r="BD128" s="1" t="str">
        <f t="shared" si="63"/>
        <v/>
      </c>
      <c r="BE128" s="1" t="str">
        <f t="shared" si="64"/>
        <v/>
      </c>
      <c r="BF128" s="1" t="str">
        <f t="shared" si="65"/>
        <v/>
      </c>
      <c r="BG128" s="1" t="str">
        <f t="shared" si="66"/>
        <v/>
      </c>
      <c r="BH128" s="1" t="str">
        <f t="shared" si="67"/>
        <v/>
      </c>
      <c r="BI128" s="1" t="str">
        <f t="shared" si="68"/>
        <v/>
      </c>
      <c r="BJ128" s="1" t="str">
        <f t="shared" si="69"/>
        <v/>
      </c>
    </row>
    <row r="129" ht="14.25" customHeight="1" spans="1:62">
      <c r="A129" s="10">
        <v>125</v>
      </c>
      <c r="B129" s="10" t="s">
        <v>528</v>
      </c>
      <c r="C129" s="10">
        <v>1895</v>
      </c>
      <c r="D129" s="10">
        <f t="shared" si="35"/>
        <v>1890</v>
      </c>
      <c r="E129" s="10" t="s">
        <v>136</v>
      </c>
      <c r="F129" s="35" t="s">
        <v>529</v>
      </c>
      <c r="G129" s="10" t="s">
        <v>530</v>
      </c>
      <c r="H129" s="10" t="s">
        <v>139</v>
      </c>
      <c r="I129" s="10" t="s">
        <v>140</v>
      </c>
      <c r="J129" s="10"/>
      <c r="K129" s="10">
        <v>5</v>
      </c>
      <c r="L129" s="10">
        <v>5</v>
      </c>
      <c r="M129" s="10">
        <v>5</v>
      </c>
      <c r="N129" s="10">
        <v>5</v>
      </c>
      <c r="O129" s="10">
        <v>1</v>
      </c>
      <c r="P129" s="10">
        <v>1</v>
      </c>
      <c r="Q129" s="10">
        <v>3</v>
      </c>
      <c r="R129" s="10">
        <v>5</v>
      </c>
      <c r="S129" s="10">
        <f t="shared" si="36"/>
        <v>1</v>
      </c>
      <c r="T129" s="10">
        <f t="shared" si="37"/>
        <v>1</v>
      </c>
      <c r="U129" s="10">
        <f t="shared" si="38"/>
        <v>1</v>
      </c>
      <c r="V129" s="10">
        <f t="shared" si="39"/>
        <v>1</v>
      </c>
      <c r="W129" s="10">
        <f t="shared" si="40"/>
        <v>0</v>
      </c>
      <c r="X129" s="10">
        <f t="shared" si="41"/>
        <v>0</v>
      </c>
      <c r="Y129" s="10">
        <f t="shared" si="42"/>
        <v>0.5</v>
      </c>
      <c r="Z129" s="10">
        <f t="shared" si="43"/>
        <v>1</v>
      </c>
      <c r="AA129" s="10">
        <f t="shared" si="44"/>
        <v>1</v>
      </c>
      <c r="AB129" s="10">
        <f t="shared" si="45"/>
        <v>1</v>
      </c>
      <c r="AC129" s="10">
        <f t="shared" si="46"/>
        <v>1</v>
      </c>
      <c r="AD129" s="10">
        <f t="shared" si="47"/>
        <v>1</v>
      </c>
      <c r="AE129" s="10">
        <f t="shared" si="48"/>
        <v>0</v>
      </c>
      <c r="AF129" s="10">
        <f t="shared" si="49"/>
        <v>0</v>
      </c>
      <c r="AG129" s="10">
        <f t="shared" si="50"/>
        <v>0.5</v>
      </c>
      <c r="AH129" s="10">
        <f t="shared" si="51"/>
        <v>1</v>
      </c>
      <c r="AI129" s="10">
        <f>IF(OR(S129="",'4_BENCHMARK'!$C$4=""),"",ABS(S129-'4_BENCHMARK'!$C$4))</f>
        <v>0</v>
      </c>
      <c r="AJ129" s="10">
        <f>IF(OR(T129="",'4_BENCHMARK'!$C$5=""),"",ABS(T129-'4_BENCHMARK'!$C$5))</f>
        <v>0</v>
      </c>
      <c r="AK129" s="10">
        <f>IF(OR(U129="",'4_BENCHMARK'!$C$6=""),"",ABS(U129-'4_BENCHMARK'!$C$6))</f>
        <v>0</v>
      </c>
      <c r="AL129" s="10">
        <f>IF(OR(V129="",'4_BENCHMARK'!$C$7=""),"",ABS(V129-'4_BENCHMARK'!$C$7))</f>
        <v>0</v>
      </c>
      <c r="AM129" s="10">
        <f>IF(OR(W129="",'4_BENCHMARK'!$C$8=""),"",ABS(W129-'4_BENCHMARK'!$C$8))</f>
        <v>0</v>
      </c>
      <c r="AN129" s="10">
        <f>IF(OR(X129="",'4_BENCHMARK'!$C$9=""),"",ABS(X129-'4_BENCHMARK'!$C$9))</f>
        <v>0</v>
      </c>
      <c r="AO129" s="10">
        <f>IF(OR(Y129="",'4_BENCHMARK'!$C$10=""),"",ABS(Y129-'4_BENCHMARK'!$C$10))</f>
        <v>0</v>
      </c>
      <c r="AP129" s="10">
        <f>IF(OR(Z129="",'4_BENCHMARK'!$C$11=""),"",ABS(Z129-'4_BENCHMARK'!$C$11))</f>
        <v>0</v>
      </c>
      <c r="AQ129" s="13">
        <f t="shared" si="52"/>
        <v>1</v>
      </c>
      <c r="AR129" s="10"/>
      <c r="AS129" s="10" t="s">
        <v>141</v>
      </c>
      <c r="AT129" s="13">
        <f t="shared" si="53"/>
        <v>1</v>
      </c>
      <c r="AU129" s="1">
        <f t="shared" si="54"/>
        <v>5</v>
      </c>
      <c r="AV129" s="1">
        <f t="shared" si="55"/>
        <v>5</v>
      </c>
      <c r="AW129" s="1">
        <f t="shared" si="56"/>
        <v>5</v>
      </c>
      <c r="AX129" s="1">
        <f t="shared" si="57"/>
        <v>5</v>
      </c>
      <c r="AY129" s="1">
        <f t="shared" si="58"/>
        <v>1</v>
      </c>
      <c r="AZ129" s="1">
        <f t="shared" si="59"/>
        <v>1</v>
      </c>
      <c r="BA129" s="1">
        <f t="shared" si="60"/>
        <v>3</v>
      </c>
      <c r="BB129" s="1">
        <f t="shared" si="61"/>
        <v>5</v>
      </c>
      <c r="BC129" s="1" t="str">
        <f t="shared" si="62"/>
        <v/>
      </c>
      <c r="BD129" s="1" t="str">
        <f t="shared" si="63"/>
        <v/>
      </c>
      <c r="BE129" s="1" t="str">
        <f t="shared" si="64"/>
        <v/>
      </c>
      <c r="BF129" s="1" t="str">
        <f t="shared" si="65"/>
        <v/>
      </c>
      <c r="BG129" s="1" t="str">
        <f t="shared" si="66"/>
        <v/>
      </c>
      <c r="BH129" s="1" t="str">
        <f t="shared" si="67"/>
        <v/>
      </c>
      <c r="BI129" s="1" t="str">
        <f t="shared" si="68"/>
        <v/>
      </c>
      <c r="BJ129" s="1" t="str">
        <f t="shared" si="69"/>
        <v/>
      </c>
    </row>
    <row r="130" ht="14.25" customHeight="1" spans="1:62">
      <c r="A130" s="10">
        <v>126</v>
      </c>
      <c r="B130" s="10" t="s">
        <v>467</v>
      </c>
      <c r="C130" s="10">
        <v>1970</v>
      </c>
      <c r="D130" s="10">
        <f t="shared" si="35"/>
        <v>1970</v>
      </c>
      <c r="E130" s="10" t="s">
        <v>136</v>
      </c>
      <c r="F130" s="35" t="s">
        <v>531</v>
      </c>
      <c r="G130" s="10" t="s">
        <v>532</v>
      </c>
      <c r="H130" s="10" t="s">
        <v>139</v>
      </c>
      <c r="I130" s="10" t="s">
        <v>140</v>
      </c>
      <c r="J130" s="10" t="s">
        <v>470</v>
      </c>
      <c r="K130" s="10">
        <v>5</v>
      </c>
      <c r="L130" s="10">
        <v>5</v>
      </c>
      <c r="M130" s="10">
        <v>5</v>
      </c>
      <c r="N130" s="10">
        <v>5</v>
      </c>
      <c r="O130" s="10">
        <v>5</v>
      </c>
      <c r="P130" s="10">
        <v>5</v>
      </c>
      <c r="Q130" s="10">
        <v>2</v>
      </c>
      <c r="R130" s="10">
        <v>5</v>
      </c>
      <c r="S130" s="10">
        <f t="shared" si="36"/>
        <v>1</v>
      </c>
      <c r="T130" s="10">
        <f t="shared" si="37"/>
        <v>1</v>
      </c>
      <c r="U130" s="10">
        <f t="shared" si="38"/>
        <v>1</v>
      </c>
      <c r="V130" s="10">
        <f t="shared" si="39"/>
        <v>1</v>
      </c>
      <c r="W130" s="10">
        <f t="shared" si="40"/>
        <v>1</v>
      </c>
      <c r="X130" s="10">
        <f t="shared" si="41"/>
        <v>1</v>
      </c>
      <c r="Y130" s="10">
        <f t="shared" si="42"/>
        <v>0.25</v>
      </c>
      <c r="Z130" s="10">
        <f t="shared" si="43"/>
        <v>1</v>
      </c>
      <c r="AA130" s="10" t="str">
        <f t="shared" si="44"/>
        <v/>
      </c>
      <c r="AB130" s="10" t="str">
        <f t="shared" si="45"/>
        <v/>
      </c>
      <c r="AC130" s="10" t="str">
        <f t="shared" si="46"/>
        <v/>
      </c>
      <c r="AD130" s="10" t="str">
        <f t="shared" si="47"/>
        <v/>
      </c>
      <c r="AE130" s="10" t="str">
        <f t="shared" si="48"/>
        <v/>
      </c>
      <c r="AF130" s="10" t="str">
        <f t="shared" si="49"/>
        <v/>
      </c>
      <c r="AG130" s="10" t="str">
        <f t="shared" si="50"/>
        <v/>
      </c>
      <c r="AH130" s="10" t="str">
        <f t="shared" si="51"/>
        <v/>
      </c>
      <c r="AI130" s="10">
        <f>IF(OR(S130="",'4_BENCHMARK'!$C$4=""),"",ABS(S130-'4_BENCHMARK'!$C$4))</f>
        <v>0</v>
      </c>
      <c r="AJ130" s="10">
        <f>IF(OR(T130="",'4_BENCHMARK'!$C$5=""),"",ABS(T130-'4_BENCHMARK'!$C$5))</f>
        <v>0</v>
      </c>
      <c r="AK130" s="10">
        <f>IF(OR(U130="",'4_BENCHMARK'!$C$6=""),"",ABS(U130-'4_BENCHMARK'!$C$6))</f>
        <v>0</v>
      </c>
      <c r="AL130" s="10">
        <f>IF(OR(V130="",'4_BENCHMARK'!$C$7=""),"",ABS(V130-'4_BENCHMARK'!$C$7))</f>
        <v>0</v>
      </c>
      <c r="AM130" s="10">
        <f>IF(OR(W130="",'4_BENCHMARK'!$C$8=""),"",ABS(W130-'4_BENCHMARK'!$C$8))</f>
        <v>1</v>
      </c>
      <c r="AN130" s="10">
        <f>IF(OR(X130="",'4_BENCHMARK'!$C$9=""),"",ABS(X130-'4_BENCHMARK'!$C$9))</f>
        <v>1</v>
      </c>
      <c r="AO130" s="10">
        <f>IF(OR(Y130="",'4_BENCHMARK'!$C$10=""),"",ABS(Y130-'4_BENCHMARK'!$C$10))</f>
        <v>0.25</v>
      </c>
      <c r="AP130" s="10">
        <f>IF(OR(Z130="",'4_BENCHMARK'!$C$11=""),"",ABS(Z130-'4_BENCHMARK'!$C$11))</f>
        <v>0</v>
      </c>
      <c r="AQ130" s="13">
        <f t="shared" si="52"/>
        <v>0.71875</v>
      </c>
      <c r="AR130" s="10"/>
      <c r="AS130" s="10" t="s">
        <v>149</v>
      </c>
      <c r="AT130" s="13">
        <f t="shared" si="53"/>
        <v>0.958333333333333</v>
      </c>
      <c r="AU130" s="1" t="str">
        <f t="shared" si="54"/>
        <v/>
      </c>
      <c r="AV130" s="1" t="str">
        <f t="shared" si="55"/>
        <v/>
      </c>
      <c r="AW130" s="1" t="str">
        <f t="shared" si="56"/>
        <v/>
      </c>
      <c r="AX130" s="1" t="str">
        <f t="shared" si="57"/>
        <v/>
      </c>
      <c r="AY130" s="1" t="str">
        <f t="shared" si="58"/>
        <v/>
      </c>
      <c r="AZ130" s="1" t="str">
        <f t="shared" si="59"/>
        <v/>
      </c>
      <c r="BA130" s="1" t="str">
        <f t="shared" si="60"/>
        <v/>
      </c>
      <c r="BB130" s="1" t="str">
        <f t="shared" si="61"/>
        <v/>
      </c>
      <c r="BC130" s="1" t="str">
        <f t="shared" si="62"/>
        <v/>
      </c>
      <c r="BD130" s="1" t="str">
        <f t="shared" si="63"/>
        <v/>
      </c>
      <c r="BE130" s="1" t="str">
        <f t="shared" si="64"/>
        <v/>
      </c>
      <c r="BF130" s="1" t="str">
        <f t="shared" si="65"/>
        <v/>
      </c>
      <c r="BG130" s="1" t="str">
        <f t="shared" si="66"/>
        <v/>
      </c>
      <c r="BH130" s="1" t="str">
        <f t="shared" si="67"/>
        <v/>
      </c>
      <c r="BI130" s="1" t="str">
        <f t="shared" si="68"/>
        <v/>
      </c>
      <c r="BJ130" s="1" t="str">
        <f t="shared" si="69"/>
        <v/>
      </c>
    </row>
    <row r="131" ht="14.25" customHeight="1" spans="1:62">
      <c r="A131" s="10">
        <v>127</v>
      </c>
      <c r="B131" s="10" t="s">
        <v>533</v>
      </c>
      <c r="C131" s="10">
        <v>2017</v>
      </c>
      <c r="D131" s="10">
        <f t="shared" si="35"/>
        <v>2010</v>
      </c>
      <c r="E131" s="10" t="s">
        <v>136</v>
      </c>
      <c r="F131" s="35" t="s">
        <v>534</v>
      </c>
      <c r="G131" s="10" t="s">
        <v>535</v>
      </c>
      <c r="H131" s="10" t="s">
        <v>140</v>
      </c>
      <c r="I131" s="10" t="s">
        <v>140</v>
      </c>
      <c r="J131" s="10"/>
      <c r="K131" s="10">
        <v>2</v>
      </c>
      <c r="L131" s="10">
        <v>3</v>
      </c>
      <c r="M131" s="10">
        <v>4</v>
      </c>
      <c r="N131" s="10">
        <v>5</v>
      </c>
      <c r="O131" s="10">
        <v>5</v>
      </c>
      <c r="P131" s="10">
        <v>5</v>
      </c>
      <c r="Q131" s="10">
        <v>2</v>
      </c>
      <c r="R131" s="10">
        <v>5</v>
      </c>
      <c r="S131" s="10">
        <f t="shared" si="36"/>
        <v>0.25</v>
      </c>
      <c r="T131" s="10">
        <f t="shared" si="37"/>
        <v>0.5</v>
      </c>
      <c r="U131" s="10">
        <f t="shared" si="38"/>
        <v>0.75</v>
      </c>
      <c r="V131" s="10">
        <f t="shared" si="39"/>
        <v>1</v>
      </c>
      <c r="W131" s="10">
        <f t="shared" si="40"/>
        <v>1</v>
      </c>
      <c r="X131" s="10">
        <f t="shared" si="41"/>
        <v>1</v>
      </c>
      <c r="Y131" s="10">
        <f t="shared" si="42"/>
        <v>0.25</v>
      </c>
      <c r="Z131" s="10">
        <f t="shared" si="43"/>
        <v>1</v>
      </c>
      <c r="AA131" s="10" t="str">
        <f t="shared" si="44"/>
        <v/>
      </c>
      <c r="AB131" s="10" t="str">
        <f t="shared" si="45"/>
        <v/>
      </c>
      <c r="AC131" s="10" t="str">
        <f t="shared" si="46"/>
        <v/>
      </c>
      <c r="AD131" s="10" t="str">
        <f t="shared" si="47"/>
        <v/>
      </c>
      <c r="AE131" s="10" t="str">
        <f t="shared" si="48"/>
        <v/>
      </c>
      <c r="AF131" s="10" t="str">
        <f t="shared" si="49"/>
        <v/>
      </c>
      <c r="AG131" s="10" t="str">
        <f t="shared" si="50"/>
        <v/>
      </c>
      <c r="AH131" s="10" t="str">
        <f t="shared" si="51"/>
        <v/>
      </c>
      <c r="AI131" s="10">
        <f>IF(OR(S131="",'4_BENCHMARK'!$C$4=""),"",ABS(S131-'4_BENCHMARK'!$C$4))</f>
        <v>0.75</v>
      </c>
      <c r="AJ131" s="10">
        <f>IF(OR(T131="",'4_BENCHMARK'!$C$5=""),"",ABS(T131-'4_BENCHMARK'!$C$5))</f>
        <v>0.5</v>
      </c>
      <c r="AK131" s="10">
        <f>IF(OR(U131="",'4_BENCHMARK'!$C$6=""),"",ABS(U131-'4_BENCHMARK'!$C$6))</f>
        <v>0.25</v>
      </c>
      <c r="AL131" s="10">
        <f>IF(OR(V131="",'4_BENCHMARK'!$C$7=""),"",ABS(V131-'4_BENCHMARK'!$C$7))</f>
        <v>0</v>
      </c>
      <c r="AM131" s="10">
        <f>IF(OR(W131="",'4_BENCHMARK'!$C$8=""),"",ABS(W131-'4_BENCHMARK'!$C$8))</f>
        <v>1</v>
      </c>
      <c r="AN131" s="10">
        <f>IF(OR(X131="",'4_BENCHMARK'!$C$9=""),"",ABS(X131-'4_BENCHMARK'!$C$9))</f>
        <v>1</v>
      </c>
      <c r="AO131" s="10">
        <f>IF(OR(Y131="",'4_BENCHMARK'!$C$10=""),"",ABS(Y131-'4_BENCHMARK'!$C$10))</f>
        <v>0.25</v>
      </c>
      <c r="AP131" s="10">
        <f>IF(OR(Z131="",'4_BENCHMARK'!$C$11=""),"",ABS(Z131-'4_BENCHMARK'!$C$11))</f>
        <v>0</v>
      </c>
      <c r="AQ131" s="13">
        <f t="shared" si="52"/>
        <v>0.53125</v>
      </c>
      <c r="AR131" s="10"/>
      <c r="AS131" s="10" t="s">
        <v>145</v>
      </c>
      <c r="AT131" s="13">
        <f t="shared" si="53"/>
        <v>0.708333333333333</v>
      </c>
      <c r="AU131" s="1" t="str">
        <f t="shared" si="54"/>
        <v/>
      </c>
      <c r="AV131" s="1" t="str">
        <f t="shared" si="55"/>
        <v/>
      </c>
      <c r="AW131" s="1" t="str">
        <f t="shared" si="56"/>
        <v/>
      </c>
      <c r="AX131" s="1" t="str">
        <f t="shared" si="57"/>
        <v/>
      </c>
      <c r="AY131" s="1" t="str">
        <f t="shared" si="58"/>
        <v/>
      </c>
      <c r="AZ131" s="1" t="str">
        <f t="shared" si="59"/>
        <v/>
      </c>
      <c r="BA131" s="1" t="str">
        <f t="shared" si="60"/>
        <v/>
      </c>
      <c r="BB131" s="1" t="str">
        <f t="shared" si="61"/>
        <v/>
      </c>
      <c r="BC131" s="1">
        <f t="shared" si="62"/>
        <v>2</v>
      </c>
      <c r="BD131" s="1">
        <f t="shared" si="63"/>
        <v>3</v>
      </c>
      <c r="BE131" s="1">
        <f t="shared" si="64"/>
        <v>4</v>
      </c>
      <c r="BF131" s="1">
        <f t="shared" si="65"/>
        <v>5</v>
      </c>
      <c r="BG131" s="1">
        <f t="shared" si="66"/>
        <v>5</v>
      </c>
      <c r="BH131" s="1">
        <f t="shared" si="67"/>
        <v>5</v>
      </c>
      <c r="BI131" s="1">
        <f t="shared" si="68"/>
        <v>2</v>
      </c>
      <c r="BJ131" s="1">
        <f t="shared" si="69"/>
        <v>5</v>
      </c>
    </row>
    <row r="132" ht="14.25" customHeight="1" spans="1:62">
      <c r="A132" s="10">
        <v>128</v>
      </c>
      <c r="B132" s="10" t="s">
        <v>536</v>
      </c>
      <c r="C132" s="10">
        <v>2020</v>
      </c>
      <c r="D132" s="10">
        <f t="shared" si="35"/>
        <v>2020</v>
      </c>
      <c r="E132" s="10" t="s">
        <v>136</v>
      </c>
      <c r="F132" s="35" t="s">
        <v>537</v>
      </c>
      <c r="G132" s="10" t="s">
        <v>538</v>
      </c>
      <c r="H132" s="10" t="s">
        <v>140</v>
      </c>
      <c r="I132" s="10" t="s">
        <v>140</v>
      </c>
      <c r="J132" s="10"/>
      <c r="K132" s="10">
        <v>5</v>
      </c>
      <c r="L132" s="10">
        <v>5</v>
      </c>
      <c r="M132" s="10">
        <v>5</v>
      </c>
      <c r="N132" s="10">
        <v>5</v>
      </c>
      <c r="O132" s="10">
        <v>5</v>
      </c>
      <c r="P132" s="10">
        <v>5</v>
      </c>
      <c r="Q132" s="10">
        <v>2</v>
      </c>
      <c r="R132" s="10">
        <v>5</v>
      </c>
      <c r="S132" s="10">
        <f t="shared" si="36"/>
        <v>1</v>
      </c>
      <c r="T132" s="10">
        <f t="shared" si="37"/>
        <v>1</v>
      </c>
      <c r="U132" s="10">
        <f t="shared" si="38"/>
        <v>1</v>
      </c>
      <c r="V132" s="10">
        <f t="shared" si="39"/>
        <v>1</v>
      </c>
      <c r="W132" s="10">
        <f t="shared" si="40"/>
        <v>1</v>
      </c>
      <c r="X132" s="10">
        <f t="shared" si="41"/>
        <v>1</v>
      </c>
      <c r="Y132" s="10">
        <f t="shared" si="42"/>
        <v>0.25</v>
      </c>
      <c r="Z132" s="10">
        <f t="shared" si="43"/>
        <v>1</v>
      </c>
      <c r="AA132" s="10" t="str">
        <f t="shared" si="44"/>
        <v/>
      </c>
      <c r="AB132" s="10" t="str">
        <f t="shared" si="45"/>
        <v/>
      </c>
      <c r="AC132" s="10" t="str">
        <f t="shared" si="46"/>
        <v/>
      </c>
      <c r="AD132" s="10" t="str">
        <f t="shared" si="47"/>
        <v/>
      </c>
      <c r="AE132" s="10" t="str">
        <f t="shared" si="48"/>
        <v/>
      </c>
      <c r="AF132" s="10" t="str">
        <f t="shared" si="49"/>
        <v/>
      </c>
      <c r="AG132" s="10" t="str">
        <f t="shared" si="50"/>
        <v/>
      </c>
      <c r="AH132" s="10" t="str">
        <f t="shared" si="51"/>
        <v/>
      </c>
      <c r="AI132" s="10">
        <f>IF(OR(S132="",'4_BENCHMARK'!$C$4=""),"",ABS(S132-'4_BENCHMARK'!$C$4))</f>
        <v>0</v>
      </c>
      <c r="AJ132" s="10">
        <f>IF(OR(T132="",'4_BENCHMARK'!$C$5=""),"",ABS(T132-'4_BENCHMARK'!$C$5))</f>
        <v>0</v>
      </c>
      <c r="AK132" s="10">
        <f>IF(OR(U132="",'4_BENCHMARK'!$C$6=""),"",ABS(U132-'4_BENCHMARK'!$C$6))</f>
        <v>0</v>
      </c>
      <c r="AL132" s="10">
        <f>IF(OR(V132="",'4_BENCHMARK'!$C$7=""),"",ABS(V132-'4_BENCHMARK'!$C$7))</f>
        <v>0</v>
      </c>
      <c r="AM132" s="10">
        <f>IF(OR(W132="",'4_BENCHMARK'!$C$8=""),"",ABS(W132-'4_BENCHMARK'!$C$8))</f>
        <v>1</v>
      </c>
      <c r="AN132" s="10">
        <f>IF(OR(X132="",'4_BENCHMARK'!$C$9=""),"",ABS(X132-'4_BENCHMARK'!$C$9))</f>
        <v>1</v>
      </c>
      <c r="AO132" s="10">
        <f>IF(OR(Y132="",'4_BENCHMARK'!$C$10=""),"",ABS(Y132-'4_BENCHMARK'!$C$10))</f>
        <v>0.25</v>
      </c>
      <c r="AP132" s="10">
        <f>IF(OR(Z132="",'4_BENCHMARK'!$C$11=""),"",ABS(Z132-'4_BENCHMARK'!$C$11))</f>
        <v>0</v>
      </c>
      <c r="AQ132" s="13">
        <f t="shared" si="52"/>
        <v>0.71875</v>
      </c>
      <c r="AR132" s="10"/>
      <c r="AS132" s="10" t="s">
        <v>141</v>
      </c>
      <c r="AT132" s="13">
        <f t="shared" si="53"/>
        <v>0.958333333333333</v>
      </c>
      <c r="AU132" s="1" t="str">
        <f t="shared" si="54"/>
        <v/>
      </c>
      <c r="AV132" s="1" t="str">
        <f t="shared" si="55"/>
        <v/>
      </c>
      <c r="AW132" s="1" t="str">
        <f t="shared" si="56"/>
        <v/>
      </c>
      <c r="AX132" s="1" t="str">
        <f t="shared" si="57"/>
        <v/>
      </c>
      <c r="AY132" s="1" t="str">
        <f t="shared" si="58"/>
        <v/>
      </c>
      <c r="AZ132" s="1" t="str">
        <f t="shared" si="59"/>
        <v/>
      </c>
      <c r="BA132" s="1" t="str">
        <f t="shared" si="60"/>
        <v/>
      </c>
      <c r="BB132" s="1" t="str">
        <f t="shared" si="61"/>
        <v/>
      </c>
      <c r="BC132" s="1">
        <f t="shared" si="62"/>
        <v>5</v>
      </c>
      <c r="BD132" s="1">
        <f t="shared" si="63"/>
        <v>5</v>
      </c>
      <c r="BE132" s="1">
        <f t="shared" si="64"/>
        <v>5</v>
      </c>
      <c r="BF132" s="1">
        <f t="shared" si="65"/>
        <v>5</v>
      </c>
      <c r="BG132" s="1">
        <f t="shared" si="66"/>
        <v>5</v>
      </c>
      <c r="BH132" s="1">
        <f t="shared" si="67"/>
        <v>5</v>
      </c>
      <c r="BI132" s="1">
        <f t="shared" si="68"/>
        <v>2</v>
      </c>
      <c r="BJ132" s="1">
        <f t="shared" si="69"/>
        <v>5</v>
      </c>
    </row>
    <row r="133" ht="14.25" customHeight="1" spans="1:62">
      <c r="A133" s="10">
        <v>129</v>
      </c>
      <c r="B133" s="10" t="s">
        <v>539</v>
      </c>
      <c r="C133" s="10">
        <v>2019</v>
      </c>
      <c r="D133" s="10">
        <f t="shared" ref="D133:D196" si="70">IF(C133="","",FLOOR(C133,10))</f>
        <v>2010</v>
      </c>
      <c r="E133" s="10" t="s">
        <v>136</v>
      </c>
      <c r="F133" s="35" t="s">
        <v>540</v>
      </c>
      <c r="G133" s="10" t="s">
        <v>541</v>
      </c>
      <c r="H133" s="10" t="s">
        <v>140</v>
      </c>
      <c r="I133" s="10" t="s">
        <v>140</v>
      </c>
      <c r="J133" s="10"/>
      <c r="K133" s="10">
        <v>3</v>
      </c>
      <c r="L133" s="10">
        <v>3</v>
      </c>
      <c r="M133" s="10">
        <v>4</v>
      </c>
      <c r="N133" s="10">
        <v>3</v>
      </c>
      <c r="O133" s="10">
        <v>5</v>
      </c>
      <c r="P133" s="10">
        <v>5</v>
      </c>
      <c r="Q133" s="10">
        <v>1</v>
      </c>
      <c r="R133" s="10">
        <v>4</v>
      </c>
      <c r="S133" s="10">
        <f t="shared" ref="S133:S196" si="71">IF(K133="","",(K133-1)/4)</f>
        <v>0.5</v>
      </c>
      <c r="T133" s="10">
        <f t="shared" ref="T133:T196" si="72">IF(L133="","",(L133-1)/4)</f>
        <v>0.5</v>
      </c>
      <c r="U133" s="10">
        <f t="shared" ref="U133:U196" si="73">IF(M133="","",(M133-1)/4)</f>
        <v>0.75</v>
      </c>
      <c r="V133" s="10">
        <f t="shared" ref="V133:V196" si="74">IF(N133="","",(N133-1)/4)</f>
        <v>0.5</v>
      </c>
      <c r="W133" s="10">
        <f t="shared" ref="W133:W196" si="75">IF(O133="","",(O133-1)/4)</f>
        <v>1</v>
      </c>
      <c r="X133" s="10">
        <f t="shared" ref="X133:X196" si="76">IF(P133="","",(P133-1)/4)</f>
        <v>1</v>
      </c>
      <c r="Y133" s="10">
        <f t="shared" ref="Y133:Y196" si="77">IF(Q133="","",(Q133-1)/4)</f>
        <v>0</v>
      </c>
      <c r="Z133" s="10">
        <f t="shared" ref="Z133:Z196" si="78">IF(R133="","",(R133-1)/4)</f>
        <v>0.75</v>
      </c>
      <c r="AA133" s="10" t="str">
        <f t="shared" ref="AA133:AA196" si="79">IF(AND(S133&lt;&gt;"",C133&lt;=1949,I133="yes"),S133,"")</f>
        <v/>
      </c>
      <c r="AB133" s="10" t="str">
        <f t="shared" ref="AB133:AB196" si="80">IF(AND(T133&lt;&gt;"",C133&lt;=1949,I133="yes"),T133,"")</f>
        <v/>
      </c>
      <c r="AC133" s="10" t="str">
        <f t="shared" ref="AC133:AC196" si="81">IF(AND(U133&lt;&gt;"",C133&lt;=1949,I133="yes"),U133,"")</f>
        <v/>
      </c>
      <c r="AD133" s="10" t="str">
        <f t="shared" ref="AD133:AD196" si="82">IF(AND(V133&lt;&gt;"",C133&lt;=1949,I133="yes"),V133,"")</f>
        <v/>
      </c>
      <c r="AE133" s="10" t="str">
        <f t="shared" ref="AE133:AE196" si="83">IF(AND(W133&lt;&gt;"",C133&lt;=1949,I133="yes"),W133,"")</f>
        <v/>
      </c>
      <c r="AF133" s="10" t="str">
        <f t="shared" ref="AF133:AF196" si="84">IF(AND(X133&lt;&gt;"",C133&lt;=1949,I133="yes"),X133,"")</f>
        <v/>
      </c>
      <c r="AG133" s="10" t="str">
        <f t="shared" ref="AG133:AG196" si="85">IF(AND(Y133&lt;&gt;"",C133&lt;=1949,I133="yes"),Y133,"")</f>
        <v/>
      </c>
      <c r="AH133" s="10" t="str">
        <f t="shared" ref="AH133:AH196" si="86">IF(AND(Z133&lt;&gt;"",C133&lt;=1949,I133="yes"),Z133,"")</f>
        <v/>
      </c>
      <c r="AI133" s="10">
        <f>IF(OR(S133="",'4_BENCHMARK'!$C$4=""),"",ABS(S133-'4_BENCHMARK'!$C$4))</f>
        <v>0.5</v>
      </c>
      <c r="AJ133" s="10">
        <f>IF(OR(T133="",'4_BENCHMARK'!$C$5=""),"",ABS(T133-'4_BENCHMARK'!$C$5))</f>
        <v>0.5</v>
      </c>
      <c r="AK133" s="10">
        <f>IF(OR(U133="",'4_BENCHMARK'!$C$6=""),"",ABS(U133-'4_BENCHMARK'!$C$6))</f>
        <v>0.25</v>
      </c>
      <c r="AL133" s="10">
        <f>IF(OR(V133="",'4_BENCHMARK'!$C$7=""),"",ABS(V133-'4_BENCHMARK'!$C$7))</f>
        <v>0.5</v>
      </c>
      <c r="AM133" s="10">
        <f>IF(OR(W133="",'4_BENCHMARK'!$C$8=""),"",ABS(W133-'4_BENCHMARK'!$C$8))</f>
        <v>1</v>
      </c>
      <c r="AN133" s="10">
        <f>IF(OR(X133="",'4_BENCHMARK'!$C$9=""),"",ABS(X133-'4_BENCHMARK'!$C$9))</f>
        <v>1</v>
      </c>
      <c r="AO133" s="10">
        <f>IF(OR(Y133="",'4_BENCHMARK'!$C$10=""),"",ABS(Y133-'4_BENCHMARK'!$C$10))</f>
        <v>0.5</v>
      </c>
      <c r="AP133" s="10">
        <f>IF(OR(Z133="",'4_BENCHMARK'!$C$11=""),"",ABS(Z133-'4_BENCHMARK'!$C$11))</f>
        <v>0.25</v>
      </c>
      <c r="AQ133" s="13">
        <f t="shared" ref="AQ133:AQ196" si="87">IF(COUNT(AI133:AP133)&lt;8,"",1-AVERAGE(AI133:AP133))</f>
        <v>0.4375</v>
      </c>
      <c r="AR133" s="10"/>
      <c r="AS133" s="10" t="s">
        <v>145</v>
      </c>
      <c r="AT133" s="13">
        <f t="shared" ref="AT133:AT196" si="88">IF(COUNT(AI133:AL133,AO133:AP133)&lt;6,"",1-AVERAGE(AI133:AL133,AO133:AP133))</f>
        <v>0.583333333333333</v>
      </c>
      <c r="AU133" s="1" t="str">
        <f t="shared" ref="AU133:AU196" si="89">IF(AND($I133="yes",$C133&lt;=1949,K133&lt;&gt;""),K133,"")</f>
        <v/>
      </c>
      <c r="AV133" s="1" t="str">
        <f t="shared" ref="AV133:AV196" si="90">IF(AND($I133="yes",$C133&lt;=1949,L133&lt;&gt;""),L133,"")</f>
        <v/>
      </c>
      <c r="AW133" s="1" t="str">
        <f t="shared" ref="AW133:AW196" si="91">IF(AND($I133="yes",$C133&lt;=1949,M133&lt;&gt;""),M133,"")</f>
        <v/>
      </c>
      <c r="AX133" s="1" t="str">
        <f t="shared" ref="AX133:AX196" si="92">IF(AND($I133="yes",$C133&lt;=1949,N133&lt;&gt;""),N133,"")</f>
        <v/>
      </c>
      <c r="AY133" s="1" t="str">
        <f t="shared" ref="AY133:AY196" si="93">IF(AND($I133="yes",$C133&lt;=1949,O133&lt;&gt;""),O133,"")</f>
        <v/>
      </c>
      <c r="AZ133" s="1" t="str">
        <f t="shared" ref="AZ133:AZ196" si="94">IF(AND($I133="yes",$C133&lt;=1949,P133&lt;&gt;""),P133,"")</f>
        <v/>
      </c>
      <c r="BA133" s="1" t="str">
        <f t="shared" ref="BA133:BA196" si="95">IF(AND($I133="yes",$C133&lt;=1949,Q133&lt;&gt;""),Q133,"")</f>
        <v/>
      </c>
      <c r="BB133" s="1" t="str">
        <f t="shared" ref="BB133:BB196" si="96">IF(AND($I133="yes",$C133&lt;=1949,R133&lt;&gt;""),R133,"")</f>
        <v/>
      </c>
      <c r="BC133" s="1">
        <f t="shared" ref="BC133:BC196" si="97">IF(AND($I133="yes",$C133&gt;=2000,K133&lt;&gt;""),K133,"")</f>
        <v>3</v>
      </c>
      <c r="BD133" s="1">
        <f t="shared" ref="BD133:BD196" si="98">IF(AND($I133="yes",$C133&gt;=2000,L133&lt;&gt;""),L133,"")</f>
        <v>3</v>
      </c>
      <c r="BE133" s="1">
        <f t="shared" ref="BE133:BE196" si="99">IF(AND($I133="yes",$C133&gt;=2000,M133&lt;&gt;""),M133,"")</f>
        <v>4</v>
      </c>
      <c r="BF133" s="1">
        <f t="shared" ref="BF133:BF196" si="100">IF(AND($I133="yes",$C133&gt;=2000,N133&lt;&gt;""),N133,"")</f>
        <v>3</v>
      </c>
      <c r="BG133" s="1">
        <f t="shared" ref="BG133:BG196" si="101">IF(AND($I133="yes",$C133&gt;=2000,O133&lt;&gt;""),O133,"")</f>
        <v>5</v>
      </c>
      <c r="BH133" s="1">
        <f t="shared" ref="BH133:BH196" si="102">IF(AND($I133="yes",$C133&gt;=2000,P133&lt;&gt;""),P133,"")</f>
        <v>5</v>
      </c>
      <c r="BI133" s="1">
        <f t="shared" ref="BI133:BI196" si="103">IF(AND($I133="yes",$C133&gt;=2000,Q133&lt;&gt;""),Q133,"")</f>
        <v>1</v>
      </c>
      <c r="BJ133" s="1">
        <f t="shared" ref="BJ133:BJ196" si="104">IF(AND($I133="yes",$C133&gt;=2000,R133&lt;&gt;""),R133,"")</f>
        <v>4</v>
      </c>
    </row>
    <row r="134" ht="14.25" customHeight="1" spans="1:62">
      <c r="A134" s="10">
        <v>130</v>
      </c>
      <c r="B134" s="10" t="s">
        <v>542</v>
      </c>
      <c r="C134" s="10">
        <v>1940</v>
      </c>
      <c r="D134" s="10">
        <f t="shared" si="70"/>
        <v>1940</v>
      </c>
      <c r="E134" s="10" t="s">
        <v>136</v>
      </c>
      <c r="F134" s="35" t="s">
        <v>543</v>
      </c>
      <c r="G134" s="10" t="s">
        <v>544</v>
      </c>
      <c r="H134" s="10" t="s">
        <v>139</v>
      </c>
      <c r="I134" s="10" t="s">
        <v>140</v>
      </c>
      <c r="J134" s="10" t="s">
        <v>545</v>
      </c>
      <c r="K134" s="10">
        <v>5</v>
      </c>
      <c r="L134" s="10">
        <v>5</v>
      </c>
      <c r="M134" s="10">
        <v>5</v>
      </c>
      <c r="N134" s="10">
        <v>5</v>
      </c>
      <c r="O134" s="10">
        <v>5</v>
      </c>
      <c r="P134" s="10">
        <v>5</v>
      </c>
      <c r="Q134" s="10">
        <v>3</v>
      </c>
      <c r="R134" s="10">
        <v>5</v>
      </c>
      <c r="S134" s="10">
        <f t="shared" si="71"/>
        <v>1</v>
      </c>
      <c r="T134" s="10">
        <f t="shared" si="72"/>
        <v>1</v>
      </c>
      <c r="U134" s="10">
        <f t="shared" si="73"/>
        <v>1</v>
      </c>
      <c r="V134" s="10">
        <f t="shared" si="74"/>
        <v>1</v>
      </c>
      <c r="W134" s="10">
        <f t="shared" si="75"/>
        <v>1</v>
      </c>
      <c r="X134" s="10">
        <f t="shared" si="76"/>
        <v>1</v>
      </c>
      <c r="Y134" s="10">
        <f t="shared" si="77"/>
        <v>0.5</v>
      </c>
      <c r="Z134" s="10">
        <f t="shared" si="78"/>
        <v>1</v>
      </c>
      <c r="AA134" s="10">
        <f t="shared" si="79"/>
        <v>1</v>
      </c>
      <c r="AB134" s="10">
        <f t="shared" si="80"/>
        <v>1</v>
      </c>
      <c r="AC134" s="10">
        <f t="shared" si="81"/>
        <v>1</v>
      </c>
      <c r="AD134" s="10">
        <f t="shared" si="82"/>
        <v>1</v>
      </c>
      <c r="AE134" s="10">
        <f t="shared" si="83"/>
        <v>1</v>
      </c>
      <c r="AF134" s="10">
        <f t="shared" si="84"/>
        <v>1</v>
      </c>
      <c r="AG134" s="10">
        <f t="shared" si="85"/>
        <v>0.5</v>
      </c>
      <c r="AH134" s="10">
        <f t="shared" si="86"/>
        <v>1</v>
      </c>
      <c r="AI134" s="10">
        <f>IF(OR(S134="",'4_BENCHMARK'!$C$4=""),"",ABS(S134-'4_BENCHMARK'!$C$4))</f>
        <v>0</v>
      </c>
      <c r="AJ134" s="10">
        <f>IF(OR(T134="",'4_BENCHMARK'!$C$5=""),"",ABS(T134-'4_BENCHMARK'!$C$5))</f>
        <v>0</v>
      </c>
      <c r="AK134" s="10">
        <f>IF(OR(U134="",'4_BENCHMARK'!$C$6=""),"",ABS(U134-'4_BENCHMARK'!$C$6))</f>
        <v>0</v>
      </c>
      <c r="AL134" s="10">
        <f>IF(OR(V134="",'4_BENCHMARK'!$C$7=""),"",ABS(V134-'4_BENCHMARK'!$C$7))</f>
        <v>0</v>
      </c>
      <c r="AM134" s="10">
        <f>IF(OR(W134="",'4_BENCHMARK'!$C$8=""),"",ABS(W134-'4_BENCHMARK'!$C$8))</f>
        <v>1</v>
      </c>
      <c r="AN134" s="10">
        <f>IF(OR(X134="",'4_BENCHMARK'!$C$9=""),"",ABS(X134-'4_BENCHMARK'!$C$9))</f>
        <v>1</v>
      </c>
      <c r="AO134" s="10">
        <f>IF(OR(Y134="",'4_BENCHMARK'!$C$10=""),"",ABS(Y134-'4_BENCHMARK'!$C$10))</f>
        <v>0</v>
      </c>
      <c r="AP134" s="10">
        <f>IF(OR(Z134="",'4_BENCHMARK'!$C$11=""),"",ABS(Z134-'4_BENCHMARK'!$C$11))</f>
        <v>0</v>
      </c>
      <c r="AQ134" s="13">
        <f t="shared" si="87"/>
        <v>0.75</v>
      </c>
      <c r="AR134" s="10" t="s">
        <v>140</v>
      </c>
      <c r="AS134" s="10" t="s">
        <v>141</v>
      </c>
      <c r="AT134" s="13">
        <f t="shared" si="88"/>
        <v>1</v>
      </c>
      <c r="AU134" s="1">
        <f t="shared" si="89"/>
        <v>5</v>
      </c>
      <c r="AV134" s="1">
        <f t="shared" si="90"/>
        <v>5</v>
      </c>
      <c r="AW134" s="1">
        <f t="shared" si="91"/>
        <v>5</v>
      </c>
      <c r="AX134" s="1">
        <f t="shared" si="92"/>
        <v>5</v>
      </c>
      <c r="AY134" s="1">
        <f t="shared" si="93"/>
        <v>5</v>
      </c>
      <c r="AZ134" s="1">
        <f t="shared" si="94"/>
        <v>5</v>
      </c>
      <c r="BA134" s="1">
        <f t="shared" si="95"/>
        <v>3</v>
      </c>
      <c r="BB134" s="1">
        <f t="shared" si="96"/>
        <v>5</v>
      </c>
      <c r="BC134" s="1" t="str">
        <f t="shared" si="97"/>
        <v/>
      </c>
      <c r="BD134" s="1" t="str">
        <f t="shared" si="98"/>
        <v/>
      </c>
      <c r="BE134" s="1" t="str">
        <f t="shared" si="99"/>
        <v/>
      </c>
      <c r="BF134" s="1" t="str">
        <f t="shared" si="100"/>
        <v/>
      </c>
      <c r="BG134" s="1" t="str">
        <f t="shared" si="101"/>
        <v/>
      </c>
      <c r="BH134" s="1" t="str">
        <f t="shared" si="102"/>
        <v/>
      </c>
      <c r="BI134" s="1" t="str">
        <f t="shared" si="103"/>
        <v/>
      </c>
      <c r="BJ134" s="1" t="str">
        <f t="shared" si="104"/>
        <v/>
      </c>
    </row>
    <row r="135" ht="14.25" customHeight="1" spans="1:62">
      <c r="A135" s="10">
        <v>131</v>
      </c>
      <c r="B135" s="10" t="s">
        <v>546</v>
      </c>
      <c r="C135" s="10">
        <v>1860</v>
      </c>
      <c r="D135" s="10">
        <f t="shared" si="70"/>
        <v>1860</v>
      </c>
      <c r="E135" s="10" t="s">
        <v>136</v>
      </c>
      <c r="F135" s="35" t="s">
        <v>547</v>
      </c>
      <c r="G135" s="10" t="s">
        <v>548</v>
      </c>
      <c r="H135" s="10" t="s">
        <v>140</v>
      </c>
      <c r="I135" s="10" t="s">
        <v>140</v>
      </c>
      <c r="J135" s="10" t="s">
        <v>549</v>
      </c>
      <c r="K135" s="10">
        <v>5</v>
      </c>
      <c r="L135" s="10">
        <v>5</v>
      </c>
      <c r="M135" s="10">
        <v>5</v>
      </c>
      <c r="N135" s="10">
        <v>5</v>
      </c>
      <c r="O135" s="10">
        <v>1</v>
      </c>
      <c r="P135" s="10">
        <v>1</v>
      </c>
      <c r="Q135" s="10">
        <v>3</v>
      </c>
      <c r="R135" s="10">
        <v>5</v>
      </c>
      <c r="S135" s="10">
        <f t="shared" si="71"/>
        <v>1</v>
      </c>
      <c r="T135" s="10">
        <f t="shared" si="72"/>
        <v>1</v>
      </c>
      <c r="U135" s="10">
        <f t="shared" si="73"/>
        <v>1</v>
      </c>
      <c r="V135" s="10">
        <f t="shared" si="74"/>
        <v>1</v>
      </c>
      <c r="W135" s="10">
        <f t="shared" si="75"/>
        <v>0</v>
      </c>
      <c r="X135" s="10">
        <f t="shared" si="76"/>
        <v>0</v>
      </c>
      <c r="Y135" s="10">
        <f t="shared" si="77"/>
        <v>0.5</v>
      </c>
      <c r="Z135" s="10">
        <f t="shared" si="78"/>
        <v>1</v>
      </c>
      <c r="AA135" s="10">
        <f t="shared" si="79"/>
        <v>1</v>
      </c>
      <c r="AB135" s="10">
        <f t="shared" si="80"/>
        <v>1</v>
      </c>
      <c r="AC135" s="10">
        <f t="shared" si="81"/>
        <v>1</v>
      </c>
      <c r="AD135" s="10">
        <f t="shared" si="82"/>
        <v>1</v>
      </c>
      <c r="AE135" s="10">
        <f t="shared" si="83"/>
        <v>0</v>
      </c>
      <c r="AF135" s="10">
        <f t="shared" si="84"/>
        <v>0</v>
      </c>
      <c r="AG135" s="10">
        <f t="shared" si="85"/>
        <v>0.5</v>
      </c>
      <c r="AH135" s="10">
        <f t="shared" si="86"/>
        <v>1</v>
      </c>
      <c r="AI135" s="10">
        <f>IF(OR(S135="",'4_BENCHMARK'!$C$4=""),"",ABS(S135-'4_BENCHMARK'!$C$4))</f>
        <v>0</v>
      </c>
      <c r="AJ135" s="10">
        <f>IF(OR(T135="",'4_BENCHMARK'!$C$5=""),"",ABS(T135-'4_BENCHMARK'!$C$5))</f>
        <v>0</v>
      </c>
      <c r="AK135" s="10">
        <f>IF(OR(U135="",'4_BENCHMARK'!$C$6=""),"",ABS(U135-'4_BENCHMARK'!$C$6))</f>
        <v>0</v>
      </c>
      <c r="AL135" s="10">
        <f>IF(OR(V135="",'4_BENCHMARK'!$C$7=""),"",ABS(V135-'4_BENCHMARK'!$C$7))</f>
        <v>0</v>
      </c>
      <c r="AM135" s="10">
        <f>IF(OR(W135="",'4_BENCHMARK'!$C$8=""),"",ABS(W135-'4_BENCHMARK'!$C$8))</f>
        <v>0</v>
      </c>
      <c r="AN135" s="10">
        <f>IF(OR(X135="",'4_BENCHMARK'!$C$9=""),"",ABS(X135-'4_BENCHMARK'!$C$9))</f>
        <v>0</v>
      </c>
      <c r="AO135" s="10">
        <f>IF(OR(Y135="",'4_BENCHMARK'!$C$10=""),"",ABS(Y135-'4_BENCHMARK'!$C$10))</f>
        <v>0</v>
      </c>
      <c r="AP135" s="10">
        <f>IF(OR(Z135="",'4_BENCHMARK'!$C$11=""),"",ABS(Z135-'4_BENCHMARK'!$C$11))</f>
        <v>0</v>
      </c>
      <c r="AQ135" s="13">
        <f t="shared" si="87"/>
        <v>1</v>
      </c>
      <c r="AR135" s="10" t="s">
        <v>140</v>
      </c>
      <c r="AS135" s="10" t="s">
        <v>141</v>
      </c>
      <c r="AT135" s="13">
        <f t="shared" si="88"/>
        <v>1</v>
      </c>
      <c r="AU135" s="1">
        <f t="shared" si="89"/>
        <v>5</v>
      </c>
      <c r="AV135" s="1">
        <f t="shared" si="90"/>
        <v>5</v>
      </c>
      <c r="AW135" s="1">
        <f t="shared" si="91"/>
        <v>5</v>
      </c>
      <c r="AX135" s="1">
        <f t="shared" si="92"/>
        <v>5</v>
      </c>
      <c r="AY135" s="1">
        <f t="shared" si="93"/>
        <v>1</v>
      </c>
      <c r="AZ135" s="1">
        <f t="shared" si="94"/>
        <v>1</v>
      </c>
      <c r="BA135" s="1">
        <f t="shared" si="95"/>
        <v>3</v>
      </c>
      <c r="BB135" s="1">
        <f t="shared" si="96"/>
        <v>5</v>
      </c>
      <c r="BC135" s="1" t="str">
        <f t="shared" si="97"/>
        <v/>
      </c>
      <c r="BD135" s="1" t="str">
        <f t="shared" si="98"/>
        <v/>
      </c>
      <c r="BE135" s="1" t="str">
        <f t="shared" si="99"/>
        <v/>
      </c>
      <c r="BF135" s="1" t="str">
        <f t="shared" si="100"/>
        <v/>
      </c>
      <c r="BG135" s="1" t="str">
        <f t="shared" si="101"/>
        <v/>
      </c>
      <c r="BH135" s="1" t="str">
        <f t="shared" si="102"/>
        <v/>
      </c>
      <c r="BI135" s="1" t="str">
        <f t="shared" si="103"/>
        <v/>
      </c>
      <c r="BJ135" s="1" t="str">
        <f t="shared" si="104"/>
        <v/>
      </c>
    </row>
    <row r="136" ht="14.25" customHeight="1" spans="1:62">
      <c r="A136" s="10">
        <v>132</v>
      </c>
      <c r="B136" s="10" t="s">
        <v>550</v>
      </c>
      <c r="C136" s="10">
        <v>1941</v>
      </c>
      <c r="D136" s="10">
        <f t="shared" si="70"/>
        <v>1940</v>
      </c>
      <c r="E136" s="10" t="s">
        <v>136</v>
      </c>
      <c r="F136" s="35" t="s">
        <v>551</v>
      </c>
      <c r="G136" s="10" t="s">
        <v>552</v>
      </c>
      <c r="H136" s="10" t="s">
        <v>140</v>
      </c>
      <c r="I136" s="10" t="s">
        <v>140</v>
      </c>
      <c r="J136" s="10"/>
      <c r="K136" s="10">
        <v>5</v>
      </c>
      <c r="L136" s="10">
        <v>5</v>
      </c>
      <c r="M136" s="10">
        <v>5</v>
      </c>
      <c r="N136" s="10">
        <v>5</v>
      </c>
      <c r="O136" s="10">
        <v>5</v>
      </c>
      <c r="P136" s="10">
        <v>5</v>
      </c>
      <c r="Q136" s="10">
        <v>2</v>
      </c>
      <c r="R136" s="10">
        <v>5</v>
      </c>
      <c r="S136" s="10">
        <f t="shared" si="71"/>
        <v>1</v>
      </c>
      <c r="T136" s="10">
        <f t="shared" si="72"/>
        <v>1</v>
      </c>
      <c r="U136" s="10">
        <f t="shared" si="73"/>
        <v>1</v>
      </c>
      <c r="V136" s="10">
        <f t="shared" si="74"/>
        <v>1</v>
      </c>
      <c r="W136" s="10">
        <f t="shared" si="75"/>
        <v>1</v>
      </c>
      <c r="X136" s="10">
        <f t="shared" si="76"/>
        <v>1</v>
      </c>
      <c r="Y136" s="10">
        <f t="shared" si="77"/>
        <v>0.25</v>
      </c>
      <c r="Z136" s="10">
        <f t="shared" si="78"/>
        <v>1</v>
      </c>
      <c r="AA136" s="10">
        <f t="shared" si="79"/>
        <v>1</v>
      </c>
      <c r="AB136" s="10">
        <f t="shared" si="80"/>
        <v>1</v>
      </c>
      <c r="AC136" s="10">
        <f t="shared" si="81"/>
        <v>1</v>
      </c>
      <c r="AD136" s="10">
        <f t="shared" si="82"/>
        <v>1</v>
      </c>
      <c r="AE136" s="10">
        <f t="shared" si="83"/>
        <v>1</v>
      </c>
      <c r="AF136" s="10">
        <f t="shared" si="84"/>
        <v>1</v>
      </c>
      <c r="AG136" s="10">
        <f t="shared" si="85"/>
        <v>0.25</v>
      </c>
      <c r="AH136" s="10">
        <f t="shared" si="86"/>
        <v>1</v>
      </c>
      <c r="AI136" s="10">
        <f>IF(OR(S136="",'4_BENCHMARK'!$C$4=""),"",ABS(S136-'4_BENCHMARK'!$C$4))</f>
        <v>0</v>
      </c>
      <c r="AJ136" s="10">
        <f>IF(OR(T136="",'4_BENCHMARK'!$C$5=""),"",ABS(T136-'4_BENCHMARK'!$C$5))</f>
        <v>0</v>
      </c>
      <c r="AK136" s="10">
        <f>IF(OR(U136="",'4_BENCHMARK'!$C$6=""),"",ABS(U136-'4_BENCHMARK'!$C$6))</f>
        <v>0</v>
      </c>
      <c r="AL136" s="10">
        <f>IF(OR(V136="",'4_BENCHMARK'!$C$7=""),"",ABS(V136-'4_BENCHMARK'!$C$7))</f>
        <v>0</v>
      </c>
      <c r="AM136" s="10">
        <f>IF(OR(W136="",'4_BENCHMARK'!$C$8=""),"",ABS(W136-'4_BENCHMARK'!$C$8))</f>
        <v>1</v>
      </c>
      <c r="AN136" s="10">
        <f>IF(OR(X136="",'4_BENCHMARK'!$C$9=""),"",ABS(X136-'4_BENCHMARK'!$C$9))</f>
        <v>1</v>
      </c>
      <c r="AO136" s="10">
        <f>IF(OR(Y136="",'4_BENCHMARK'!$C$10=""),"",ABS(Y136-'4_BENCHMARK'!$C$10))</f>
        <v>0.25</v>
      </c>
      <c r="AP136" s="10">
        <f>IF(OR(Z136="",'4_BENCHMARK'!$C$11=""),"",ABS(Z136-'4_BENCHMARK'!$C$11))</f>
        <v>0</v>
      </c>
      <c r="AQ136" s="13">
        <f t="shared" si="87"/>
        <v>0.71875</v>
      </c>
      <c r="AR136" s="10"/>
      <c r="AS136" s="10" t="s">
        <v>149</v>
      </c>
      <c r="AT136" s="13">
        <f t="shared" si="88"/>
        <v>0.958333333333333</v>
      </c>
      <c r="AU136" s="1">
        <f t="shared" si="89"/>
        <v>5</v>
      </c>
      <c r="AV136" s="1">
        <f t="shared" si="90"/>
        <v>5</v>
      </c>
      <c r="AW136" s="1">
        <f t="shared" si="91"/>
        <v>5</v>
      </c>
      <c r="AX136" s="1">
        <f t="shared" si="92"/>
        <v>5</v>
      </c>
      <c r="AY136" s="1">
        <f t="shared" si="93"/>
        <v>5</v>
      </c>
      <c r="AZ136" s="1">
        <f t="shared" si="94"/>
        <v>5</v>
      </c>
      <c r="BA136" s="1">
        <f t="shared" si="95"/>
        <v>2</v>
      </c>
      <c r="BB136" s="1">
        <f t="shared" si="96"/>
        <v>5</v>
      </c>
      <c r="BC136" s="1" t="str">
        <f t="shared" si="97"/>
        <v/>
      </c>
      <c r="BD136" s="1" t="str">
        <f t="shared" si="98"/>
        <v/>
      </c>
      <c r="BE136" s="1" t="str">
        <f t="shared" si="99"/>
        <v/>
      </c>
      <c r="BF136" s="1" t="str">
        <f t="shared" si="100"/>
        <v/>
      </c>
      <c r="BG136" s="1" t="str">
        <f t="shared" si="101"/>
        <v/>
      </c>
      <c r="BH136" s="1" t="str">
        <f t="shared" si="102"/>
        <v/>
      </c>
      <c r="BI136" s="1" t="str">
        <f t="shared" si="103"/>
        <v/>
      </c>
      <c r="BJ136" s="1" t="str">
        <f t="shared" si="104"/>
        <v/>
      </c>
    </row>
    <row r="137" ht="14.25" customHeight="1" spans="1:62">
      <c r="A137" s="10">
        <v>133</v>
      </c>
      <c r="B137" s="10" t="s">
        <v>553</v>
      </c>
      <c r="C137" s="10">
        <v>1960</v>
      </c>
      <c r="D137" s="10">
        <f t="shared" si="70"/>
        <v>1960</v>
      </c>
      <c r="E137" s="10" t="s">
        <v>136</v>
      </c>
      <c r="F137" s="35" t="s">
        <v>554</v>
      </c>
      <c r="G137" s="10" t="s">
        <v>555</v>
      </c>
      <c r="H137" s="10" t="s">
        <v>139</v>
      </c>
      <c r="I137" s="10" t="s">
        <v>140</v>
      </c>
      <c r="J137" s="10" t="s">
        <v>556</v>
      </c>
      <c r="K137" s="10">
        <v>5</v>
      </c>
      <c r="L137" s="10">
        <v>5</v>
      </c>
      <c r="M137" s="10">
        <v>5</v>
      </c>
      <c r="N137" s="10">
        <v>5</v>
      </c>
      <c r="O137" s="10">
        <v>1</v>
      </c>
      <c r="P137" s="10">
        <v>1</v>
      </c>
      <c r="Q137" s="10">
        <v>2</v>
      </c>
      <c r="R137" s="10">
        <v>5</v>
      </c>
      <c r="S137" s="10">
        <f t="shared" si="71"/>
        <v>1</v>
      </c>
      <c r="T137" s="10">
        <f t="shared" si="72"/>
        <v>1</v>
      </c>
      <c r="U137" s="10">
        <f t="shared" si="73"/>
        <v>1</v>
      </c>
      <c r="V137" s="10">
        <f t="shared" si="74"/>
        <v>1</v>
      </c>
      <c r="W137" s="10">
        <f t="shared" si="75"/>
        <v>0</v>
      </c>
      <c r="X137" s="10">
        <f t="shared" si="76"/>
        <v>0</v>
      </c>
      <c r="Y137" s="10">
        <f t="shared" si="77"/>
        <v>0.25</v>
      </c>
      <c r="Z137" s="10">
        <f t="shared" si="78"/>
        <v>1</v>
      </c>
      <c r="AA137" s="10" t="str">
        <f t="shared" si="79"/>
        <v/>
      </c>
      <c r="AB137" s="10" t="str">
        <f t="shared" si="80"/>
        <v/>
      </c>
      <c r="AC137" s="10" t="str">
        <f t="shared" si="81"/>
        <v/>
      </c>
      <c r="AD137" s="10" t="str">
        <f t="shared" si="82"/>
        <v/>
      </c>
      <c r="AE137" s="10" t="str">
        <f t="shared" si="83"/>
        <v/>
      </c>
      <c r="AF137" s="10" t="str">
        <f t="shared" si="84"/>
        <v/>
      </c>
      <c r="AG137" s="10" t="str">
        <f t="shared" si="85"/>
        <v/>
      </c>
      <c r="AH137" s="10" t="str">
        <f t="shared" si="86"/>
        <v/>
      </c>
      <c r="AI137" s="10">
        <f>IF(OR(S137="",'4_BENCHMARK'!$C$4=""),"",ABS(S137-'4_BENCHMARK'!$C$4))</f>
        <v>0</v>
      </c>
      <c r="AJ137" s="10">
        <f>IF(OR(T137="",'4_BENCHMARK'!$C$5=""),"",ABS(T137-'4_BENCHMARK'!$C$5))</f>
        <v>0</v>
      </c>
      <c r="AK137" s="10">
        <f>IF(OR(U137="",'4_BENCHMARK'!$C$6=""),"",ABS(U137-'4_BENCHMARK'!$C$6))</f>
        <v>0</v>
      </c>
      <c r="AL137" s="10">
        <f>IF(OR(V137="",'4_BENCHMARK'!$C$7=""),"",ABS(V137-'4_BENCHMARK'!$C$7))</f>
        <v>0</v>
      </c>
      <c r="AM137" s="10">
        <f>IF(OR(W137="",'4_BENCHMARK'!$C$8=""),"",ABS(W137-'4_BENCHMARK'!$C$8))</f>
        <v>0</v>
      </c>
      <c r="AN137" s="10">
        <f>IF(OR(X137="",'4_BENCHMARK'!$C$9=""),"",ABS(X137-'4_BENCHMARK'!$C$9))</f>
        <v>0</v>
      </c>
      <c r="AO137" s="10">
        <f>IF(OR(Y137="",'4_BENCHMARK'!$C$10=""),"",ABS(Y137-'4_BENCHMARK'!$C$10))</f>
        <v>0.25</v>
      </c>
      <c r="AP137" s="10">
        <f>IF(OR(Z137="",'4_BENCHMARK'!$C$11=""),"",ABS(Z137-'4_BENCHMARK'!$C$11))</f>
        <v>0</v>
      </c>
      <c r="AQ137" s="13">
        <f t="shared" si="87"/>
        <v>0.96875</v>
      </c>
      <c r="AR137" s="10"/>
      <c r="AS137" s="10" t="s">
        <v>141</v>
      </c>
      <c r="AT137" s="13">
        <f t="shared" si="88"/>
        <v>0.958333333333333</v>
      </c>
      <c r="AU137" s="1" t="str">
        <f t="shared" si="89"/>
        <v/>
      </c>
      <c r="AV137" s="1" t="str">
        <f t="shared" si="90"/>
        <v/>
      </c>
      <c r="AW137" s="1" t="str">
        <f t="shared" si="91"/>
        <v/>
      </c>
      <c r="AX137" s="1" t="str">
        <f t="shared" si="92"/>
        <v/>
      </c>
      <c r="AY137" s="1" t="str">
        <f t="shared" si="93"/>
        <v/>
      </c>
      <c r="AZ137" s="1" t="str">
        <f t="shared" si="94"/>
        <v/>
      </c>
      <c r="BA137" s="1" t="str">
        <f t="shared" si="95"/>
        <v/>
      </c>
      <c r="BB137" s="1" t="str">
        <f t="shared" si="96"/>
        <v/>
      </c>
      <c r="BC137" s="1" t="str">
        <f t="shared" si="97"/>
        <v/>
      </c>
      <c r="BD137" s="1" t="str">
        <f t="shared" si="98"/>
        <v/>
      </c>
      <c r="BE137" s="1" t="str">
        <f t="shared" si="99"/>
        <v/>
      </c>
      <c r="BF137" s="1" t="str">
        <f t="shared" si="100"/>
        <v/>
      </c>
      <c r="BG137" s="1" t="str">
        <f t="shared" si="101"/>
        <v/>
      </c>
      <c r="BH137" s="1" t="str">
        <f t="shared" si="102"/>
        <v/>
      </c>
      <c r="BI137" s="1" t="str">
        <f t="shared" si="103"/>
        <v/>
      </c>
      <c r="BJ137" s="1" t="str">
        <f t="shared" si="104"/>
        <v/>
      </c>
    </row>
    <row r="138" ht="14.25" customHeight="1" spans="1:62">
      <c r="A138" s="10">
        <v>134</v>
      </c>
      <c r="B138" s="10" t="s">
        <v>557</v>
      </c>
      <c r="C138" s="10">
        <v>2023</v>
      </c>
      <c r="D138" s="10">
        <f t="shared" si="70"/>
        <v>2020</v>
      </c>
      <c r="E138" s="10" t="s">
        <v>136</v>
      </c>
      <c r="F138" s="35" t="s">
        <v>558</v>
      </c>
      <c r="G138" s="10" t="s">
        <v>559</v>
      </c>
      <c r="H138" s="10" t="s">
        <v>140</v>
      </c>
      <c r="I138" s="10" t="s">
        <v>140</v>
      </c>
      <c r="J138" s="10"/>
      <c r="K138" s="10">
        <v>4</v>
      </c>
      <c r="L138" s="10">
        <v>4</v>
      </c>
      <c r="M138" s="10">
        <v>4</v>
      </c>
      <c r="N138" s="10">
        <v>3</v>
      </c>
      <c r="O138" s="10">
        <v>5</v>
      </c>
      <c r="P138" s="10">
        <v>2</v>
      </c>
      <c r="Q138" s="10">
        <v>2</v>
      </c>
      <c r="R138" s="10">
        <v>3</v>
      </c>
      <c r="S138" s="10">
        <f t="shared" si="71"/>
        <v>0.75</v>
      </c>
      <c r="T138" s="10">
        <f t="shared" si="72"/>
        <v>0.75</v>
      </c>
      <c r="U138" s="10">
        <f t="shared" si="73"/>
        <v>0.75</v>
      </c>
      <c r="V138" s="10">
        <f t="shared" si="74"/>
        <v>0.5</v>
      </c>
      <c r="W138" s="10">
        <f t="shared" si="75"/>
        <v>1</v>
      </c>
      <c r="X138" s="10">
        <f t="shared" si="76"/>
        <v>0.25</v>
      </c>
      <c r="Y138" s="10">
        <f t="shared" si="77"/>
        <v>0.25</v>
      </c>
      <c r="Z138" s="10">
        <f t="shared" si="78"/>
        <v>0.5</v>
      </c>
      <c r="AA138" s="10" t="str">
        <f t="shared" si="79"/>
        <v/>
      </c>
      <c r="AB138" s="10" t="str">
        <f t="shared" si="80"/>
        <v/>
      </c>
      <c r="AC138" s="10" t="str">
        <f t="shared" si="81"/>
        <v/>
      </c>
      <c r="AD138" s="10" t="str">
        <f t="shared" si="82"/>
        <v/>
      </c>
      <c r="AE138" s="10" t="str">
        <f t="shared" si="83"/>
        <v/>
      </c>
      <c r="AF138" s="10" t="str">
        <f t="shared" si="84"/>
        <v/>
      </c>
      <c r="AG138" s="10" t="str">
        <f t="shared" si="85"/>
        <v/>
      </c>
      <c r="AH138" s="10" t="str">
        <f t="shared" si="86"/>
        <v/>
      </c>
      <c r="AI138" s="10">
        <f>IF(OR(S138="",'4_BENCHMARK'!$C$4=""),"",ABS(S138-'4_BENCHMARK'!$C$4))</f>
        <v>0.25</v>
      </c>
      <c r="AJ138" s="10">
        <f>IF(OR(T138="",'4_BENCHMARK'!$C$5=""),"",ABS(T138-'4_BENCHMARK'!$C$5))</f>
        <v>0.25</v>
      </c>
      <c r="AK138" s="10">
        <f>IF(OR(U138="",'4_BENCHMARK'!$C$6=""),"",ABS(U138-'4_BENCHMARK'!$C$6))</f>
        <v>0.25</v>
      </c>
      <c r="AL138" s="10">
        <f>IF(OR(V138="",'4_BENCHMARK'!$C$7=""),"",ABS(V138-'4_BENCHMARK'!$C$7))</f>
        <v>0.5</v>
      </c>
      <c r="AM138" s="10">
        <f>IF(OR(W138="",'4_BENCHMARK'!$C$8=""),"",ABS(W138-'4_BENCHMARK'!$C$8))</f>
        <v>1</v>
      </c>
      <c r="AN138" s="10">
        <f>IF(OR(X138="",'4_BENCHMARK'!$C$9=""),"",ABS(X138-'4_BENCHMARK'!$C$9))</f>
        <v>0.25</v>
      </c>
      <c r="AO138" s="10">
        <f>IF(OR(Y138="",'4_BENCHMARK'!$C$10=""),"",ABS(Y138-'4_BENCHMARK'!$C$10))</f>
        <v>0.25</v>
      </c>
      <c r="AP138" s="10">
        <f>IF(OR(Z138="",'4_BENCHMARK'!$C$11=""),"",ABS(Z138-'4_BENCHMARK'!$C$11))</f>
        <v>0.5</v>
      </c>
      <c r="AQ138" s="13">
        <f t="shared" si="87"/>
        <v>0.59375</v>
      </c>
      <c r="AR138" s="10"/>
      <c r="AS138" s="10" t="s">
        <v>145</v>
      </c>
      <c r="AT138" s="13">
        <f t="shared" si="88"/>
        <v>0.666666666666667</v>
      </c>
      <c r="AU138" s="1" t="str">
        <f t="shared" si="89"/>
        <v/>
      </c>
      <c r="AV138" s="1" t="str">
        <f t="shared" si="90"/>
        <v/>
      </c>
      <c r="AW138" s="1" t="str">
        <f t="shared" si="91"/>
        <v/>
      </c>
      <c r="AX138" s="1" t="str">
        <f t="shared" si="92"/>
        <v/>
      </c>
      <c r="AY138" s="1" t="str">
        <f t="shared" si="93"/>
        <v/>
      </c>
      <c r="AZ138" s="1" t="str">
        <f t="shared" si="94"/>
        <v/>
      </c>
      <c r="BA138" s="1" t="str">
        <f t="shared" si="95"/>
        <v/>
      </c>
      <c r="BB138" s="1" t="str">
        <f t="shared" si="96"/>
        <v/>
      </c>
      <c r="BC138" s="1">
        <f t="shared" si="97"/>
        <v>4</v>
      </c>
      <c r="BD138" s="1">
        <f t="shared" si="98"/>
        <v>4</v>
      </c>
      <c r="BE138" s="1">
        <f t="shared" si="99"/>
        <v>4</v>
      </c>
      <c r="BF138" s="1">
        <f t="shared" si="100"/>
        <v>3</v>
      </c>
      <c r="BG138" s="1">
        <f t="shared" si="101"/>
        <v>5</v>
      </c>
      <c r="BH138" s="1">
        <f t="shared" si="102"/>
        <v>2</v>
      </c>
      <c r="BI138" s="1">
        <f t="shared" si="103"/>
        <v>2</v>
      </c>
      <c r="BJ138" s="1">
        <f t="shared" si="104"/>
        <v>3</v>
      </c>
    </row>
    <row r="139" ht="14.25" customHeight="1" spans="1:62">
      <c r="A139" s="10">
        <v>135</v>
      </c>
      <c r="B139" s="10" t="s">
        <v>560</v>
      </c>
      <c r="C139" s="10">
        <v>2020</v>
      </c>
      <c r="D139" s="10">
        <f t="shared" si="70"/>
        <v>2020</v>
      </c>
      <c r="E139" s="10" t="s">
        <v>136</v>
      </c>
      <c r="F139" s="35" t="s">
        <v>561</v>
      </c>
      <c r="G139" s="10" t="s">
        <v>562</v>
      </c>
      <c r="H139" s="10" t="s">
        <v>140</v>
      </c>
      <c r="I139" s="10" t="s">
        <v>140</v>
      </c>
      <c r="J139" s="10"/>
      <c r="K139" s="10">
        <v>4</v>
      </c>
      <c r="L139" s="10">
        <v>3</v>
      </c>
      <c r="M139" s="10">
        <v>4</v>
      </c>
      <c r="N139" s="10">
        <v>3</v>
      </c>
      <c r="O139" s="10">
        <v>4</v>
      </c>
      <c r="P139" s="10">
        <v>3</v>
      </c>
      <c r="Q139" s="10">
        <v>1</v>
      </c>
      <c r="R139" s="10">
        <v>4</v>
      </c>
      <c r="S139" s="10">
        <f t="shared" si="71"/>
        <v>0.75</v>
      </c>
      <c r="T139" s="10">
        <f t="shared" si="72"/>
        <v>0.5</v>
      </c>
      <c r="U139" s="10">
        <f t="shared" si="73"/>
        <v>0.75</v>
      </c>
      <c r="V139" s="10">
        <f t="shared" si="74"/>
        <v>0.5</v>
      </c>
      <c r="W139" s="10">
        <f t="shared" si="75"/>
        <v>0.75</v>
      </c>
      <c r="X139" s="10">
        <f t="shared" si="76"/>
        <v>0.5</v>
      </c>
      <c r="Y139" s="10">
        <f t="shared" si="77"/>
        <v>0</v>
      </c>
      <c r="Z139" s="10">
        <f t="shared" si="78"/>
        <v>0.75</v>
      </c>
      <c r="AA139" s="10" t="str">
        <f t="shared" si="79"/>
        <v/>
      </c>
      <c r="AB139" s="10" t="str">
        <f t="shared" si="80"/>
        <v/>
      </c>
      <c r="AC139" s="10" t="str">
        <f t="shared" si="81"/>
        <v/>
      </c>
      <c r="AD139" s="10" t="str">
        <f t="shared" si="82"/>
        <v/>
      </c>
      <c r="AE139" s="10" t="str">
        <f t="shared" si="83"/>
        <v/>
      </c>
      <c r="AF139" s="10" t="str">
        <f t="shared" si="84"/>
        <v/>
      </c>
      <c r="AG139" s="10" t="str">
        <f t="shared" si="85"/>
        <v/>
      </c>
      <c r="AH139" s="10" t="str">
        <f t="shared" si="86"/>
        <v/>
      </c>
      <c r="AI139" s="10">
        <f>IF(OR(S139="",'4_BENCHMARK'!$C$4=""),"",ABS(S139-'4_BENCHMARK'!$C$4))</f>
        <v>0.25</v>
      </c>
      <c r="AJ139" s="10">
        <f>IF(OR(T139="",'4_BENCHMARK'!$C$5=""),"",ABS(T139-'4_BENCHMARK'!$C$5))</f>
        <v>0.5</v>
      </c>
      <c r="AK139" s="10">
        <f>IF(OR(U139="",'4_BENCHMARK'!$C$6=""),"",ABS(U139-'4_BENCHMARK'!$C$6))</f>
        <v>0.25</v>
      </c>
      <c r="AL139" s="10">
        <f>IF(OR(V139="",'4_BENCHMARK'!$C$7=""),"",ABS(V139-'4_BENCHMARK'!$C$7))</f>
        <v>0.5</v>
      </c>
      <c r="AM139" s="10">
        <f>IF(OR(W139="",'4_BENCHMARK'!$C$8=""),"",ABS(W139-'4_BENCHMARK'!$C$8))</f>
        <v>0.75</v>
      </c>
      <c r="AN139" s="10">
        <f>IF(OR(X139="",'4_BENCHMARK'!$C$9=""),"",ABS(X139-'4_BENCHMARK'!$C$9))</f>
        <v>0.5</v>
      </c>
      <c r="AO139" s="10">
        <f>IF(OR(Y139="",'4_BENCHMARK'!$C$10=""),"",ABS(Y139-'4_BENCHMARK'!$C$10))</f>
        <v>0.5</v>
      </c>
      <c r="AP139" s="10">
        <f>IF(OR(Z139="",'4_BENCHMARK'!$C$11=""),"",ABS(Z139-'4_BENCHMARK'!$C$11))</f>
        <v>0.25</v>
      </c>
      <c r="AQ139" s="13">
        <f t="shared" si="87"/>
        <v>0.5625</v>
      </c>
      <c r="AR139" s="10"/>
      <c r="AS139" s="10" t="s">
        <v>145</v>
      </c>
      <c r="AT139" s="13">
        <f t="shared" si="88"/>
        <v>0.625</v>
      </c>
      <c r="AU139" s="1" t="str">
        <f t="shared" si="89"/>
        <v/>
      </c>
      <c r="AV139" s="1" t="str">
        <f t="shared" si="90"/>
        <v/>
      </c>
      <c r="AW139" s="1" t="str">
        <f t="shared" si="91"/>
        <v/>
      </c>
      <c r="AX139" s="1" t="str">
        <f t="shared" si="92"/>
        <v/>
      </c>
      <c r="AY139" s="1" t="str">
        <f t="shared" si="93"/>
        <v/>
      </c>
      <c r="AZ139" s="1" t="str">
        <f t="shared" si="94"/>
        <v/>
      </c>
      <c r="BA139" s="1" t="str">
        <f t="shared" si="95"/>
        <v/>
      </c>
      <c r="BB139" s="1" t="str">
        <f t="shared" si="96"/>
        <v/>
      </c>
      <c r="BC139" s="1">
        <f t="shared" si="97"/>
        <v>4</v>
      </c>
      <c r="BD139" s="1">
        <f t="shared" si="98"/>
        <v>3</v>
      </c>
      <c r="BE139" s="1">
        <f t="shared" si="99"/>
        <v>4</v>
      </c>
      <c r="BF139" s="1">
        <f t="shared" si="100"/>
        <v>3</v>
      </c>
      <c r="BG139" s="1">
        <f t="shared" si="101"/>
        <v>4</v>
      </c>
      <c r="BH139" s="1">
        <f t="shared" si="102"/>
        <v>3</v>
      </c>
      <c r="BI139" s="1">
        <f t="shared" si="103"/>
        <v>1</v>
      </c>
      <c r="BJ139" s="1">
        <f t="shared" si="104"/>
        <v>4</v>
      </c>
    </row>
    <row r="140" ht="14.25" customHeight="1" spans="1:62">
      <c r="A140" s="10">
        <v>136</v>
      </c>
      <c r="B140" s="10" t="s">
        <v>563</v>
      </c>
      <c r="C140" s="10">
        <v>2023</v>
      </c>
      <c r="D140" s="10">
        <f t="shared" si="70"/>
        <v>2020</v>
      </c>
      <c r="E140" s="10" t="s">
        <v>136</v>
      </c>
      <c r="F140" s="35" t="s">
        <v>564</v>
      </c>
      <c r="G140" s="10" t="s">
        <v>565</v>
      </c>
      <c r="H140" s="10" t="s">
        <v>140</v>
      </c>
      <c r="I140" s="10" t="s">
        <v>140</v>
      </c>
      <c r="J140" s="10"/>
      <c r="K140" s="10">
        <v>4</v>
      </c>
      <c r="L140" s="10">
        <v>4</v>
      </c>
      <c r="M140" s="10">
        <v>4</v>
      </c>
      <c r="N140" s="10">
        <v>4</v>
      </c>
      <c r="O140" s="10">
        <v>1</v>
      </c>
      <c r="P140" s="10">
        <v>1</v>
      </c>
      <c r="Q140" s="10">
        <v>2</v>
      </c>
      <c r="R140" s="10">
        <v>4</v>
      </c>
      <c r="S140" s="10">
        <f t="shared" si="71"/>
        <v>0.75</v>
      </c>
      <c r="T140" s="10">
        <f t="shared" si="72"/>
        <v>0.75</v>
      </c>
      <c r="U140" s="10">
        <f t="shared" si="73"/>
        <v>0.75</v>
      </c>
      <c r="V140" s="10">
        <f t="shared" si="74"/>
        <v>0.75</v>
      </c>
      <c r="W140" s="10">
        <f t="shared" si="75"/>
        <v>0</v>
      </c>
      <c r="X140" s="10">
        <f t="shared" si="76"/>
        <v>0</v>
      </c>
      <c r="Y140" s="10">
        <f t="shared" si="77"/>
        <v>0.25</v>
      </c>
      <c r="Z140" s="10">
        <f t="shared" si="78"/>
        <v>0.75</v>
      </c>
      <c r="AA140" s="10" t="str">
        <f t="shared" si="79"/>
        <v/>
      </c>
      <c r="AB140" s="10" t="str">
        <f t="shared" si="80"/>
        <v/>
      </c>
      <c r="AC140" s="10" t="str">
        <f t="shared" si="81"/>
        <v/>
      </c>
      <c r="AD140" s="10" t="str">
        <f t="shared" si="82"/>
        <v/>
      </c>
      <c r="AE140" s="10" t="str">
        <f t="shared" si="83"/>
        <v/>
      </c>
      <c r="AF140" s="10" t="str">
        <f t="shared" si="84"/>
        <v/>
      </c>
      <c r="AG140" s="10" t="str">
        <f t="shared" si="85"/>
        <v/>
      </c>
      <c r="AH140" s="10" t="str">
        <f t="shared" si="86"/>
        <v/>
      </c>
      <c r="AI140" s="10">
        <f>IF(OR(S140="",'4_BENCHMARK'!$C$4=""),"",ABS(S140-'4_BENCHMARK'!$C$4))</f>
        <v>0.25</v>
      </c>
      <c r="AJ140" s="10">
        <f>IF(OR(T140="",'4_BENCHMARK'!$C$5=""),"",ABS(T140-'4_BENCHMARK'!$C$5))</f>
        <v>0.25</v>
      </c>
      <c r="AK140" s="10">
        <f>IF(OR(U140="",'4_BENCHMARK'!$C$6=""),"",ABS(U140-'4_BENCHMARK'!$C$6))</f>
        <v>0.25</v>
      </c>
      <c r="AL140" s="10">
        <f>IF(OR(V140="",'4_BENCHMARK'!$C$7=""),"",ABS(V140-'4_BENCHMARK'!$C$7))</f>
        <v>0.25</v>
      </c>
      <c r="AM140" s="10">
        <f>IF(OR(W140="",'4_BENCHMARK'!$C$8=""),"",ABS(W140-'4_BENCHMARK'!$C$8))</f>
        <v>0</v>
      </c>
      <c r="AN140" s="10">
        <f>IF(OR(X140="",'4_BENCHMARK'!$C$9=""),"",ABS(X140-'4_BENCHMARK'!$C$9))</f>
        <v>0</v>
      </c>
      <c r="AO140" s="10">
        <f>IF(OR(Y140="",'4_BENCHMARK'!$C$10=""),"",ABS(Y140-'4_BENCHMARK'!$C$10))</f>
        <v>0.25</v>
      </c>
      <c r="AP140" s="10">
        <f>IF(OR(Z140="",'4_BENCHMARK'!$C$11=""),"",ABS(Z140-'4_BENCHMARK'!$C$11))</f>
        <v>0.25</v>
      </c>
      <c r="AQ140" s="13">
        <f t="shared" si="87"/>
        <v>0.8125</v>
      </c>
      <c r="AR140" s="10"/>
      <c r="AS140" s="10" t="s">
        <v>145</v>
      </c>
      <c r="AT140" s="13">
        <f t="shared" si="88"/>
        <v>0.75</v>
      </c>
      <c r="AU140" s="1" t="str">
        <f t="shared" si="89"/>
        <v/>
      </c>
      <c r="AV140" s="1" t="str">
        <f t="shared" si="90"/>
        <v/>
      </c>
      <c r="AW140" s="1" t="str">
        <f t="shared" si="91"/>
        <v/>
      </c>
      <c r="AX140" s="1" t="str">
        <f t="shared" si="92"/>
        <v/>
      </c>
      <c r="AY140" s="1" t="str">
        <f t="shared" si="93"/>
        <v/>
      </c>
      <c r="AZ140" s="1" t="str">
        <f t="shared" si="94"/>
        <v/>
      </c>
      <c r="BA140" s="1" t="str">
        <f t="shared" si="95"/>
        <v/>
      </c>
      <c r="BB140" s="1" t="str">
        <f t="shared" si="96"/>
        <v/>
      </c>
      <c r="BC140" s="1">
        <f t="shared" si="97"/>
        <v>4</v>
      </c>
      <c r="BD140" s="1">
        <f t="shared" si="98"/>
        <v>4</v>
      </c>
      <c r="BE140" s="1">
        <f t="shared" si="99"/>
        <v>4</v>
      </c>
      <c r="BF140" s="1">
        <f t="shared" si="100"/>
        <v>4</v>
      </c>
      <c r="BG140" s="1">
        <f t="shared" si="101"/>
        <v>1</v>
      </c>
      <c r="BH140" s="1">
        <f t="shared" si="102"/>
        <v>1</v>
      </c>
      <c r="BI140" s="1">
        <f t="shared" si="103"/>
        <v>2</v>
      </c>
      <c r="BJ140" s="1">
        <f t="shared" si="104"/>
        <v>4</v>
      </c>
    </row>
    <row r="141" ht="14.25" customHeight="1" spans="1:62">
      <c r="A141" s="10">
        <v>137</v>
      </c>
      <c r="B141" s="10" t="s">
        <v>566</v>
      </c>
      <c r="C141" s="10">
        <v>2020</v>
      </c>
      <c r="D141" s="10">
        <f t="shared" si="70"/>
        <v>2020</v>
      </c>
      <c r="E141" s="10" t="s">
        <v>136</v>
      </c>
      <c r="F141" s="35" t="s">
        <v>567</v>
      </c>
      <c r="G141" s="10" t="s">
        <v>568</v>
      </c>
      <c r="H141" s="10" t="s">
        <v>140</v>
      </c>
      <c r="I141" s="10" t="s">
        <v>140</v>
      </c>
      <c r="J141" s="10"/>
      <c r="K141" s="10">
        <v>4</v>
      </c>
      <c r="L141" s="10">
        <v>4</v>
      </c>
      <c r="M141" s="10">
        <v>4</v>
      </c>
      <c r="N141" s="10">
        <v>3</v>
      </c>
      <c r="O141" s="10">
        <v>4</v>
      </c>
      <c r="P141" s="10">
        <v>2</v>
      </c>
      <c r="Q141" s="10">
        <v>2</v>
      </c>
      <c r="R141" s="10">
        <v>4</v>
      </c>
      <c r="S141" s="10">
        <f t="shared" si="71"/>
        <v>0.75</v>
      </c>
      <c r="T141" s="10">
        <f t="shared" si="72"/>
        <v>0.75</v>
      </c>
      <c r="U141" s="10">
        <f t="shared" si="73"/>
        <v>0.75</v>
      </c>
      <c r="V141" s="10">
        <f t="shared" si="74"/>
        <v>0.5</v>
      </c>
      <c r="W141" s="10">
        <f t="shared" si="75"/>
        <v>0.75</v>
      </c>
      <c r="X141" s="10">
        <f t="shared" si="76"/>
        <v>0.25</v>
      </c>
      <c r="Y141" s="10">
        <f t="shared" si="77"/>
        <v>0.25</v>
      </c>
      <c r="Z141" s="10">
        <f t="shared" si="78"/>
        <v>0.75</v>
      </c>
      <c r="AA141" s="10" t="str">
        <f t="shared" si="79"/>
        <v/>
      </c>
      <c r="AB141" s="10" t="str">
        <f t="shared" si="80"/>
        <v/>
      </c>
      <c r="AC141" s="10" t="str">
        <f t="shared" si="81"/>
        <v/>
      </c>
      <c r="AD141" s="10" t="str">
        <f t="shared" si="82"/>
        <v/>
      </c>
      <c r="AE141" s="10" t="str">
        <f t="shared" si="83"/>
        <v/>
      </c>
      <c r="AF141" s="10" t="str">
        <f t="shared" si="84"/>
        <v/>
      </c>
      <c r="AG141" s="10" t="str">
        <f t="shared" si="85"/>
        <v/>
      </c>
      <c r="AH141" s="10" t="str">
        <f t="shared" si="86"/>
        <v/>
      </c>
      <c r="AI141" s="10">
        <f>IF(OR(S141="",'4_BENCHMARK'!$C$4=""),"",ABS(S141-'4_BENCHMARK'!$C$4))</f>
        <v>0.25</v>
      </c>
      <c r="AJ141" s="10">
        <f>IF(OR(T141="",'4_BENCHMARK'!$C$5=""),"",ABS(T141-'4_BENCHMARK'!$C$5))</f>
        <v>0.25</v>
      </c>
      <c r="AK141" s="10">
        <f>IF(OR(U141="",'4_BENCHMARK'!$C$6=""),"",ABS(U141-'4_BENCHMARK'!$C$6))</f>
        <v>0.25</v>
      </c>
      <c r="AL141" s="10">
        <f>IF(OR(V141="",'4_BENCHMARK'!$C$7=""),"",ABS(V141-'4_BENCHMARK'!$C$7))</f>
        <v>0.5</v>
      </c>
      <c r="AM141" s="10">
        <f>IF(OR(W141="",'4_BENCHMARK'!$C$8=""),"",ABS(W141-'4_BENCHMARK'!$C$8))</f>
        <v>0.75</v>
      </c>
      <c r="AN141" s="10">
        <f>IF(OR(X141="",'4_BENCHMARK'!$C$9=""),"",ABS(X141-'4_BENCHMARK'!$C$9))</f>
        <v>0.25</v>
      </c>
      <c r="AO141" s="10">
        <f>IF(OR(Y141="",'4_BENCHMARK'!$C$10=""),"",ABS(Y141-'4_BENCHMARK'!$C$10))</f>
        <v>0.25</v>
      </c>
      <c r="AP141" s="10">
        <f>IF(OR(Z141="",'4_BENCHMARK'!$C$11=""),"",ABS(Z141-'4_BENCHMARK'!$C$11))</f>
        <v>0.25</v>
      </c>
      <c r="AQ141" s="13">
        <f t="shared" si="87"/>
        <v>0.65625</v>
      </c>
      <c r="AR141" s="10"/>
      <c r="AS141" s="10" t="s">
        <v>145</v>
      </c>
      <c r="AT141" s="13">
        <f t="shared" si="88"/>
        <v>0.708333333333333</v>
      </c>
      <c r="AU141" s="1" t="str">
        <f t="shared" si="89"/>
        <v/>
      </c>
      <c r="AV141" s="1" t="str">
        <f t="shared" si="90"/>
        <v/>
      </c>
      <c r="AW141" s="1" t="str">
        <f t="shared" si="91"/>
        <v/>
      </c>
      <c r="AX141" s="1" t="str">
        <f t="shared" si="92"/>
        <v/>
      </c>
      <c r="AY141" s="1" t="str">
        <f t="shared" si="93"/>
        <v/>
      </c>
      <c r="AZ141" s="1" t="str">
        <f t="shared" si="94"/>
        <v/>
      </c>
      <c r="BA141" s="1" t="str">
        <f t="shared" si="95"/>
        <v/>
      </c>
      <c r="BB141" s="1" t="str">
        <f t="shared" si="96"/>
        <v/>
      </c>
      <c r="BC141" s="1">
        <f t="shared" si="97"/>
        <v>4</v>
      </c>
      <c r="BD141" s="1">
        <f t="shared" si="98"/>
        <v>4</v>
      </c>
      <c r="BE141" s="1">
        <f t="shared" si="99"/>
        <v>4</v>
      </c>
      <c r="BF141" s="1">
        <f t="shared" si="100"/>
        <v>3</v>
      </c>
      <c r="BG141" s="1">
        <f t="shared" si="101"/>
        <v>4</v>
      </c>
      <c r="BH141" s="1">
        <f t="shared" si="102"/>
        <v>2</v>
      </c>
      <c r="BI141" s="1">
        <f t="shared" si="103"/>
        <v>2</v>
      </c>
      <c r="BJ141" s="1">
        <f t="shared" si="104"/>
        <v>4</v>
      </c>
    </row>
    <row r="142" ht="14.25" customHeight="1" spans="1:62">
      <c r="A142" s="10">
        <v>138</v>
      </c>
      <c r="B142" s="10" t="s">
        <v>569</v>
      </c>
      <c r="C142" s="10">
        <v>2003</v>
      </c>
      <c r="D142" s="10">
        <f t="shared" si="70"/>
        <v>2000</v>
      </c>
      <c r="E142" s="10" t="s">
        <v>136</v>
      </c>
      <c r="F142" s="35" t="s">
        <v>570</v>
      </c>
      <c r="G142" s="10" t="s">
        <v>571</v>
      </c>
      <c r="H142" s="10" t="s">
        <v>140</v>
      </c>
      <c r="I142" s="10" t="s">
        <v>140</v>
      </c>
      <c r="J142" s="10"/>
      <c r="K142" s="10">
        <v>5</v>
      </c>
      <c r="L142" s="10">
        <v>5</v>
      </c>
      <c r="M142" s="10">
        <v>5</v>
      </c>
      <c r="N142" s="10">
        <v>5</v>
      </c>
      <c r="O142" s="10">
        <v>5</v>
      </c>
      <c r="P142" s="10">
        <v>3</v>
      </c>
      <c r="Q142" s="10">
        <v>2</v>
      </c>
      <c r="R142" s="10">
        <v>5</v>
      </c>
      <c r="S142" s="10">
        <f t="shared" si="71"/>
        <v>1</v>
      </c>
      <c r="T142" s="10">
        <f t="shared" si="72"/>
        <v>1</v>
      </c>
      <c r="U142" s="10">
        <f t="shared" si="73"/>
        <v>1</v>
      </c>
      <c r="V142" s="10">
        <f t="shared" si="74"/>
        <v>1</v>
      </c>
      <c r="W142" s="10">
        <f t="shared" si="75"/>
        <v>1</v>
      </c>
      <c r="X142" s="10">
        <f t="shared" si="76"/>
        <v>0.5</v>
      </c>
      <c r="Y142" s="10">
        <f t="shared" si="77"/>
        <v>0.25</v>
      </c>
      <c r="Z142" s="10">
        <f t="shared" si="78"/>
        <v>1</v>
      </c>
      <c r="AA142" s="10" t="str">
        <f t="shared" si="79"/>
        <v/>
      </c>
      <c r="AB142" s="10" t="str">
        <f t="shared" si="80"/>
        <v/>
      </c>
      <c r="AC142" s="10" t="str">
        <f t="shared" si="81"/>
        <v/>
      </c>
      <c r="AD142" s="10" t="str">
        <f t="shared" si="82"/>
        <v/>
      </c>
      <c r="AE142" s="10" t="str">
        <f t="shared" si="83"/>
        <v/>
      </c>
      <c r="AF142" s="10" t="str">
        <f t="shared" si="84"/>
        <v/>
      </c>
      <c r="AG142" s="10" t="str">
        <f t="shared" si="85"/>
        <v/>
      </c>
      <c r="AH142" s="10" t="str">
        <f t="shared" si="86"/>
        <v/>
      </c>
      <c r="AI142" s="10">
        <f>IF(OR(S142="",'4_BENCHMARK'!$C$4=""),"",ABS(S142-'4_BENCHMARK'!$C$4))</f>
        <v>0</v>
      </c>
      <c r="AJ142" s="10">
        <f>IF(OR(T142="",'4_BENCHMARK'!$C$5=""),"",ABS(T142-'4_BENCHMARK'!$C$5))</f>
        <v>0</v>
      </c>
      <c r="AK142" s="10">
        <f>IF(OR(U142="",'4_BENCHMARK'!$C$6=""),"",ABS(U142-'4_BENCHMARK'!$C$6))</f>
        <v>0</v>
      </c>
      <c r="AL142" s="10">
        <f>IF(OR(V142="",'4_BENCHMARK'!$C$7=""),"",ABS(V142-'4_BENCHMARK'!$C$7))</f>
        <v>0</v>
      </c>
      <c r="AM142" s="10">
        <f>IF(OR(W142="",'4_BENCHMARK'!$C$8=""),"",ABS(W142-'4_BENCHMARK'!$C$8))</f>
        <v>1</v>
      </c>
      <c r="AN142" s="10">
        <f>IF(OR(X142="",'4_BENCHMARK'!$C$9=""),"",ABS(X142-'4_BENCHMARK'!$C$9))</f>
        <v>0.5</v>
      </c>
      <c r="AO142" s="10">
        <f>IF(OR(Y142="",'4_BENCHMARK'!$C$10=""),"",ABS(Y142-'4_BENCHMARK'!$C$10))</f>
        <v>0.25</v>
      </c>
      <c r="AP142" s="10">
        <f>IF(OR(Z142="",'4_BENCHMARK'!$C$11=""),"",ABS(Z142-'4_BENCHMARK'!$C$11))</f>
        <v>0</v>
      </c>
      <c r="AQ142" s="13">
        <f t="shared" si="87"/>
        <v>0.78125</v>
      </c>
      <c r="AR142" s="10"/>
      <c r="AS142" s="10" t="s">
        <v>149</v>
      </c>
      <c r="AT142" s="13">
        <f t="shared" si="88"/>
        <v>0.958333333333333</v>
      </c>
      <c r="AU142" s="1" t="str">
        <f t="shared" si="89"/>
        <v/>
      </c>
      <c r="AV142" s="1" t="str">
        <f t="shared" si="90"/>
        <v/>
      </c>
      <c r="AW142" s="1" t="str">
        <f t="shared" si="91"/>
        <v/>
      </c>
      <c r="AX142" s="1" t="str">
        <f t="shared" si="92"/>
        <v/>
      </c>
      <c r="AY142" s="1" t="str">
        <f t="shared" si="93"/>
        <v/>
      </c>
      <c r="AZ142" s="1" t="str">
        <f t="shared" si="94"/>
        <v/>
      </c>
      <c r="BA142" s="1" t="str">
        <f t="shared" si="95"/>
        <v/>
      </c>
      <c r="BB142" s="1" t="str">
        <f t="shared" si="96"/>
        <v/>
      </c>
      <c r="BC142" s="1">
        <f t="shared" si="97"/>
        <v>5</v>
      </c>
      <c r="BD142" s="1">
        <f t="shared" si="98"/>
        <v>5</v>
      </c>
      <c r="BE142" s="1">
        <f t="shared" si="99"/>
        <v>5</v>
      </c>
      <c r="BF142" s="1">
        <f t="shared" si="100"/>
        <v>5</v>
      </c>
      <c r="BG142" s="1">
        <f t="shared" si="101"/>
        <v>5</v>
      </c>
      <c r="BH142" s="1">
        <f t="shared" si="102"/>
        <v>3</v>
      </c>
      <c r="BI142" s="1">
        <f t="shared" si="103"/>
        <v>2</v>
      </c>
      <c r="BJ142" s="1">
        <f t="shared" si="104"/>
        <v>5</v>
      </c>
    </row>
    <row r="143" ht="14.25" customHeight="1" spans="1:62">
      <c r="A143" s="10">
        <v>139</v>
      </c>
      <c r="B143" s="10" t="s">
        <v>572</v>
      </c>
      <c r="C143" s="10">
        <v>2024</v>
      </c>
      <c r="D143" s="10">
        <f t="shared" si="70"/>
        <v>2020</v>
      </c>
      <c r="E143" s="10" t="s">
        <v>136</v>
      </c>
      <c r="F143" s="35" t="s">
        <v>573</v>
      </c>
      <c r="G143" s="10" t="s">
        <v>574</v>
      </c>
      <c r="H143" s="10" t="s">
        <v>140</v>
      </c>
      <c r="I143" s="10" t="s">
        <v>140</v>
      </c>
      <c r="J143" s="10"/>
      <c r="K143" s="10">
        <v>5</v>
      </c>
      <c r="L143" s="10">
        <v>5</v>
      </c>
      <c r="M143" s="10">
        <v>5</v>
      </c>
      <c r="N143" s="10">
        <v>5</v>
      </c>
      <c r="O143" s="10">
        <v>5</v>
      </c>
      <c r="P143" s="10">
        <v>5</v>
      </c>
      <c r="Q143" s="10">
        <v>2</v>
      </c>
      <c r="R143" s="10">
        <v>5</v>
      </c>
      <c r="S143" s="10">
        <f t="shared" si="71"/>
        <v>1</v>
      </c>
      <c r="T143" s="10">
        <f t="shared" si="72"/>
        <v>1</v>
      </c>
      <c r="U143" s="10">
        <f t="shared" si="73"/>
        <v>1</v>
      </c>
      <c r="V143" s="10">
        <f t="shared" si="74"/>
        <v>1</v>
      </c>
      <c r="W143" s="10">
        <f t="shared" si="75"/>
        <v>1</v>
      </c>
      <c r="X143" s="10">
        <f t="shared" si="76"/>
        <v>1</v>
      </c>
      <c r="Y143" s="10">
        <f t="shared" si="77"/>
        <v>0.25</v>
      </c>
      <c r="Z143" s="10">
        <f t="shared" si="78"/>
        <v>1</v>
      </c>
      <c r="AA143" s="10" t="str">
        <f t="shared" si="79"/>
        <v/>
      </c>
      <c r="AB143" s="10" t="str">
        <f t="shared" si="80"/>
        <v/>
      </c>
      <c r="AC143" s="10" t="str">
        <f t="shared" si="81"/>
        <v/>
      </c>
      <c r="AD143" s="10" t="str">
        <f t="shared" si="82"/>
        <v/>
      </c>
      <c r="AE143" s="10" t="str">
        <f t="shared" si="83"/>
        <v/>
      </c>
      <c r="AF143" s="10" t="str">
        <f t="shared" si="84"/>
        <v/>
      </c>
      <c r="AG143" s="10" t="str">
        <f t="shared" si="85"/>
        <v/>
      </c>
      <c r="AH143" s="10" t="str">
        <f t="shared" si="86"/>
        <v/>
      </c>
      <c r="AI143" s="10">
        <f>IF(OR(S143="",'4_BENCHMARK'!$C$4=""),"",ABS(S143-'4_BENCHMARK'!$C$4))</f>
        <v>0</v>
      </c>
      <c r="AJ143" s="10">
        <f>IF(OR(T143="",'4_BENCHMARK'!$C$5=""),"",ABS(T143-'4_BENCHMARK'!$C$5))</f>
        <v>0</v>
      </c>
      <c r="AK143" s="10">
        <f>IF(OR(U143="",'4_BENCHMARK'!$C$6=""),"",ABS(U143-'4_BENCHMARK'!$C$6))</f>
        <v>0</v>
      </c>
      <c r="AL143" s="10">
        <f>IF(OR(V143="",'4_BENCHMARK'!$C$7=""),"",ABS(V143-'4_BENCHMARK'!$C$7))</f>
        <v>0</v>
      </c>
      <c r="AM143" s="10">
        <f>IF(OR(W143="",'4_BENCHMARK'!$C$8=""),"",ABS(W143-'4_BENCHMARK'!$C$8))</f>
        <v>1</v>
      </c>
      <c r="AN143" s="10">
        <f>IF(OR(X143="",'4_BENCHMARK'!$C$9=""),"",ABS(X143-'4_BENCHMARK'!$C$9))</f>
        <v>1</v>
      </c>
      <c r="AO143" s="10">
        <f>IF(OR(Y143="",'4_BENCHMARK'!$C$10=""),"",ABS(Y143-'4_BENCHMARK'!$C$10))</f>
        <v>0.25</v>
      </c>
      <c r="AP143" s="10">
        <f>IF(OR(Z143="",'4_BENCHMARK'!$C$11=""),"",ABS(Z143-'4_BENCHMARK'!$C$11))</f>
        <v>0</v>
      </c>
      <c r="AQ143" s="13">
        <f t="shared" si="87"/>
        <v>0.71875</v>
      </c>
      <c r="AR143" s="10"/>
      <c r="AS143" s="10" t="s">
        <v>230</v>
      </c>
      <c r="AT143" s="13">
        <f t="shared" si="88"/>
        <v>0.958333333333333</v>
      </c>
      <c r="AU143" s="1" t="str">
        <f t="shared" si="89"/>
        <v/>
      </c>
      <c r="AV143" s="1" t="str">
        <f t="shared" si="90"/>
        <v/>
      </c>
      <c r="AW143" s="1" t="str">
        <f t="shared" si="91"/>
        <v/>
      </c>
      <c r="AX143" s="1" t="str">
        <f t="shared" si="92"/>
        <v/>
      </c>
      <c r="AY143" s="1" t="str">
        <f t="shared" si="93"/>
        <v/>
      </c>
      <c r="AZ143" s="1" t="str">
        <f t="shared" si="94"/>
        <v/>
      </c>
      <c r="BA143" s="1" t="str">
        <f t="shared" si="95"/>
        <v/>
      </c>
      <c r="BB143" s="1" t="str">
        <f t="shared" si="96"/>
        <v/>
      </c>
      <c r="BC143" s="1">
        <f t="shared" si="97"/>
        <v>5</v>
      </c>
      <c r="BD143" s="1">
        <f t="shared" si="98"/>
        <v>5</v>
      </c>
      <c r="BE143" s="1">
        <f t="shared" si="99"/>
        <v>5</v>
      </c>
      <c r="BF143" s="1">
        <f t="shared" si="100"/>
        <v>5</v>
      </c>
      <c r="BG143" s="1">
        <f t="shared" si="101"/>
        <v>5</v>
      </c>
      <c r="BH143" s="1">
        <f t="shared" si="102"/>
        <v>5</v>
      </c>
      <c r="BI143" s="1">
        <f t="shared" si="103"/>
        <v>2</v>
      </c>
      <c r="BJ143" s="1">
        <f t="shared" si="104"/>
        <v>5</v>
      </c>
    </row>
    <row r="144" ht="14.25" customHeight="1" spans="1:62">
      <c r="A144" s="10">
        <v>140</v>
      </c>
      <c r="B144" s="10" t="s">
        <v>575</v>
      </c>
      <c r="C144" s="10">
        <v>1937</v>
      </c>
      <c r="D144" s="10">
        <f t="shared" si="70"/>
        <v>1930</v>
      </c>
      <c r="E144" s="10" t="s">
        <v>136</v>
      </c>
      <c r="F144" s="35" t="s">
        <v>576</v>
      </c>
      <c r="G144" s="10" t="s">
        <v>577</v>
      </c>
      <c r="H144" s="10" t="s">
        <v>139</v>
      </c>
      <c r="I144" s="10" t="s">
        <v>140</v>
      </c>
      <c r="J144" s="10"/>
      <c r="K144" s="10">
        <v>5</v>
      </c>
      <c r="L144" s="10">
        <v>5</v>
      </c>
      <c r="M144" s="10">
        <v>5</v>
      </c>
      <c r="N144" s="10">
        <v>5</v>
      </c>
      <c r="O144" s="10">
        <v>1</v>
      </c>
      <c r="P144" s="10">
        <v>1</v>
      </c>
      <c r="Q144" s="10">
        <v>2</v>
      </c>
      <c r="R144" s="10">
        <v>5</v>
      </c>
      <c r="S144" s="10">
        <f t="shared" si="71"/>
        <v>1</v>
      </c>
      <c r="T144" s="10">
        <f t="shared" si="72"/>
        <v>1</v>
      </c>
      <c r="U144" s="10">
        <f t="shared" si="73"/>
        <v>1</v>
      </c>
      <c r="V144" s="10">
        <f t="shared" si="74"/>
        <v>1</v>
      </c>
      <c r="W144" s="10">
        <f t="shared" si="75"/>
        <v>0</v>
      </c>
      <c r="X144" s="10">
        <f t="shared" si="76"/>
        <v>0</v>
      </c>
      <c r="Y144" s="10">
        <f t="shared" si="77"/>
        <v>0.25</v>
      </c>
      <c r="Z144" s="10">
        <f t="shared" si="78"/>
        <v>1</v>
      </c>
      <c r="AA144" s="10">
        <f t="shared" si="79"/>
        <v>1</v>
      </c>
      <c r="AB144" s="10">
        <f t="shared" si="80"/>
        <v>1</v>
      </c>
      <c r="AC144" s="10">
        <f t="shared" si="81"/>
        <v>1</v>
      </c>
      <c r="AD144" s="10">
        <f t="shared" si="82"/>
        <v>1</v>
      </c>
      <c r="AE144" s="10">
        <f t="shared" si="83"/>
        <v>0</v>
      </c>
      <c r="AF144" s="10">
        <f t="shared" si="84"/>
        <v>0</v>
      </c>
      <c r="AG144" s="10">
        <f t="shared" si="85"/>
        <v>0.25</v>
      </c>
      <c r="AH144" s="10">
        <f t="shared" si="86"/>
        <v>1</v>
      </c>
      <c r="AI144" s="10">
        <f>IF(OR(S144="",'4_BENCHMARK'!$C$4=""),"",ABS(S144-'4_BENCHMARK'!$C$4))</f>
        <v>0</v>
      </c>
      <c r="AJ144" s="10">
        <f>IF(OR(T144="",'4_BENCHMARK'!$C$5=""),"",ABS(T144-'4_BENCHMARK'!$C$5))</f>
        <v>0</v>
      </c>
      <c r="AK144" s="10">
        <f>IF(OR(U144="",'4_BENCHMARK'!$C$6=""),"",ABS(U144-'4_BENCHMARK'!$C$6))</f>
        <v>0</v>
      </c>
      <c r="AL144" s="10">
        <f>IF(OR(V144="",'4_BENCHMARK'!$C$7=""),"",ABS(V144-'4_BENCHMARK'!$C$7))</f>
        <v>0</v>
      </c>
      <c r="AM144" s="10">
        <f>IF(OR(W144="",'4_BENCHMARK'!$C$8=""),"",ABS(W144-'4_BENCHMARK'!$C$8))</f>
        <v>0</v>
      </c>
      <c r="AN144" s="10">
        <f>IF(OR(X144="",'4_BENCHMARK'!$C$9=""),"",ABS(X144-'4_BENCHMARK'!$C$9))</f>
        <v>0</v>
      </c>
      <c r="AO144" s="10">
        <f>IF(OR(Y144="",'4_BENCHMARK'!$C$10=""),"",ABS(Y144-'4_BENCHMARK'!$C$10))</f>
        <v>0.25</v>
      </c>
      <c r="AP144" s="10">
        <f>IF(OR(Z144="",'4_BENCHMARK'!$C$11=""),"",ABS(Z144-'4_BENCHMARK'!$C$11))</f>
        <v>0</v>
      </c>
      <c r="AQ144" s="13">
        <f t="shared" si="87"/>
        <v>0.96875</v>
      </c>
      <c r="AR144" s="10"/>
      <c r="AS144" s="10" t="s">
        <v>141</v>
      </c>
      <c r="AT144" s="13">
        <f t="shared" si="88"/>
        <v>0.958333333333333</v>
      </c>
      <c r="AU144" s="1">
        <f t="shared" si="89"/>
        <v>5</v>
      </c>
      <c r="AV144" s="1">
        <f t="shared" si="90"/>
        <v>5</v>
      </c>
      <c r="AW144" s="1">
        <f t="shared" si="91"/>
        <v>5</v>
      </c>
      <c r="AX144" s="1">
        <f t="shared" si="92"/>
        <v>5</v>
      </c>
      <c r="AY144" s="1">
        <f t="shared" si="93"/>
        <v>1</v>
      </c>
      <c r="AZ144" s="1">
        <f t="shared" si="94"/>
        <v>1</v>
      </c>
      <c r="BA144" s="1">
        <f t="shared" si="95"/>
        <v>2</v>
      </c>
      <c r="BB144" s="1">
        <f t="shared" si="96"/>
        <v>5</v>
      </c>
      <c r="BC144" s="1" t="str">
        <f t="shared" si="97"/>
        <v/>
      </c>
      <c r="BD144" s="1" t="str">
        <f t="shared" si="98"/>
        <v/>
      </c>
      <c r="BE144" s="1" t="str">
        <f t="shared" si="99"/>
        <v/>
      </c>
      <c r="BF144" s="1" t="str">
        <f t="shared" si="100"/>
        <v/>
      </c>
      <c r="BG144" s="1" t="str">
        <f t="shared" si="101"/>
        <v/>
      </c>
      <c r="BH144" s="1" t="str">
        <f t="shared" si="102"/>
        <v/>
      </c>
      <c r="BI144" s="1" t="str">
        <f t="shared" si="103"/>
        <v/>
      </c>
      <c r="BJ144" s="1" t="str">
        <f t="shared" si="104"/>
        <v/>
      </c>
    </row>
    <row r="145" ht="14.25" customHeight="1" spans="1:62">
      <c r="A145" s="10">
        <v>141</v>
      </c>
      <c r="B145" s="10" t="s">
        <v>578</v>
      </c>
      <c r="C145" s="10">
        <v>2018</v>
      </c>
      <c r="D145" s="10">
        <f t="shared" si="70"/>
        <v>2010</v>
      </c>
      <c r="E145" s="10" t="s">
        <v>136</v>
      </c>
      <c r="F145" s="35" t="s">
        <v>579</v>
      </c>
      <c r="G145" s="10" t="s">
        <v>580</v>
      </c>
      <c r="H145" s="10" t="s">
        <v>140</v>
      </c>
      <c r="I145" s="10" t="s">
        <v>140</v>
      </c>
      <c r="J145" s="10"/>
      <c r="K145" s="10">
        <v>4</v>
      </c>
      <c r="L145" s="10">
        <v>4</v>
      </c>
      <c r="M145" s="10">
        <v>4</v>
      </c>
      <c r="N145" s="10">
        <v>2</v>
      </c>
      <c r="O145" s="10">
        <v>5</v>
      </c>
      <c r="P145" s="10">
        <v>1</v>
      </c>
      <c r="Q145" s="10">
        <v>2</v>
      </c>
      <c r="R145" s="10">
        <v>4</v>
      </c>
      <c r="S145" s="10">
        <f t="shared" si="71"/>
        <v>0.75</v>
      </c>
      <c r="T145" s="10">
        <f t="shared" si="72"/>
        <v>0.75</v>
      </c>
      <c r="U145" s="10">
        <f t="shared" si="73"/>
        <v>0.75</v>
      </c>
      <c r="V145" s="10">
        <f t="shared" si="74"/>
        <v>0.25</v>
      </c>
      <c r="W145" s="10">
        <f t="shared" si="75"/>
        <v>1</v>
      </c>
      <c r="X145" s="10">
        <f t="shared" si="76"/>
        <v>0</v>
      </c>
      <c r="Y145" s="10">
        <f t="shared" si="77"/>
        <v>0.25</v>
      </c>
      <c r="Z145" s="10">
        <f t="shared" si="78"/>
        <v>0.75</v>
      </c>
      <c r="AA145" s="10" t="str">
        <f t="shared" si="79"/>
        <v/>
      </c>
      <c r="AB145" s="10" t="str">
        <f t="shared" si="80"/>
        <v/>
      </c>
      <c r="AC145" s="10" t="str">
        <f t="shared" si="81"/>
        <v/>
      </c>
      <c r="AD145" s="10" t="str">
        <f t="shared" si="82"/>
        <v/>
      </c>
      <c r="AE145" s="10" t="str">
        <f t="shared" si="83"/>
        <v/>
      </c>
      <c r="AF145" s="10" t="str">
        <f t="shared" si="84"/>
        <v/>
      </c>
      <c r="AG145" s="10" t="str">
        <f t="shared" si="85"/>
        <v/>
      </c>
      <c r="AH145" s="10" t="str">
        <f t="shared" si="86"/>
        <v/>
      </c>
      <c r="AI145" s="10">
        <f>IF(OR(S145="",'4_BENCHMARK'!$C$4=""),"",ABS(S145-'4_BENCHMARK'!$C$4))</f>
        <v>0.25</v>
      </c>
      <c r="AJ145" s="10">
        <f>IF(OR(T145="",'4_BENCHMARK'!$C$5=""),"",ABS(T145-'4_BENCHMARK'!$C$5))</f>
        <v>0.25</v>
      </c>
      <c r="AK145" s="10">
        <f>IF(OR(U145="",'4_BENCHMARK'!$C$6=""),"",ABS(U145-'4_BENCHMARK'!$C$6))</f>
        <v>0.25</v>
      </c>
      <c r="AL145" s="10">
        <f>IF(OR(V145="",'4_BENCHMARK'!$C$7=""),"",ABS(V145-'4_BENCHMARK'!$C$7))</f>
        <v>0.75</v>
      </c>
      <c r="AM145" s="10">
        <f>IF(OR(W145="",'4_BENCHMARK'!$C$8=""),"",ABS(W145-'4_BENCHMARK'!$C$8))</f>
        <v>1</v>
      </c>
      <c r="AN145" s="10">
        <f>IF(OR(X145="",'4_BENCHMARK'!$C$9=""),"",ABS(X145-'4_BENCHMARK'!$C$9))</f>
        <v>0</v>
      </c>
      <c r="AO145" s="10">
        <f>IF(OR(Y145="",'4_BENCHMARK'!$C$10=""),"",ABS(Y145-'4_BENCHMARK'!$C$10))</f>
        <v>0.25</v>
      </c>
      <c r="AP145" s="10">
        <f>IF(OR(Z145="",'4_BENCHMARK'!$C$11=""),"",ABS(Z145-'4_BENCHMARK'!$C$11))</f>
        <v>0.25</v>
      </c>
      <c r="AQ145" s="13">
        <f t="shared" si="87"/>
        <v>0.625</v>
      </c>
      <c r="AR145" s="10"/>
      <c r="AS145" s="10" t="s">
        <v>145</v>
      </c>
      <c r="AT145" s="13">
        <f t="shared" si="88"/>
        <v>0.666666666666667</v>
      </c>
      <c r="AU145" s="1" t="str">
        <f t="shared" si="89"/>
        <v/>
      </c>
      <c r="AV145" s="1" t="str">
        <f t="shared" si="90"/>
        <v/>
      </c>
      <c r="AW145" s="1" t="str">
        <f t="shared" si="91"/>
        <v/>
      </c>
      <c r="AX145" s="1" t="str">
        <f t="shared" si="92"/>
        <v/>
      </c>
      <c r="AY145" s="1" t="str">
        <f t="shared" si="93"/>
        <v/>
      </c>
      <c r="AZ145" s="1" t="str">
        <f t="shared" si="94"/>
        <v/>
      </c>
      <c r="BA145" s="1" t="str">
        <f t="shared" si="95"/>
        <v/>
      </c>
      <c r="BB145" s="1" t="str">
        <f t="shared" si="96"/>
        <v/>
      </c>
      <c r="BC145" s="1">
        <f t="shared" si="97"/>
        <v>4</v>
      </c>
      <c r="BD145" s="1">
        <f t="shared" si="98"/>
        <v>4</v>
      </c>
      <c r="BE145" s="1">
        <f t="shared" si="99"/>
        <v>4</v>
      </c>
      <c r="BF145" s="1">
        <f t="shared" si="100"/>
        <v>2</v>
      </c>
      <c r="BG145" s="1">
        <f t="shared" si="101"/>
        <v>5</v>
      </c>
      <c r="BH145" s="1">
        <f t="shared" si="102"/>
        <v>1</v>
      </c>
      <c r="BI145" s="1">
        <f t="shared" si="103"/>
        <v>2</v>
      </c>
      <c r="BJ145" s="1">
        <f t="shared" si="104"/>
        <v>4</v>
      </c>
    </row>
    <row r="146" ht="14.25" customHeight="1" spans="1:62">
      <c r="A146" s="10">
        <v>142</v>
      </c>
      <c r="B146" s="10" t="s">
        <v>581</v>
      </c>
      <c r="C146" s="10">
        <v>1925</v>
      </c>
      <c r="D146" s="10">
        <f t="shared" si="70"/>
        <v>1920</v>
      </c>
      <c r="E146" s="10" t="s">
        <v>136</v>
      </c>
      <c r="F146" s="35" t="s">
        <v>582</v>
      </c>
      <c r="G146" s="10" t="s">
        <v>583</v>
      </c>
      <c r="H146" s="10" t="s">
        <v>139</v>
      </c>
      <c r="I146" s="10" t="s">
        <v>140</v>
      </c>
      <c r="J146" s="10"/>
      <c r="K146" s="10">
        <v>5</v>
      </c>
      <c r="L146" s="10">
        <v>5</v>
      </c>
      <c r="M146" s="10">
        <v>5</v>
      </c>
      <c r="N146" s="10">
        <v>5</v>
      </c>
      <c r="O146" s="10">
        <v>1</v>
      </c>
      <c r="P146" s="10">
        <v>1</v>
      </c>
      <c r="Q146" s="10">
        <v>2</v>
      </c>
      <c r="R146" s="10">
        <v>5</v>
      </c>
      <c r="S146" s="10">
        <f t="shared" si="71"/>
        <v>1</v>
      </c>
      <c r="T146" s="10">
        <f t="shared" si="72"/>
        <v>1</v>
      </c>
      <c r="U146" s="10">
        <f t="shared" si="73"/>
        <v>1</v>
      </c>
      <c r="V146" s="10">
        <f t="shared" si="74"/>
        <v>1</v>
      </c>
      <c r="W146" s="10">
        <f t="shared" si="75"/>
        <v>0</v>
      </c>
      <c r="X146" s="10">
        <f t="shared" si="76"/>
        <v>0</v>
      </c>
      <c r="Y146" s="10">
        <f t="shared" si="77"/>
        <v>0.25</v>
      </c>
      <c r="Z146" s="10">
        <f t="shared" si="78"/>
        <v>1</v>
      </c>
      <c r="AA146" s="10">
        <f t="shared" si="79"/>
        <v>1</v>
      </c>
      <c r="AB146" s="10">
        <f t="shared" si="80"/>
        <v>1</v>
      </c>
      <c r="AC146" s="10">
        <f t="shared" si="81"/>
        <v>1</v>
      </c>
      <c r="AD146" s="10">
        <f t="shared" si="82"/>
        <v>1</v>
      </c>
      <c r="AE146" s="10">
        <f t="shared" si="83"/>
        <v>0</v>
      </c>
      <c r="AF146" s="10">
        <f t="shared" si="84"/>
        <v>0</v>
      </c>
      <c r="AG146" s="10">
        <f t="shared" si="85"/>
        <v>0.25</v>
      </c>
      <c r="AH146" s="10">
        <f t="shared" si="86"/>
        <v>1</v>
      </c>
      <c r="AI146" s="10">
        <f>IF(OR(S146="",'4_BENCHMARK'!$C$4=""),"",ABS(S146-'4_BENCHMARK'!$C$4))</f>
        <v>0</v>
      </c>
      <c r="AJ146" s="10">
        <f>IF(OR(T146="",'4_BENCHMARK'!$C$5=""),"",ABS(T146-'4_BENCHMARK'!$C$5))</f>
        <v>0</v>
      </c>
      <c r="AK146" s="10">
        <f>IF(OR(U146="",'4_BENCHMARK'!$C$6=""),"",ABS(U146-'4_BENCHMARK'!$C$6))</f>
        <v>0</v>
      </c>
      <c r="AL146" s="10">
        <f>IF(OR(V146="",'4_BENCHMARK'!$C$7=""),"",ABS(V146-'4_BENCHMARK'!$C$7))</f>
        <v>0</v>
      </c>
      <c r="AM146" s="10">
        <f>IF(OR(W146="",'4_BENCHMARK'!$C$8=""),"",ABS(W146-'4_BENCHMARK'!$C$8))</f>
        <v>0</v>
      </c>
      <c r="AN146" s="10">
        <f>IF(OR(X146="",'4_BENCHMARK'!$C$9=""),"",ABS(X146-'4_BENCHMARK'!$C$9))</f>
        <v>0</v>
      </c>
      <c r="AO146" s="10">
        <f>IF(OR(Y146="",'4_BENCHMARK'!$C$10=""),"",ABS(Y146-'4_BENCHMARK'!$C$10))</f>
        <v>0.25</v>
      </c>
      <c r="AP146" s="10">
        <f>IF(OR(Z146="",'4_BENCHMARK'!$C$11=""),"",ABS(Z146-'4_BENCHMARK'!$C$11))</f>
        <v>0</v>
      </c>
      <c r="AQ146" s="13">
        <f t="shared" si="87"/>
        <v>0.96875</v>
      </c>
      <c r="AR146" s="10"/>
      <c r="AS146" s="10" t="s">
        <v>230</v>
      </c>
      <c r="AT146" s="13">
        <f t="shared" si="88"/>
        <v>0.958333333333333</v>
      </c>
      <c r="AU146" s="1">
        <f t="shared" si="89"/>
        <v>5</v>
      </c>
      <c r="AV146" s="1">
        <f t="shared" si="90"/>
        <v>5</v>
      </c>
      <c r="AW146" s="1">
        <f t="shared" si="91"/>
        <v>5</v>
      </c>
      <c r="AX146" s="1">
        <f t="shared" si="92"/>
        <v>5</v>
      </c>
      <c r="AY146" s="1">
        <f t="shared" si="93"/>
        <v>1</v>
      </c>
      <c r="AZ146" s="1">
        <f t="shared" si="94"/>
        <v>1</v>
      </c>
      <c r="BA146" s="1">
        <f t="shared" si="95"/>
        <v>2</v>
      </c>
      <c r="BB146" s="1">
        <f t="shared" si="96"/>
        <v>5</v>
      </c>
      <c r="BC146" s="1" t="str">
        <f t="shared" si="97"/>
        <v/>
      </c>
      <c r="BD146" s="1" t="str">
        <f t="shared" si="98"/>
        <v/>
      </c>
      <c r="BE146" s="1" t="str">
        <f t="shared" si="99"/>
        <v/>
      </c>
      <c r="BF146" s="1" t="str">
        <f t="shared" si="100"/>
        <v/>
      </c>
      <c r="BG146" s="1" t="str">
        <f t="shared" si="101"/>
        <v/>
      </c>
      <c r="BH146" s="1" t="str">
        <f t="shared" si="102"/>
        <v/>
      </c>
      <c r="BI146" s="1" t="str">
        <f t="shared" si="103"/>
        <v/>
      </c>
      <c r="BJ146" s="1" t="str">
        <f t="shared" si="104"/>
        <v/>
      </c>
    </row>
    <row r="147" ht="14.25" customHeight="1" spans="1:62">
      <c r="A147" s="10">
        <v>143</v>
      </c>
      <c r="B147" s="10" t="s">
        <v>584</v>
      </c>
      <c r="C147" s="10">
        <v>2019</v>
      </c>
      <c r="D147" s="10">
        <f t="shared" si="70"/>
        <v>2010</v>
      </c>
      <c r="E147" s="10" t="s">
        <v>136</v>
      </c>
      <c r="F147" s="35" t="s">
        <v>585</v>
      </c>
      <c r="G147" s="10" t="s">
        <v>586</v>
      </c>
      <c r="H147" s="10" t="s">
        <v>140</v>
      </c>
      <c r="I147" s="10" t="s">
        <v>140</v>
      </c>
      <c r="J147" s="10"/>
      <c r="K147" s="10">
        <v>5</v>
      </c>
      <c r="L147" s="10">
        <v>1</v>
      </c>
      <c r="M147" s="10">
        <v>4</v>
      </c>
      <c r="N147" s="10">
        <v>4</v>
      </c>
      <c r="O147" s="10">
        <v>1</v>
      </c>
      <c r="P147" s="10">
        <v>1</v>
      </c>
      <c r="Q147" s="10">
        <v>2</v>
      </c>
      <c r="R147" s="10">
        <v>3</v>
      </c>
      <c r="S147" s="10">
        <f t="shared" si="71"/>
        <v>1</v>
      </c>
      <c r="T147" s="10">
        <f t="shared" si="72"/>
        <v>0</v>
      </c>
      <c r="U147" s="10">
        <f t="shared" si="73"/>
        <v>0.75</v>
      </c>
      <c r="V147" s="10">
        <f t="shared" si="74"/>
        <v>0.75</v>
      </c>
      <c r="W147" s="10">
        <f t="shared" si="75"/>
        <v>0</v>
      </c>
      <c r="X147" s="10">
        <f t="shared" si="76"/>
        <v>0</v>
      </c>
      <c r="Y147" s="10">
        <f t="shared" si="77"/>
        <v>0.25</v>
      </c>
      <c r="Z147" s="10">
        <f t="shared" si="78"/>
        <v>0.5</v>
      </c>
      <c r="AA147" s="10" t="str">
        <f t="shared" si="79"/>
        <v/>
      </c>
      <c r="AB147" s="10" t="str">
        <f t="shared" si="80"/>
        <v/>
      </c>
      <c r="AC147" s="10" t="str">
        <f t="shared" si="81"/>
        <v/>
      </c>
      <c r="AD147" s="10" t="str">
        <f t="shared" si="82"/>
        <v/>
      </c>
      <c r="AE147" s="10" t="str">
        <f t="shared" si="83"/>
        <v/>
      </c>
      <c r="AF147" s="10" t="str">
        <f t="shared" si="84"/>
        <v/>
      </c>
      <c r="AG147" s="10" t="str">
        <f t="shared" si="85"/>
        <v/>
      </c>
      <c r="AH147" s="10" t="str">
        <f t="shared" si="86"/>
        <v/>
      </c>
      <c r="AI147" s="10">
        <f>IF(OR(S147="",'4_BENCHMARK'!$C$4=""),"",ABS(S147-'4_BENCHMARK'!$C$4))</f>
        <v>0</v>
      </c>
      <c r="AJ147" s="10">
        <f>IF(OR(T147="",'4_BENCHMARK'!$C$5=""),"",ABS(T147-'4_BENCHMARK'!$C$5))</f>
        <v>1</v>
      </c>
      <c r="AK147" s="10">
        <f>IF(OR(U147="",'4_BENCHMARK'!$C$6=""),"",ABS(U147-'4_BENCHMARK'!$C$6))</f>
        <v>0.25</v>
      </c>
      <c r="AL147" s="10">
        <f>IF(OR(V147="",'4_BENCHMARK'!$C$7=""),"",ABS(V147-'4_BENCHMARK'!$C$7))</f>
        <v>0.25</v>
      </c>
      <c r="AM147" s="10">
        <f>IF(OR(W147="",'4_BENCHMARK'!$C$8=""),"",ABS(W147-'4_BENCHMARK'!$C$8))</f>
        <v>0</v>
      </c>
      <c r="AN147" s="10">
        <f>IF(OR(X147="",'4_BENCHMARK'!$C$9=""),"",ABS(X147-'4_BENCHMARK'!$C$9))</f>
        <v>0</v>
      </c>
      <c r="AO147" s="10">
        <f>IF(OR(Y147="",'4_BENCHMARK'!$C$10=""),"",ABS(Y147-'4_BENCHMARK'!$C$10))</f>
        <v>0.25</v>
      </c>
      <c r="AP147" s="10">
        <f>IF(OR(Z147="",'4_BENCHMARK'!$C$11=""),"",ABS(Z147-'4_BENCHMARK'!$C$11))</f>
        <v>0.5</v>
      </c>
      <c r="AQ147" s="13">
        <f t="shared" si="87"/>
        <v>0.71875</v>
      </c>
      <c r="AR147" s="10"/>
      <c r="AS147" s="10" t="s">
        <v>145</v>
      </c>
      <c r="AT147" s="13">
        <f t="shared" si="88"/>
        <v>0.625</v>
      </c>
      <c r="AU147" s="1" t="str">
        <f t="shared" si="89"/>
        <v/>
      </c>
      <c r="AV147" s="1" t="str">
        <f t="shared" si="90"/>
        <v/>
      </c>
      <c r="AW147" s="1" t="str">
        <f t="shared" si="91"/>
        <v/>
      </c>
      <c r="AX147" s="1" t="str">
        <f t="shared" si="92"/>
        <v/>
      </c>
      <c r="AY147" s="1" t="str">
        <f t="shared" si="93"/>
        <v/>
      </c>
      <c r="AZ147" s="1" t="str">
        <f t="shared" si="94"/>
        <v/>
      </c>
      <c r="BA147" s="1" t="str">
        <f t="shared" si="95"/>
        <v/>
      </c>
      <c r="BB147" s="1" t="str">
        <f t="shared" si="96"/>
        <v/>
      </c>
      <c r="BC147" s="1">
        <f t="shared" si="97"/>
        <v>5</v>
      </c>
      <c r="BD147" s="1">
        <f t="shared" si="98"/>
        <v>1</v>
      </c>
      <c r="BE147" s="1">
        <f t="shared" si="99"/>
        <v>4</v>
      </c>
      <c r="BF147" s="1">
        <f t="shared" si="100"/>
        <v>4</v>
      </c>
      <c r="BG147" s="1">
        <f t="shared" si="101"/>
        <v>1</v>
      </c>
      <c r="BH147" s="1">
        <f t="shared" si="102"/>
        <v>1</v>
      </c>
      <c r="BI147" s="1">
        <f t="shared" si="103"/>
        <v>2</v>
      </c>
      <c r="BJ147" s="1">
        <f t="shared" si="104"/>
        <v>3</v>
      </c>
    </row>
    <row r="148" ht="14.25" customHeight="1" spans="1:62">
      <c r="A148" s="10">
        <v>144</v>
      </c>
      <c r="B148" s="10" t="s">
        <v>587</v>
      </c>
      <c r="C148" s="10">
        <v>2004</v>
      </c>
      <c r="D148" s="10">
        <f t="shared" si="70"/>
        <v>2000</v>
      </c>
      <c r="E148" s="10" t="s">
        <v>136</v>
      </c>
      <c r="F148" s="35" t="s">
        <v>588</v>
      </c>
      <c r="G148" s="10" t="s">
        <v>589</v>
      </c>
      <c r="H148" s="10" t="s">
        <v>140</v>
      </c>
      <c r="I148" s="10" t="s">
        <v>140</v>
      </c>
      <c r="J148" s="10"/>
      <c r="K148" s="10">
        <v>2</v>
      </c>
      <c r="L148" s="10">
        <v>2</v>
      </c>
      <c r="M148" s="10">
        <v>2</v>
      </c>
      <c r="N148" s="10">
        <v>5</v>
      </c>
      <c r="O148" s="10">
        <v>5</v>
      </c>
      <c r="P148" s="10">
        <v>5</v>
      </c>
      <c r="Q148" s="10">
        <v>2</v>
      </c>
      <c r="R148" s="10">
        <v>3</v>
      </c>
      <c r="S148" s="10">
        <f t="shared" si="71"/>
        <v>0.25</v>
      </c>
      <c r="T148" s="10">
        <f t="shared" si="72"/>
        <v>0.25</v>
      </c>
      <c r="U148" s="10">
        <f t="shared" si="73"/>
        <v>0.25</v>
      </c>
      <c r="V148" s="10">
        <f t="shared" si="74"/>
        <v>1</v>
      </c>
      <c r="W148" s="10">
        <f t="shared" si="75"/>
        <v>1</v>
      </c>
      <c r="X148" s="10">
        <f t="shared" si="76"/>
        <v>1</v>
      </c>
      <c r="Y148" s="10">
        <f t="shared" si="77"/>
        <v>0.25</v>
      </c>
      <c r="Z148" s="10">
        <f t="shared" si="78"/>
        <v>0.5</v>
      </c>
      <c r="AA148" s="10" t="str">
        <f t="shared" si="79"/>
        <v/>
      </c>
      <c r="AB148" s="10" t="str">
        <f t="shared" si="80"/>
        <v/>
      </c>
      <c r="AC148" s="10" t="str">
        <f t="shared" si="81"/>
        <v/>
      </c>
      <c r="AD148" s="10" t="str">
        <f t="shared" si="82"/>
        <v/>
      </c>
      <c r="AE148" s="10" t="str">
        <f t="shared" si="83"/>
        <v/>
      </c>
      <c r="AF148" s="10" t="str">
        <f t="shared" si="84"/>
        <v/>
      </c>
      <c r="AG148" s="10" t="str">
        <f t="shared" si="85"/>
        <v/>
      </c>
      <c r="AH148" s="10" t="str">
        <f t="shared" si="86"/>
        <v/>
      </c>
      <c r="AI148" s="10">
        <f>IF(OR(S148="",'4_BENCHMARK'!$C$4=""),"",ABS(S148-'4_BENCHMARK'!$C$4))</f>
        <v>0.75</v>
      </c>
      <c r="AJ148" s="10">
        <f>IF(OR(T148="",'4_BENCHMARK'!$C$5=""),"",ABS(T148-'4_BENCHMARK'!$C$5))</f>
        <v>0.75</v>
      </c>
      <c r="AK148" s="10">
        <f>IF(OR(U148="",'4_BENCHMARK'!$C$6=""),"",ABS(U148-'4_BENCHMARK'!$C$6))</f>
        <v>0.75</v>
      </c>
      <c r="AL148" s="10">
        <f>IF(OR(V148="",'4_BENCHMARK'!$C$7=""),"",ABS(V148-'4_BENCHMARK'!$C$7))</f>
        <v>0</v>
      </c>
      <c r="AM148" s="10">
        <f>IF(OR(W148="",'4_BENCHMARK'!$C$8=""),"",ABS(W148-'4_BENCHMARK'!$C$8))</f>
        <v>1</v>
      </c>
      <c r="AN148" s="10">
        <f>IF(OR(X148="",'4_BENCHMARK'!$C$9=""),"",ABS(X148-'4_BENCHMARK'!$C$9))</f>
        <v>1</v>
      </c>
      <c r="AO148" s="10">
        <f>IF(OR(Y148="",'4_BENCHMARK'!$C$10=""),"",ABS(Y148-'4_BENCHMARK'!$C$10))</f>
        <v>0.25</v>
      </c>
      <c r="AP148" s="10">
        <f>IF(OR(Z148="",'4_BENCHMARK'!$C$11=""),"",ABS(Z148-'4_BENCHMARK'!$C$11))</f>
        <v>0.5</v>
      </c>
      <c r="AQ148" s="13">
        <f t="shared" si="87"/>
        <v>0.375</v>
      </c>
      <c r="AR148" s="10" t="s">
        <v>140</v>
      </c>
      <c r="AS148" s="10" t="s">
        <v>145</v>
      </c>
      <c r="AT148" s="13">
        <f t="shared" si="88"/>
        <v>0.5</v>
      </c>
      <c r="AU148" s="1" t="str">
        <f t="shared" si="89"/>
        <v/>
      </c>
      <c r="AV148" s="1" t="str">
        <f t="shared" si="90"/>
        <v/>
      </c>
      <c r="AW148" s="1" t="str">
        <f t="shared" si="91"/>
        <v/>
      </c>
      <c r="AX148" s="1" t="str">
        <f t="shared" si="92"/>
        <v/>
      </c>
      <c r="AY148" s="1" t="str">
        <f t="shared" si="93"/>
        <v/>
      </c>
      <c r="AZ148" s="1" t="str">
        <f t="shared" si="94"/>
        <v/>
      </c>
      <c r="BA148" s="1" t="str">
        <f t="shared" si="95"/>
        <v/>
      </c>
      <c r="BB148" s="1" t="str">
        <f t="shared" si="96"/>
        <v/>
      </c>
      <c r="BC148" s="1">
        <f t="shared" si="97"/>
        <v>2</v>
      </c>
      <c r="BD148" s="1">
        <f t="shared" si="98"/>
        <v>2</v>
      </c>
      <c r="BE148" s="1">
        <f t="shared" si="99"/>
        <v>2</v>
      </c>
      <c r="BF148" s="1">
        <f t="shared" si="100"/>
        <v>5</v>
      </c>
      <c r="BG148" s="1">
        <f t="shared" si="101"/>
        <v>5</v>
      </c>
      <c r="BH148" s="1">
        <f t="shared" si="102"/>
        <v>5</v>
      </c>
      <c r="BI148" s="1">
        <f t="shared" si="103"/>
        <v>2</v>
      </c>
      <c r="BJ148" s="1">
        <f t="shared" si="104"/>
        <v>3</v>
      </c>
    </row>
    <row r="149" ht="14.25" customHeight="1" spans="1:62">
      <c r="A149" s="10">
        <v>145</v>
      </c>
      <c r="B149" s="10" t="s">
        <v>590</v>
      </c>
      <c r="C149" s="10">
        <v>2000</v>
      </c>
      <c r="D149" s="10">
        <f t="shared" si="70"/>
        <v>2000</v>
      </c>
      <c r="E149" s="10" t="s">
        <v>136</v>
      </c>
      <c r="F149" s="35" t="s">
        <v>591</v>
      </c>
      <c r="G149" s="10" t="s">
        <v>592</v>
      </c>
      <c r="H149" s="10" t="s">
        <v>140</v>
      </c>
      <c r="I149" s="10" t="s">
        <v>140</v>
      </c>
      <c r="J149" s="10" t="s">
        <v>593</v>
      </c>
      <c r="K149" s="10">
        <v>5</v>
      </c>
      <c r="L149" s="10">
        <v>5</v>
      </c>
      <c r="M149" s="10">
        <v>5</v>
      </c>
      <c r="N149" s="10">
        <v>5</v>
      </c>
      <c r="O149" s="10">
        <v>5</v>
      </c>
      <c r="P149" s="10">
        <v>5</v>
      </c>
      <c r="Q149" s="10">
        <v>2</v>
      </c>
      <c r="R149" s="10">
        <v>5</v>
      </c>
      <c r="S149" s="10">
        <f t="shared" si="71"/>
        <v>1</v>
      </c>
      <c r="T149" s="10">
        <f t="shared" si="72"/>
        <v>1</v>
      </c>
      <c r="U149" s="10">
        <f t="shared" si="73"/>
        <v>1</v>
      </c>
      <c r="V149" s="10">
        <f t="shared" si="74"/>
        <v>1</v>
      </c>
      <c r="W149" s="10">
        <f t="shared" si="75"/>
        <v>1</v>
      </c>
      <c r="X149" s="10">
        <f t="shared" si="76"/>
        <v>1</v>
      </c>
      <c r="Y149" s="10">
        <f t="shared" si="77"/>
        <v>0.25</v>
      </c>
      <c r="Z149" s="10">
        <f t="shared" si="78"/>
        <v>1</v>
      </c>
      <c r="AA149" s="10" t="str">
        <f t="shared" si="79"/>
        <v/>
      </c>
      <c r="AB149" s="10" t="str">
        <f t="shared" si="80"/>
        <v/>
      </c>
      <c r="AC149" s="10" t="str">
        <f t="shared" si="81"/>
        <v/>
      </c>
      <c r="AD149" s="10" t="str">
        <f t="shared" si="82"/>
        <v/>
      </c>
      <c r="AE149" s="10" t="str">
        <f t="shared" si="83"/>
        <v/>
      </c>
      <c r="AF149" s="10" t="str">
        <f t="shared" si="84"/>
        <v/>
      </c>
      <c r="AG149" s="10" t="str">
        <f t="shared" si="85"/>
        <v/>
      </c>
      <c r="AH149" s="10" t="str">
        <f t="shared" si="86"/>
        <v/>
      </c>
      <c r="AI149" s="10">
        <f>IF(OR(S149="",'4_BENCHMARK'!$C$4=""),"",ABS(S149-'4_BENCHMARK'!$C$4))</f>
        <v>0</v>
      </c>
      <c r="AJ149" s="10">
        <f>IF(OR(T149="",'4_BENCHMARK'!$C$5=""),"",ABS(T149-'4_BENCHMARK'!$C$5))</f>
        <v>0</v>
      </c>
      <c r="AK149" s="10">
        <f>IF(OR(U149="",'4_BENCHMARK'!$C$6=""),"",ABS(U149-'4_BENCHMARK'!$C$6))</f>
        <v>0</v>
      </c>
      <c r="AL149" s="10">
        <f>IF(OR(V149="",'4_BENCHMARK'!$C$7=""),"",ABS(V149-'4_BENCHMARK'!$C$7))</f>
        <v>0</v>
      </c>
      <c r="AM149" s="10">
        <f>IF(OR(W149="",'4_BENCHMARK'!$C$8=""),"",ABS(W149-'4_BENCHMARK'!$C$8))</f>
        <v>1</v>
      </c>
      <c r="AN149" s="10">
        <f>IF(OR(X149="",'4_BENCHMARK'!$C$9=""),"",ABS(X149-'4_BENCHMARK'!$C$9))</f>
        <v>1</v>
      </c>
      <c r="AO149" s="10">
        <f>IF(OR(Y149="",'4_BENCHMARK'!$C$10=""),"",ABS(Y149-'4_BENCHMARK'!$C$10))</f>
        <v>0.25</v>
      </c>
      <c r="AP149" s="10">
        <f>IF(OR(Z149="",'4_BENCHMARK'!$C$11=""),"",ABS(Z149-'4_BENCHMARK'!$C$11))</f>
        <v>0</v>
      </c>
      <c r="AQ149" s="13">
        <f t="shared" si="87"/>
        <v>0.71875</v>
      </c>
      <c r="AR149" s="10"/>
      <c r="AS149" s="10" t="s">
        <v>230</v>
      </c>
      <c r="AT149" s="13">
        <f t="shared" si="88"/>
        <v>0.958333333333333</v>
      </c>
      <c r="AU149" s="1" t="str">
        <f t="shared" si="89"/>
        <v/>
      </c>
      <c r="AV149" s="1" t="str">
        <f t="shared" si="90"/>
        <v/>
      </c>
      <c r="AW149" s="1" t="str">
        <f t="shared" si="91"/>
        <v/>
      </c>
      <c r="AX149" s="1" t="str">
        <f t="shared" si="92"/>
        <v/>
      </c>
      <c r="AY149" s="1" t="str">
        <f t="shared" si="93"/>
        <v/>
      </c>
      <c r="AZ149" s="1" t="str">
        <f t="shared" si="94"/>
        <v/>
      </c>
      <c r="BA149" s="1" t="str">
        <f t="shared" si="95"/>
        <v/>
      </c>
      <c r="BB149" s="1" t="str">
        <f t="shared" si="96"/>
        <v/>
      </c>
      <c r="BC149" s="1">
        <f t="shared" si="97"/>
        <v>5</v>
      </c>
      <c r="BD149" s="1">
        <f t="shared" si="98"/>
        <v>5</v>
      </c>
      <c r="BE149" s="1">
        <f t="shared" si="99"/>
        <v>5</v>
      </c>
      <c r="BF149" s="1">
        <f t="shared" si="100"/>
        <v>5</v>
      </c>
      <c r="BG149" s="1">
        <f t="shared" si="101"/>
        <v>5</v>
      </c>
      <c r="BH149" s="1">
        <f t="shared" si="102"/>
        <v>5</v>
      </c>
      <c r="BI149" s="1">
        <f t="shared" si="103"/>
        <v>2</v>
      </c>
      <c r="BJ149" s="1">
        <f t="shared" si="104"/>
        <v>5</v>
      </c>
    </row>
    <row r="150" ht="14.25" customHeight="1" spans="1:62">
      <c r="A150" s="10">
        <v>146</v>
      </c>
      <c r="B150" s="10" t="s">
        <v>594</v>
      </c>
      <c r="C150" s="10">
        <v>2000</v>
      </c>
      <c r="D150" s="10">
        <f t="shared" si="70"/>
        <v>2000</v>
      </c>
      <c r="E150" s="10" t="s">
        <v>136</v>
      </c>
      <c r="F150" s="35" t="s">
        <v>595</v>
      </c>
      <c r="G150" s="10" t="s">
        <v>596</v>
      </c>
      <c r="H150" s="10" t="s">
        <v>140</v>
      </c>
      <c r="I150" s="10" t="s">
        <v>140</v>
      </c>
      <c r="J150" s="10"/>
      <c r="K150" s="10">
        <v>5</v>
      </c>
      <c r="L150" s="10">
        <v>5</v>
      </c>
      <c r="M150" s="10">
        <v>5</v>
      </c>
      <c r="N150" s="10">
        <v>5</v>
      </c>
      <c r="O150" s="10">
        <v>5</v>
      </c>
      <c r="P150" s="10">
        <v>5</v>
      </c>
      <c r="Q150" s="10">
        <v>2</v>
      </c>
      <c r="R150" s="10">
        <v>5</v>
      </c>
      <c r="S150" s="10">
        <f t="shared" si="71"/>
        <v>1</v>
      </c>
      <c r="T150" s="10">
        <f t="shared" si="72"/>
        <v>1</v>
      </c>
      <c r="U150" s="10">
        <f t="shared" si="73"/>
        <v>1</v>
      </c>
      <c r="V150" s="10">
        <f t="shared" si="74"/>
        <v>1</v>
      </c>
      <c r="W150" s="10">
        <f t="shared" si="75"/>
        <v>1</v>
      </c>
      <c r="X150" s="10">
        <f t="shared" si="76"/>
        <v>1</v>
      </c>
      <c r="Y150" s="10">
        <f t="shared" si="77"/>
        <v>0.25</v>
      </c>
      <c r="Z150" s="10">
        <f t="shared" si="78"/>
        <v>1</v>
      </c>
      <c r="AA150" s="10" t="str">
        <f t="shared" si="79"/>
        <v/>
      </c>
      <c r="AB150" s="10" t="str">
        <f t="shared" si="80"/>
        <v/>
      </c>
      <c r="AC150" s="10" t="str">
        <f t="shared" si="81"/>
        <v/>
      </c>
      <c r="AD150" s="10" t="str">
        <f t="shared" si="82"/>
        <v/>
      </c>
      <c r="AE150" s="10" t="str">
        <f t="shared" si="83"/>
        <v/>
      </c>
      <c r="AF150" s="10" t="str">
        <f t="shared" si="84"/>
        <v/>
      </c>
      <c r="AG150" s="10" t="str">
        <f t="shared" si="85"/>
        <v/>
      </c>
      <c r="AH150" s="10" t="str">
        <f t="shared" si="86"/>
        <v/>
      </c>
      <c r="AI150" s="10">
        <f>IF(OR(S150="",'4_BENCHMARK'!$C$4=""),"",ABS(S150-'4_BENCHMARK'!$C$4))</f>
        <v>0</v>
      </c>
      <c r="AJ150" s="10">
        <f>IF(OR(T150="",'4_BENCHMARK'!$C$5=""),"",ABS(T150-'4_BENCHMARK'!$C$5))</f>
        <v>0</v>
      </c>
      <c r="AK150" s="10">
        <f>IF(OR(U150="",'4_BENCHMARK'!$C$6=""),"",ABS(U150-'4_BENCHMARK'!$C$6))</f>
        <v>0</v>
      </c>
      <c r="AL150" s="10">
        <f>IF(OR(V150="",'4_BENCHMARK'!$C$7=""),"",ABS(V150-'4_BENCHMARK'!$C$7))</f>
        <v>0</v>
      </c>
      <c r="AM150" s="10">
        <f>IF(OR(W150="",'4_BENCHMARK'!$C$8=""),"",ABS(W150-'4_BENCHMARK'!$C$8))</f>
        <v>1</v>
      </c>
      <c r="AN150" s="10">
        <f>IF(OR(X150="",'4_BENCHMARK'!$C$9=""),"",ABS(X150-'4_BENCHMARK'!$C$9))</f>
        <v>1</v>
      </c>
      <c r="AO150" s="10">
        <f>IF(OR(Y150="",'4_BENCHMARK'!$C$10=""),"",ABS(Y150-'4_BENCHMARK'!$C$10))</f>
        <v>0.25</v>
      </c>
      <c r="AP150" s="10">
        <f>IF(OR(Z150="",'4_BENCHMARK'!$C$11=""),"",ABS(Z150-'4_BENCHMARK'!$C$11))</f>
        <v>0</v>
      </c>
      <c r="AQ150" s="13">
        <f t="shared" si="87"/>
        <v>0.71875</v>
      </c>
      <c r="AR150" s="10"/>
      <c r="AS150" s="10" t="s">
        <v>230</v>
      </c>
      <c r="AT150" s="13">
        <f t="shared" si="88"/>
        <v>0.958333333333333</v>
      </c>
      <c r="AU150" s="1" t="str">
        <f t="shared" si="89"/>
        <v/>
      </c>
      <c r="AV150" s="1" t="str">
        <f t="shared" si="90"/>
        <v/>
      </c>
      <c r="AW150" s="1" t="str">
        <f t="shared" si="91"/>
        <v/>
      </c>
      <c r="AX150" s="1" t="str">
        <f t="shared" si="92"/>
        <v/>
      </c>
      <c r="AY150" s="1" t="str">
        <f t="shared" si="93"/>
        <v/>
      </c>
      <c r="AZ150" s="1" t="str">
        <f t="shared" si="94"/>
        <v/>
      </c>
      <c r="BA150" s="1" t="str">
        <f t="shared" si="95"/>
        <v/>
      </c>
      <c r="BB150" s="1" t="str">
        <f t="shared" si="96"/>
        <v/>
      </c>
      <c r="BC150" s="1">
        <f t="shared" si="97"/>
        <v>5</v>
      </c>
      <c r="BD150" s="1">
        <f t="shared" si="98"/>
        <v>5</v>
      </c>
      <c r="BE150" s="1">
        <f t="shared" si="99"/>
        <v>5</v>
      </c>
      <c r="BF150" s="1">
        <f t="shared" si="100"/>
        <v>5</v>
      </c>
      <c r="BG150" s="1">
        <f t="shared" si="101"/>
        <v>5</v>
      </c>
      <c r="BH150" s="1">
        <f t="shared" si="102"/>
        <v>5</v>
      </c>
      <c r="BI150" s="1">
        <f t="shared" si="103"/>
        <v>2</v>
      </c>
      <c r="BJ150" s="1">
        <f t="shared" si="104"/>
        <v>5</v>
      </c>
    </row>
    <row r="151" ht="14.25" customHeight="1" spans="1:62">
      <c r="A151" s="10">
        <v>147</v>
      </c>
      <c r="B151" s="10" t="s">
        <v>597</v>
      </c>
      <c r="C151" s="10">
        <v>2018</v>
      </c>
      <c r="D151" s="10">
        <f t="shared" si="70"/>
        <v>2010</v>
      </c>
      <c r="E151" s="10" t="s">
        <v>136</v>
      </c>
      <c r="F151" s="35" t="s">
        <v>598</v>
      </c>
      <c r="G151" s="10" t="s">
        <v>599</v>
      </c>
      <c r="H151" s="10" t="s">
        <v>140</v>
      </c>
      <c r="I151" s="10" t="s">
        <v>140</v>
      </c>
      <c r="J151" s="10"/>
      <c r="K151" s="10">
        <v>3</v>
      </c>
      <c r="L151" s="10">
        <v>4</v>
      </c>
      <c r="M151" s="10">
        <v>4</v>
      </c>
      <c r="N151" s="10">
        <v>3</v>
      </c>
      <c r="O151" s="10">
        <v>3</v>
      </c>
      <c r="P151" s="10">
        <v>2</v>
      </c>
      <c r="Q151" s="10">
        <v>2</v>
      </c>
      <c r="R151" s="10">
        <v>4</v>
      </c>
      <c r="S151" s="10">
        <f t="shared" si="71"/>
        <v>0.5</v>
      </c>
      <c r="T151" s="10">
        <f t="shared" si="72"/>
        <v>0.75</v>
      </c>
      <c r="U151" s="10">
        <f t="shared" si="73"/>
        <v>0.75</v>
      </c>
      <c r="V151" s="10">
        <f t="shared" si="74"/>
        <v>0.5</v>
      </c>
      <c r="W151" s="10">
        <f t="shared" si="75"/>
        <v>0.5</v>
      </c>
      <c r="X151" s="10">
        <f t="shared" si="76"/>
        <v>0.25</v>
      </c>
      <c r="Y151" s="10">
        <f t="shared" si="77"/>
        <v>0.25</v>
      </c>
      <c r="Z151" s="10">
        <f t="shared" si="78"/>
        <v>0.75</v>
      </c>
      <c r="AA151" s="10" t="str">
        <f t="shared" si="79"/>
        <v/>
      </c>
      <c r="AB151" s="10" t="str">
        <f t="shared" si="80"/>
        <v/>
      </c>
      <c r="AC151" s="10" t="str">
        <f t="shared" si="81"/>
        <v/>
      </c>
      <c r="AD151" s="10" t="str">
        <f t="shared" si="82"/>
        <v/>
      </c>
      <c r="AE151" s="10" t="str">
        <f t="shared" si="83"/>
        <v/>
      </c>
      <c r="AF151" s="10" t="str">
        <f t="shared" si="84"/>
        <v/>
      </c>
      <c r="AG151" s="10" t="str">
        <f t="shared" si="85"/>
        <v/>
      </c>
      <c r="AH151" s="10" t="str">
        <f t="shared" si="86"/>
        <v/>
      </c>
      <c r="AI151" s="10">
        <f>IF(OR(S151="",'4_BENCHMARK'!$C$4=""),"",ABS(S151-'4_BENCHMARK'!$C$4))</f>
        <v>0.5</v>
      </c>
      <c r="AJ151" s="10">
        <f>IF(OR(T151="",'4_BENCHMARK'!$C$5=""),"",ABS(T151-'4_BENCHMARK'!$C$5))</f>
        <v>0.25</v>
      </c>
      <c r="AK151" s="10">
        <f>IF(OR(U151="",'4_BENCHMARK'!$C$6=""),"",ABS(U151-'4_BENCHMARK'!$C$6))</f>
        <v>0.25</v>
      </c>
      <c r="AL151" s="10">
        <f>IF(OR(V151="",'4_BENCHMARK'!$C$7=""),"",ABS(V151-'4_BENCHMARK'!$C$7))</f>
        <v>0.5</v>
      </c>
      <c r="AM151" s="10">
        <f>IF(OR(W151="",'4_BENCHMARK'!$C$8=""),"",ABS(W151-'4_BENCHMARK'!$C$8))</f>
        <v>0.5</v>
      </c>
      <c r="AN151" s="10">
        <f>IF(OR(X151="",'4_BENCHMARK'!$C$9=""),"",ABS(X151-'4_BENCHMARK'!$C$9))</f>
        <v>0.25</v>
      </c>
      <c r="AO151" s="10">
        <f>IF(OR(Y151="",'4_BENCHMARK'!$C$10=""),"",ABS(Y151-'4_BENCHMARK'!$C$10))</f>
        <v>0.25</v>
      </c>
      <c r="AP151" s="10">
        <f>IF(OR(Z151="",'4_BENCHMARK'!$C$11=""),"",ABS(Z151-'4_BENCHMARK'!$C$11))</f>
        <v>0.25</v>
      </c>
      <c r="AQ151" s="13">
        <f t="shared" si="87"/>
        <v>0.65625</v>
      </c>
      <c r="AR151" s="10" t="s">
        <v>140</v>
      </c>
      <c r="AS151" s="10" t="s">
        <v>145</v>
      </c>
      <c r="AT151" s="13">
        <f t="shared" si="88"/>
        <v>0.666666666666667</v>
      </c>
      <c r="AU151" s="1" t="str">
        <f t="shared" si="89"/>
        <v/>
      </c>
      <c r="AV151" s="1" t="str">
        <f t="shared" si="90"/>
        <v/>
      </c>
      <c r="AW151" s="1" t="str">
        <f t="shared" si="91"/>
        <v/>
      </c>
      <c r="AX151" s="1" t="str">
        <f t="shared" si="92"/>
        <v/>
      </c>
      <c r="AY151" s="1" t="str">
        <f t="shared" si="93"/>
        <v/>
      </c>
      <c r="AZ151" s="1" t="str">
        <f t="shared" si="94"/>
        <v/>
      </c>
      <c r="BA151" s="1" t="str">
        <f t="shared" si="95"/>
        <v/>
      </c>
      <c r="BB151" s="1" t="str">
        <f t="shared" si="96"/>
        <v/>
      </c>
      <c r="BC151" s="1">
        <f t="shared" si="97"/>
        <v>3</v>
      </c>
      <c r="BD151" s="1">
        <f t="shared" si="98"/>
        <v>4</v>
      </c>
      <c r="BE151" s="1">
        <f t="shared" si="99"/>
        <v>4</v>
      </c>
      <c r="BF151" s="1">
        <f t="shared" si="100"/>
        <v>3</v>
      </c>
      <c r="BG151" s="1">
        <f t="shared" si="101"/>
        <v>3</v>
      </c>
      <c r="BH151" s="1">
        <f t="shared" si="102"/>
        <v>2</v>
      </c>
      <c r="BI151" s="1">
        <f t="shared" si="103"/>
        <v>2</v>
      </c>
      <c r="BJ151" s="1">
        <f t="shared" si="104"/>
        <v>4</v>
      </c>
    </row>
    <row r="152" ht="14.25" customHeight="1" spans="1:62">
      <c r="A152" s="10">
        <v>148</v>
      </c>
      <c r="B152" s="10" t="s">
        <v>600</v>
      </c>
      <c r="C152" s="10">
        <v>2017</v>
      </c>
      <c r="D152" s="10">
        <f t="shared" si="70"/>
        <v>2010</v>
      </c>
      <c r="E152" s="10" t="s">
        <v>136</v>
      </c>
      <c r="F152" s="35" t="s">
        <v>601</v>
      </c>
      <c r="G152" s="10" t="s">
        <v>602</v>
      </c>
      <c r="H152" s="10" t="s">
        <v>140</v>
      </c>
      <c r="I152" s="10" t="s">
        <v>140</v>
      </c>
      <c r="J152" s="10"/>
      <c r="K152" s="10">
        <v>4</v>
      </c>
      <c r="L152" s="10">
        <v>4</v>
      </c>
      <c r="M152" s="10">
        <v>4</v>
      </c>
      <c r="N152" s="10">
        <v>4</v>
      </c>
      <c r="O152" s="10">
        <v>1</v>
      </c>
      <c r="P152" s="10">
        <v>1</v>
      </c>
      <c r="Q152" s="10">
        <v>2</v>
      </c>
      <c r="R152" s="10">
        <v>4</v>
      </c>
      <c r="S152" s="10">
        <f t="shared" si="71"/>
        <v>0.75</v>
      </c>
      <c r="T152" s="10">
        <f t="shared" si="72"/>
        <v>0.75</v>
      </c>
      <c r="U152" s="10">
        <f t="shared" si="73"/>
        <v>0.75</v>
      </c>
      <c r="V152" s="10">
        <f t="shared" si="74"/>
        <v>0.75</v>
      </c>
      <c r="W152" s="10">
        <f t="shared" si="75"/>
        <v>0</v>
      </c>
      <c r="X152" s="10">
        <f t="shared" si="76"/>
        <v>0</v>
      </c>
      <c r="Y152" s="10">
        <f t="shared" si="77"/>
        <v>0.25</v>
      </c>
      <c r="Z152" s="10">
        <f t="shared" si="78"/>
        <v>0.75</v>
      </c>
      <c r="AA152" s="10" t="str">
        <f t="shared" si="79"/>
        <v/>
      </c>
      <c r="AB152" s="10" t="str">
        <f t="shared" si="80"/>
        <v/>
      </c>
      <c r="AC152" s="10" t="str">
        <f t="shared" si="81"/>
        <v/>
      </c>
      <c r="AD152" s="10" t="str">
        <f t="shared" si="82"/>
        <v/>
      </c>
      <c r="AE152" s="10" t="str">
        <f t="shared" si="83"/>
        <v/>
      </c>
      <c r="AF152" s="10" t="str">
        <f t="shared" si="84"/>
        <v/>
      </c>
      <c r="AG152" s="10" t="str">
        <f t="shared" si="85"/>
        <v/>
      </c>
      <c r="AH152" s="10" t="str">
        <f t="shared" si="86"/>
        <v/>
      </c>
      <c r="AI152" s="10">
        <f>IF(OR(S152="",'4_BENCHMARK'!$C$4=""),"",ABS(S152-'4_BENCHMARK'!$C$4))</f>
        <v>0.25</v>
      </c>
      <c r="AJ152" s="10">
        <f>IF(OR(T152="",'4_BENCHMARK'!$C$5=""),"",ABS(T152-'4_BENCHMARK'!$C$5))</f>
        <v>0.25</v>
      </c>
      <c r="AK152" s="10">
        <f>IF(OR(U152="",'4_BENCHMARK'!$C$6=""),"",ABS(U152-'4_BENCHMARK'!$C$6))</f>
        <v>0.25</v>
      </c>
      <c r="AL152" s="10">
        <f>IF(OR(V152="",'4_BENCHMARK'!$C$7=""),"",ABS(V152-'4_BENCHMARK'!$C$7))</f>
        <v>0.25</v>
      </c>
      <c r="AM152" s="10">
        <f>IF(OR(W152="",'4_BENCHMARK'!$C$8=""),"",ABS(W152-'4_BENCHMARK'!$C$8))</f>
        <v>0</v>
      </c>
      <c r="AN152" s="10">
        <f>IF(OR(X152="",'4_BENCHMARK'!$C$9=""),"",ABS(X152-'4_BENCHMARK'!$C$9))</f>
        <v>0</v>
      </c>
      <c r="AO152" s="10">
        <f>IF(OR(Y152="",'4_BENCHMARK'!$C$10=""),"",ABS(Y152-'4_BENCHMARK'!$C$10))</f>
        <v>0.25</v>
      </c>
      <c r="AP152" s="10">
        <f>IF(OR(Z152="",'4_BENCHMARK'!$C$11=""),"",ABS(Z152-'4_BENCHMARK'!$C$11))</f>
        <v>0.25</v>
      </c>
      <c r="AQ152" s="13">
        <f t="shared" si="87"/>
        <v>0.8125</v>
      </c>
      <c r="AR152" s="10"/>
      <c r="AS152" s="10" t="s">
        <v>145</v>
      </c>
      <c r="AT152" s="13">
        <f t="shared" si="88"/>
        <v>0.75</v>
      </c>
      <c r="AU152" s="1" t="str">
        <f t="shared" si="89"/>
        <v/>
      </c>
      <c r="AV152" s="1" t="str">
        <f t="shared" si="90"/>
        <v/>
      </c>
      <c r="AW152" s="1" t="str">
        <f t="shared" si="91"/>
        <v/>
      </c>
      <c r="AX152" s="1" t="str">
        <f t="shared" si="92"/>
        <v/>
      </c>
      <c r="AY152" s="1" t="str">
        <f t="shared" si="93"/>
        <v/>
      </c>
      <c r="AZ152" s="1" t="str">
        <f t="shared" si="94"/>
        <v/>
      </c>
      <c r="BA152" s="1" t="str">
        <f t="shared" si="95"/>
        <v/>
      </c>
      <c r="BB152" s="1" t="str">
        <f t="shared" si="96"/>
        <v/>
      </c>
      <c r="BC152" s="1">
        <f t="shared" si="97"/>
        <v>4</v>
      </c>
      <c r="BD152" s="1">
        <f t="shared" si="98"/>
        <v>4</v>
      </c>
      <c r="BE152" s="1">
        <f t="shared" si="99"/>
        <v>4</v>
      </c>
      <c r="BF152" s="1">
        <f t="shared" si="100"/>
        <v>4</v>
      </c>
      <c r="BG152" s="1">
        <f t="shared" si="101"/>
        <v>1</v>
      </c>
      <c r="BH152" s="1">
        <f t="shared" si="102"/>
        <v>1</v>
      </c>
      <c r="BI152" s="1">
        <f t="shared" si="103"/>
        <v>2</v>
      </c>
      <c r="BJ152" s="1">
        <f t="shared" si="104"/>
        <v>4</v>
      </c>
    </row>
    <row r="153" ht="14.25" customHeight="1" spans="1:62">
      <c r="A153" s="10">
        <v>149</v>
      </c>
      <c r="B153" s="36" t="s">
        <v>603</v>
      </c>
      <c r="C153" s="10">
        <v>2021</v>
      </c>
      <c r="D153" s="10">
        <f t="shared" si="70"/>
        <v>2020</v>
      </c>
      <c r="E153" s="36" t="s">
        <v>136</v>
      </c>
      <c r="F153" s="35" t="s">
        <v>604</v>
      </c>
      <c r="G153" s="36" t="s">
        <v>605</v>
      </c>
      <c r="H153" s="10" t="s">
        <v>139</v>
      </c>
      <c r="I153" s="10" t="s">
        <v>140</v>
      </c>
      <c r="J153" s="10"/>
      <c r="K153" s="10">
        <v>3</v>
      </c>
      <c r="L153" s="10">
        <v>4</v>
      </c>
      <c r="M153" s="10">
        <v>4</v>
      </c>
      <c r="N153" s="10">
        <v>2</v>
      </c>
      <c r="O153" s="10">
        <v>5</v>
      </c>
      <c r="P153" s="10">
        <v>2</v>
      </c>
      <c r="Q153" s="10">
        <v>1</v>
      </c>
      <c r="R153" s="10">
        <v>4</v>
      </c>
      <c r="S153" s="10">
        <f t="shared" si="71"/>
        <v>0.5</v>
      </c>
      <c r="T153" s="10">
        <f t="shared" si="72"/>
        <v>0.75</v>
      </c>
      <c r="U153" s="10">
        <f t="shared" si="73"/>
        <v>0.75</v>
      </c>
      <c r="V153" s="10">
        <f t="shared" si="74"/>
        <v>0.25</v>
      </c>
      <c r="W153" s="10">
        <f t="shared" si="75"/>
        <v>1</v>
      </c>
      <c r="X153" s="10">
        <f t="shared" si="76"/>
        <v>0.25</v>
      </c>
      <c r="Y153" s="10">
        <f t="shared" si="77"/>
        <v>0</v>
      </c>
      <c r="Z153" s="10">
        <f t="shared" si="78"/>
        <v>0.75</v>
      </c>
      <c r="AA153" s="10" t="str">
        <f t="shared" si="79"/>
        <v/>
      </c>
      <c r="AB153" s="10" t="str">
        <f t="shared" si="80"/>
        <v/>
      </c>
      <c r="AC153" s="10" t="str">
        <f t="shared" si="81"/>
        <v/>
      </c>
      <c r="AD153" s="10" t="str">
        <f t="shared" si="82"/>
        <v/>
      </c>
      <c r="AE153" s="10" t="str">
        <f t="shared" si="83"/>
        <v/>
      </c>
      <c r="AF153" s="10" t="str">
        <f t="shared" si="84"/>
        <v/>
      </c>
      <c r="AG153" s="10" t="str">
        <f t="shared" si="85"/>
        <v/>
      </c>
      <c r="AH153" s="10" t="str">
        <f t="shared" si="86"/>
        <v/>
      </c>
      <c r="AI153" s="10">
        <f>IF(OR(S153="",'4_BENCHMARK'!$C$4=""),"",ABS(S153-'4_BENCHMARK'!$C$4))</f>
        <v>0.5</v>
      </c>
      <c r="AJ153" s="10">
        <f>IF(OR(T153="",'4_BENCHMARK'!$C$5=""),"",ABS(T153-'4_BENCHMARK'!$C$5))</f>
        <v>0.25</v>
      </c>
      <c r="AK153" s="10">
        <f>IF(OR(U153="",'4_BENCHMARK'!$C$6=""),"",ABS(U153-'4_BENCHMARK'!$C$6))</f>
        <v>0.25</v>
      </c>
      <c r="AL153" s="10">
        <f>IF(OR(V153="",'4_BENCHMARK'!$C$7=""),"",ABS(V153-'4_BENCHMARK'!$C$7))</f>
        <v>0.75</v>
      </c>
      <c r="AM153" s="10">
        <f>IF(OR(W153="",'4_BENCHMARK'!$C$8=""),"",ABS(W153-'4_BENCHMARK'!$C$8))</f>
        <v>1</v>
      </c>
      <c r="AN153" s="10">
        <f>IF(OR(X153="",'4_BENCHMARK'!$C$9=""),"",ABS(X153-'4_BENCHMARK'!$C$9))</f>
        <v>0.25</v>
      </c>
      <c r="AO153" s="10">
        <f>IF(OR(Y153="",'4_BENCHMARK'!$C$10=""),"",ABS(Y153-'4_BENCHMARK'!$C$10))</f>
        <v>0.5</v>
      </c>
      <c r="AP153" s="10">
        <f>IF(OR(Z153="",'4_BENCHMARK'!$C$11=""),"",ABS(Z153-'4_BENCHMARK'!$C$11))</f>
        <v>0.25</v>
      </c>
      <c r="AQ153" s="13">
        <f t="shared" si="87"/>
        <v>0.53125</v>
      </c>
      <c r="AR153" s="10"/>
      <c r="AS153" s="10" t="s">
        <v>145</v>
      </c>
      <c r="AT153" s="13">
        <f t="shared" si="88"/>
        <v>0.583333333333333</v>
      </c>
      <c r="AU153" s="1" t="str">
        <f t="shared" si="89"/>
        <v/>
      </c>
      <c r="AV153" s="1" t="str">
        <f t="shared" si="90"/>
        <v/>
      </c>
      <c r="AW153" s="1" t="str">
        <f t="shared" si="91"/>
        <v/>
      </c>
      <c r="AX153" s="1" t="str">
        <f t="shared" si="92"/>
        <v/>
      </c>
      <c r="AY153" s="1" t="str">
        <f t="shared" si="93"/>
        <v/>
      </c>
      <c r="AZ153" s="1" t="str">
        <f t="shared" si="94"/>
        <v/>
      </c>
      <c r="BA153" s="1" t="str">
        <f t="shared" si="95"/>
        <v/>
      </c>
      <c r="BB153" s="1" t="str">
        <f t="shared" si="96"/>
        <v/>
      </c>
      <c r="BC153" s="1">
        <f t="shared" si="97"/>
        <v>3</v>
      </c>
      <c r="BD153" s="1">
        <f t="shared" si="98"/>
        <v>4</v>
      </c>
      <c r="BE153" s="1">
        <f t="shared" si="99"/>
        <v>4</v>
      </c>
      <c r="BF153" s="1">
        <f t="shared" si="100"/>
        <v>2</v>
      </c>
      <c r="BG153" s="1">
        <f t="shared" si="101"/>
        <v>5</v>
      </c>
      <c r="BH153" s="1">
        <f t="shared" si="102"/>
        <v>2</v>
      </c>
      <c r="BI153" s="1">
        <f t="shared" si="103"/>
        <v>1</v>
      </c>
      <c r="BJ153" s="1">
        <f t="shared" si="104"/>
        <v>4</v>
      </c>
    </row>
    <row r="154" ht="14.25" customHeight="1" spans="1:62">
      <c r="A154" s="10">
        <v>150</v>
      </c>
      <c r="B154" s="36" t="s">
        <v>606</v>
      </c>
      <c r="C154" s="10">
        <v>2005</v>
      </c>
      <c r="D154" s="10">
        <f t="shared" si="70"/>
        <v>2000</v>
      </c>
      <c r="E154" s="36" t="s">
        <v>136</v>
      </c>
      <c r="F154" s="35" t="s">
        <v>607</v>
      </c>
      <c r="G154" s="36" t="s">
        <v>608</v>
      </c>
      <c r="H154" s="10" t="s">
        <v>140</v>
      </c>
      <c r="I154" s="10" t="s">
        <v>140</v>
      </c>
      <c r="J154" s="36"/>
      <c r="K154" s="10">
        <v>5</v>
      </c>
      <c r="L154" s="10">
        <v>5</v>
      </c>
      <c r="M154" s="10">
        <v>5</v>
      </c>
      <c r="N154" s="10">
        <v>5</v>
      </c>
      <c r="O154" s="10">
        <v>5</v>
      </c>
      <c r="P154" s="10">
        <v>5</v>
      </c>
      <c r="Q154" s="10">
        <v>2</v>
      </c>
      <c r="R154" s="10">
        <v>3</v>
      </c>
      <c r="S154" s="10">
        <f t="shared" si="71"/>
        <v>1</v>
      </c>
      <c r="T154" s="10">
        <f t="shared" si="72"/>
        <v>1</v>
      </c>
      <c r="U154" s="10">
        <f t="shared" si="73"/>
        <v>1</v>
      </c>
      <c r="V154" s="10">
        <f t="shared" si="74"/>
        <v>1</v>
      </c>
      <c r="W154" s="10">
        <f t="shared" si="75"/>
        <v>1</v>
      </c>
      <c r="X154" s="10">
        <f t="shared" si="76"/>
        <v>1</v>
      </c>
      <c r="Y154" s="10">
        <f t="shared" si="77"/>
        <v>0.25</v>
      </c>
      <c r="Z154" s="10">
        <f t="shared" si="78"/>
        <v>0.5</v>
      </c>
      <c r="AA154" s="10" t="str">
        <f t="shared" si="79"/>
        <v/>
      </c>
      <c r="AB154" s="10" t="str">
        <f t="shared" si="80"/>
        <v/>
      </c>
      <c r="AC154" s="10" t="str">
        <f t="shared" si="81"/>
        <v/>
      </c>
      <c r="AD154" s="10" t="str">
        <f t="shared" si="82"/>
        <v/>
      </c>
      <c r="AE154" s="10" t="str">
        <f t="shared" si="83"/>
        <v/>
      </c>
      <c r="AF154" s="10" t="str">
        <f t="shared" si="84"/>
        <v/>
      </c>
      <c r="AG154" s="10" t="str">
        <f t="shared" si="85"/>
        <v/>
      </c>
      <c r="AH154" s="10" t="str">
        <f t="shared" si="86"/>
        <v/>
      </c>
      <c r="AI154" s="10">
        <f>IF(OR(S154="",'4_BENCHMARK'!$C$4=""),"",ABS(S154-'4_BENCHMARK'!$C$4))</f>
        <v>0</v>
      </c>
      <c r="AJ154" s="10">
        <f>IF(OR(T154="",'4_BENCHMARK'!$C$5=""),"",ABS(T154-'4_BENCHMARK'!$C$5))</f>
        <v>0</v>
      </c>
      <c r="AK154" s="10">
        <f>IF(OR(U154="",'4_BENCHMARK'!$C$6=""),"",ABS(U154-'4_BENCHMARK'!$C$6))</f>
        <v>0</v>
      </c>
      <c r="AL154" s="10">
        <f>IF(OR(V154="",'4_BENCHMARK'!$C$7=""),"",ABS(V154-'4_BENCHMARK'!$C$7))</f>
        <v>0</v>
      </c>
      <c r="AM154" s="10">
        <f>IF(OR(W154="",'4_BENCHMARK'!$C$8=""),"",ABS(W154-'4_BENCHMARK'!$C$8))</f>
        <v>1</v>
      </c>
      <c r="AN154" s="10">
        <f>IF(OR(X154="",'4_BENCHMARK'!$C$9=""),"",ABS(X154-'4_BENCHMARK'!$C$9))</f>
        <v>1</v>
      </c>
      <c r="AO154" s="10">
        <f>IF(OR(Y154="",'4_BENCHMARK'!$C$10=""),"",ABS(Y154-'4_BENCHMARK'!$C$10))</f>
        <v>0.25</v>
      </c>
      <c r="AP154" s="10">
        <f>IF(OR(Z154="",'4_BENCHMARK'!$C$11=""),"",ABS(Z154-'4_BENCHMARK'!$C$11))</f>
        <v>0.5</v>
      </c>
      <c r="AQ154" s="13">
        <f t="shared" si="87"/>
        <v>0.65625</v>
      </c>
      <c r="AR154" s="10"/>
      <c r="AS154" s="10" t="s">
        <v>230</v>
      </c>
      <c r="AT154" s="13">
        <f t="shared" si="88"/>
        <v>0.875</v>
      </c>
      <c r="AU154" s="1" t="str">
        <f t="shared" si="89"/>
        <v/>
      </c>
      <c r="AV154" s="1" t="str">
        <f t="shared" si="90"/>
        <v/>
      </c>
      <c r="AW154" s="1" t="str">
        <f t="shared" si="91"/>
        <v/>
      </c>
      <c r="AX154" s="1" t="str">
        <f t="shared" si="92"/>
        <v/>
      </c>
      <c r="AY154" s="1" t="str">
        <f t="shared" si="93"/>
        <v/>
      </c>
      <c r="AZ154" s="1" t="str">
        <f t="shared" si="94"/>
        <v/>
      </c>
      <c r="BA154" s="1" t="str">
        <f t="shared" si="95"/>
        <v/>
      </c>
      <c r="BB154" s="1" t="str">
        <f t="shared" si="96"/>
        <v/>
      </c>
      <c r="BC154" s="1">
        <f t="shared" si="97"/>
        <v>5</v>
      </c>
      <c r="BD154" s="1">
        <f t="shared" si="98"/>
        <v>5</v>
      </c>
      <c r="BE154" s="1">
        <f t="shared" si="99"/>
        <v>5</v>
      </c>
      <c r="BF154" s="1">
        <f t="shared" si="100"/>
        <v>5</v>
      </c>
      <c r="BG154" s="1">
        <f t="shared" si="101"/>
        <v>5</v>
      </c>
      <c r="BH154" s="1">
        <f t="shared" si="102"/>
        <v>5</v>
      </c>
      <c r="BI154" s="1">
        <f t="shared" si="103"/>
        <v>2</v>
      </c>
      <c r="BJ154" s="1">
        <f t="shared" si="104"/>
        <v>3</v>
      </c>
    </row>
    <row r="155" ht="14.25" customHeight="1" spans="1:62">
      <c r="A155" s="10">
        <v>151</v>
      </c>
      <c r="B155" s="36" t="s">
        <v>609</v>
      </c>
      <c r="C155" s="10">
        <v>2006</v>
      </c>
      <c r="D155" s="10">
        <f t="shared" si="70"/>
        <v>2000</v>
      </c>
      <c r="E155" s="36" t="s">
        <v>136</v>
      </c>
      <c r="F155" s="35" t="s">
        <v>607</v>
      </c>
      <c r="G155" s="36" t="s">
        <v>610</v>
      </c>
      <c r="H155" s="10" t="s">
        <v>140</v>
      </c>
      <c r="I155" s="10" t="s">
        <v>140</v>
      </c>
      <c r="J155" s="10"/>
      <c r="K155" s="10">
        <v>5</v>
      </c>
      <c r="L155" s="10">
        <v>5</v>
      </c>
      <c r="M155" s="10">
        <v>5</v>
      </c>
      <c r="N155" s="10">
        <v>5</v>
      </c>
      <c r="O155" s="10">
        <v>5</v>
      </c>
      <c r="P155" s="10">
        <v>5</v>
      </c>
      <c r="Q155" s="10">
        <v>2</v>
      </c>
      <c r="R155" s="10">
        <v>3</v>
      </c>
      <c r="S155" s="10">
        <f t="shared" si="71"/>
        <v>1</v>
      </c>
      <c r="T155" s="10">
        <f t="shared" si="72"/>
        <v>1</v>
      </c>
      <c r="U155" s="10">
        <f t="shared" si="73"/>
        <v>1</v>
      </c>
      <c r="V155" s="10">
        <f t="shared" si="74"/>
        <v>1</v>
      </c>
      <c r="W155" s="10">
        <f t="shared" si="75"/>
        <v>1</v>
      </c>
      <c r="X155" s="10">
        <f t="shared" si="76"/>
        <v>1</v>
      </c>
      <c r="Y155" s="10">
        <f t="shared" si="77"/>
        <v>0.25</v>
      </c>
      <c r="Z155" s="10">
        <f t="shared" si="78"/>
        <v>0.5</v>
      </c>
      <c r="AA155" s="10" t="str">
        <f t="shared" si="79"/>
        <v/>
      </c>
      <c r="AB155" s="10" t="str">
        <f t="shared" si="80"/>
        <v/>
      </c>
      <c r="AC155" s="10" t="str">
        <f t="shared" si="81"/>
        <v/>
      </c>
      <c r="AD155" s="10" t="str">
        <f t="shared" si="82"/>
        <v/>
      </c>
      <c r="AE155" s="10" t="str">
        <f t="shared" si="83"/>
        <v/>
      </c>
      <c r="AF155" s="10" t="str">
        <f t="shared" si="84"/>
        <v/>
      </c>
      <c r="AG155" s="10" t="str">
        <f t="shared" si="85"/>
        <v/>
      </c>
      <c r="AH155" s="10" t="str">
        <f t="shared" si="86"/>
        <v/>
      </c>
      <c r="AI155" s="10">
        <f>IF(OR(S155="",'4_BENCHMARK'!$C$4=""),"",ABS(S155-'4_BENCHMARK'!$C$4))</f>
        <v>0</v>
      </c>
      <c r="AJ155" s="10">
        <f>IF(OR(T155="",'4_BENCHMARK'!$C$5=""),"",ABS(T155-'4_BENCHMARK'!$C$5))</f>
        <v>0</v>
      </c>
      <c r="AK155" s="10">
        <f>IF(OR(U155="",'4_BENCHMARK'!$C$6=""),"",ABS(U155-'4_BENCHMARK'!$C$6))</f>
        <v>0</v>
      </c>
      <c r="AL155" s="10">
        <f>IF(OR(V155="",'4_BENCHMARK'!$C$7=""),"",ABS(V155-'4_BENCHMARK'!$C$7))</f>
        <v>0</v>
      </c>
      <c r="AM155" s="10">
        <f>IF(OR(W155="",'4_BENCHMARK'!$C$8=""),"",ABS(W155-'4_BENCHMARK'!$C$8))</f>
        <v>1</v>
      </c>
      <c r="AN155" s="10">
        <f>IF(OR(X155="",'4_BENCHMARK'!$C$9=""),"",ABS(X155-'4_BENCHMARK'!$C$9))</f>
        <v>1</v>
      </c>
      <c r="AO155" s="10">
        <f>IF(OR(Y155="",'4_BENCHMARK'!$C$10=""),"",ABS(Y155-'4_BENCHMARK'!$C$10))</f>
        <v>0.25</v>
      </c>
      <c r="AP155" s="10">
        <f>IF(OR(Z155="",'4_BENCHMARK'!$C$11=""),"",ABS(Z155-'4_BENCHMARK'!$C$11))</f>
        <v>0.5</v>
      </c>
      <c r="AQ155" s="13">
        <f t="shared" si="87"/>
        <v>0.65625</v>
      </c>
      <c r="AR155" s="10" t="s">
        <v>140</v>
      </c>
      <c r="AS155" s="10" t="s">
        <v>230</v>
      </c>
      <c r="AT155" s="13">
        <f t="shared" si="88"/>
        <v>0.875</v>
      </c>
      <c r="AU155" s="1" t="str">
        <f t="shared" si="89"/>
        <v/>
      </c>
      <c r="AV155" s="1" t="str">
        <f t="shared" si="90"/>
        <v/>
      </c>
      <c r="AW155" s="1" t="str">
        <f t="shared" si="91"/>
        <v/>
      </c>
      <c r="AX155" s="1" t="str">
        <f t="shared" si="92"/>
        <v/>
      </c>
      <c r="AY155" s="1" t="str">
        <f t="shared" si="93"/>
        <v/>
      </c>
      <c r="AZ155" s="1" t="str">
        <f t="shared" si="94"/>
        <v/>
      </c>
      <c r="BA155" s="1" t="str">
        <f t="shared" si="95"/>
        <v/>
      </c>
      <c r="BB155" s="1" t="str">
        <f t="shared" si="96"/>
        <v/>
      </c>
      <c r="BC155" s="1">
        <f t="shared" si="97"/>
        <v>5</v>
      </c>
      <c r="BD155" s="1">
        <f t="shared" si="98"/>
        <v>5</v>
      </c>
      <c r="BE155" s="1">
        <f t="shared" si="99"/>
        <v>5</v>
      </c>
      <c r="BF155" s="1">
        <f t="shared" si="100"/>
        <v>5</v>
      </c>
      <c r="BG155" s="1">
        <f t="shared" si="101"/>
        <v>5</v>
      </c>
      <c r="BH155" s="1">
        <f t="shared" si="102"/>
        <v>5</v>
      </c>
      <c r="BI155" s="1">
        <f t="shared" si="103"/>
        <v>2</v>
      </c>
      <c r="BJ155" s="1">
        <f t="shared" si="104"/>
        <v>3</v>
      </c>
    </row>
    <row r="156" ht="14.25" customHeight="1" spans="1:62">
      <c r="A156" s="10">
        <v>152</v>
      </c>
      <c r="B156" s="36" t="s">
        <v>611</v>
      </c>
      <c r="C156" s="10">
        <v>2023</v>
      </c>
      <c r="D156" s="10">
        <f t="shared" si="70"/>
        <v>2020</v>
      </c>
      <c r="E156" s="36" t="s">
        <v>136</v>
      </c>
      <c r="F156" s="35" t="s">
        <v>612</v>
      </c>
      <c r="G156" s="36" t="s">
        <v>613</v>
      </c>
      <c r="H156" s="10" t="s">
        <v>140</v>
      </c>
      <c r="I156" s="10" t="s">
        <v>140</v>
      </c>
      <c r="J156" s="10"/>
      <c r="K156" s="10">
        <v>4</v>
      </c>
      <c r="L156" s="10">
        <v>4</v>
      </c>
      <c r="M156" s="10">
        <v>4</v>
      </c>
      <c r="N156" s="10">
        <v>3</v>
      </c>
      <c r="O156" s="10">
        <v>5</v>
      </c>
      <c r="P156" s="10">
        <v>3</v>
      </c>
      <c r="Q156" s="10">
        <v>2</v>
      </c>
      <c r="R156" s="10">
        <v>4</v>
      </c>
      <c r="S156" s="10">
        <f t="shared" si="71"/>
        <v>0.75</v>
      </c>
      <c r="T156" s="10">
        <f t="shared" si="72"/>
        <v>0.75</v>
      </c>
      <c r="U156" s="10">
        <f t="shared" si="73"/>
        <v>0.75</v>
      </c>
      <c r="V156" s="10">
        <f t="shared" si="74"/>
        <v>0.5</v>
      </c>
      <c r="W156" s="10">
        <f t="shared" si="75"/>
        <v>1</v>
      </c>
      <c r="X156" s="10">
        <f t="shared" si="76"/>
        <v>0.5</v>
      </c>
      <c r="Y156" s="10">
        <f t="shared" si="77"/>
        <v>0.25</v>
      </c>
      <c r="Z156" s="10">
        <f t="shared" si="78"/>
        <v>0.75</v>
      </c>
      <c r="AA156" s="10" t="str">
        <f t="shared" si="79"/>
        <v/>
      </c>
      <c r="AB156" s="10" t="str">
        <f t="shared" si="80"/>
        <v/>
      </c>
      <c r="AC156" s="10" t="str">
        <f t="shared" si="81"/>
        <v/>
      </c>
      <c r="AD156" s="10" t="str">
        <f t="shared" si="82"/>
        <v/>
      </c>
      <c r="AE156" s="10" t="str">
        <f t="shared" si="83"/>
        <v/>
      </c>
      <c r="AF156" s="10" t="str">
        <f t="shared" si="84"/>
        <v/>
      </c>
      <c r="AG156" s="10" t="str">
        <f t="shared" si="85"/>
        <v/>
      </c>
      <c r="AH156" s="10" t="str">
        <f t="shared" si="86"/>
        <v/>
      </c>
      <c r="AI156" s="10">
        <f>IF(OR(S156="",'4_BENCHMARK'!$C$4=""),"",ABS(S156-'4_BENCHMARK'!$C$4))</f>
        <v>0.25</v>
      </c>
      <c r="AJ156" s="10">
        <f>IF(OR(T156="",'4_BENCHMARK'!$C$5=""),"",ABS(T156-'4_BENCHMARK'!$C$5))</f>
        <v>0.25</v>
      </c>
      <c r="AK156" s="10">
        <f>IF(OR(U156="",'4_BENCHMARK'!$C$6=""),"",ABS(U156-'4_BENCHMARK'!$C$6))</f>
        <v>0.25</v>
      </c>
      <c r="AL156" s="10">
        <f>IF(OR(V156="",'4_BENCHMARK'!$C$7=""),"",ABS(V156-'4_BENCHMARK'!$C$7))</f>
        <v>0.5</v>
      </c>
      <c r="AM156" s="10">
        <f>IF(OR(W156="",'4_BENCHMARK'!$C$8=""),"",ABS(W156-'4_BENCHMARK'!$C$8))</f>
        <v>1</v>
      </c>
      <c r="AN156" s="10">
        <f>IF(OR(X156="",'4_BENCHMARK'!$C$9=""),"",ABS(X156-'4_BENCHMARK'!$C$9))</f>
        <v>0.5</v>
      </c>
      <c r="AO156" s="10">
        <f>IF(OR(Y156="",'4_BENCHMARK'!$C$10=""),"",ABS(Y156-'4_BENCHMARK'!$C$10))</f>
        <v>0.25</v>
      </c>
      <c r="AP156" s="10">
        <f>IF(OR(Z156="",'4_BENCHMARK'!$C$11=""),"",ABS(Z156-'4_BENCHMARK'!$C$11))</f>
        <v>0.25</v>
      </c>
      <c r="AQ156" s="13">
        <f t="shared" si="87"/>
        <v>0.59375</v>
      </c>
      <c r="AR156" s="10"/>
      <c r="AS156" s="10" t="s">
        <v>145</v>
      </c>
      <c r="AT156" s="13">
        <f t="shared" si="88"/>
        <v>0.708333333333333</v>
      </c>
      <c r="AU156" s="1" t="str">
        <f t="shared" si="89"/>
        <v/>
      </c>
      <c r="AV156" s="1" t="str">
        <f t="shared" si="90"/>
        <v/>
      </c>
      <c r="AW156" s="1" t="str">
        <f t="shared" si="91"/>
        <v/>
      </c>
      <c r="AX156" s="1" t="str">
        <f t="shared" si="92"/>
        <v/>
      </c>
      <c r="AY156" s="1" t="str">
        <f t="shared" si="93"/>
        <v/>
      </c>
      <c r="AZ156" s="1" t="str">
        <f t="shared" si="94"/>
        <v/>
      </c>
      <c r="BA156" s="1" t="str">
        <f t="shared" si="95"/>
        <v/>
      </c>
      <c r="BB156" s="1" t="str">
        <f t="shared" si="96"/>
        <v/>
      </c>
      <c r="BC156" s="1">
        <f t="shared" si="97"/>
        <v>4</v>
      </c>
      <c r="BD156" s="1">
        <f t="shared" si="98"/>
        <v>4</v>
      </c>
      <c r="BE156" s="1">
        <f t="shared" si="99"/>
        <v>4</v>
      </c>
      <c r="BF156" s="1">
        <f t="shared" si="100"/>
        <v>3</v>
      </c>
      <c r="BG156" s="1">
        <f t="shared" si="101"/>
        <v>5</v>
      </c>
      <c r="BH156" s="1">
        <f t="shared" si="102"/>
        <v>3</v>
      </c>
      <c r="BI156" s="1">
        <f t="shared" si="103"/>
        <v>2</v>
      </c>
      <c r="BJ156" s="1">
        <f t="shared" si="104"/>
        <v>4</v>
      </c>
    </row>
    <row r="157" ht="14.25" customHeight="1" spans="1:62">
      <c r="A157" s="10">
        <v>153</v>
      </c>
      <c r="B157" s="36" t="s">
        <v>614</v>
      </c>
      <c r="C157" s="10">
        <v>2008</v>
      </c>
      <c r="D157" s="10">
        <f t="shared" si="70"/>
        <v>2000</v>
      </c>
      <c r="E157" s="36" t="s">
        <v>136</v>
      </c>
      <c r="F157" s="35" t="s">
        <v>615</v>
      </c>
      <c r="G157" s="36" t="s">
        <v>616</v>
      </c>
      <c r="H157" s="10" t="s">
        <v>139</v>
      </c>
      <c r="I157" s="10" t="s">
        <v>140</v>
      </c>
      <c r="J157" s="10"/>
      <c r="K157" s="10">
        <v>3</v>
      </c>
      <c r="L157" s="10">
        <v>3</v>
      </c>
      <c r="M157" s="10">
        <v>4</v>
      </c>
      <c r="N157" s="10">
        <v>3</v>
      </c>
      <c r="O157" s="10">
        <v>4</v>
      </c>
      <c r="P157" s="10">
        <v>5</v>
      </c>
      <c r="Q157" s="10">
        <v>1</v>
      </c>
      <c r="R157" s="10">
        <v>4</v>
      </c>
      <c r="S157" s="10">
        <f t="shared" si="71"/>
        <v>0.5</v>
      </c>
      <c r="T157" s="10">
        <f t="shared" si="72"/>
        <v>0.5</v>
      </c>
      <c r="U157" s="10">
        <f t="shared" si="73"/>
        <v>0.75</v>
      </c>
      <c r="V157" s="10">
        <f t="shared" si="74"/>
        <v>0.5</v>
      </c>
      <c r="W157" s="10">
        <f t="shared" si="75"/>
        <v>0.75</v>
      </c>
      <c r="X157" s="10">
        <f t="shared" si="76"/>
        <v>1</v>
      </c>
      <c r="Y157" s="10">
        <f t="shared" si="77"/>
        <v>0</v>
      </c>
      <c r="Z157" s="10">
        <f t="shared" si="78"/>
        <v>0.75</v>
      </c>
      <c r="AA157" s="10" t="str">
        <f t="shared" si="79"/>
        <v/>
      </c>
      <c r="AB157" s="10" t="str">
        <f t="shared" si="80"/>
        <v/>
      </c>
      <c r="AC157" s="10" t="str">
        <f t="shared" si="81"/>
        <v/>
      </c>
      <c r="AD157" s="10" t="str">
        <f t="shared" si="82"/>
        <v/>
      </c>
      <c r="AE157" s="10" t="str">
        <f t="shared" si="83"/>
        <v/>
      </c>
      <c r="AF157" s="10" t="str">
        <f t="shared" si="84"/>
        <v/>
      </c>
      <c r="AG157" s="10" t="str">
        <f t="shared" si="85"/>
        <v/>
      </c>
      <c r="AH157" s="10" t="str">
        <f t="shared" si="86"/>
        <v/>
      </c>
      <c r="AI157" s="10">
        <f>IF(OR(S157="",'4_BENCHMARK'!$C$4=""),"",ABS(S157-'4_BENCHMARK'!$C$4))</f>
        <v>0.5</v>
      </c>
      <c r="AJ157" s="10">
        <f>IF(OR(T157="",'4_BENCHMARK'!$C$5=""),"",ABS(T157-'4_BENCHMARK'!$C$5))</f>
        <v>0.5</v>
      </c>
      <c r="AK157" s="10">
        <f>IF(OR(U157="",'4_BENCHMARK'!$C$6=""),"",ABS(U157-'4_BENCHMARK'!$C$6))</f>
        <v>0.25</v>
      </c>
      <c r="AL157" s="10">
        <f>IF(OR(V157="",'4_BENCHMARK'!$C$7=""),"",ABS(V157-'4_BENCHMARK'!$C$7))</f>
        <v>0.5</v>
      </c>
      <c r="AM157" s="10">
        <f>IF(OR(W157="",'4_BENCHMARK'!$C$8=""),"",ABS(W157-'4_BENCHMARK'!$C$8))</f>
        <v>0.75</v>
      </c>
      <c r="AN157" s="10">
        <f>IF(OR(X157="",'4_BENCHMARK'!$C$9=""),"",ABS(X157-'4_BENCHMARK'!$C$9))</f>
        <v>1</v>
      </c>
      <c r="AO157" s="10">
        <f>IF(OR(Y157="",'4_BENCHMARK'!$C$10=""),"",ABS(Y157-'4_BENCHMARK'!$C$10))</f>
        <v>0.5</v>
      </c>
      <c r="AP157" s="10">
        <f>IF(OR(Z157="",'4_BENCHMARK'!$C$11=""),"",ABS(Z157-'4_BENCHMARK'!$C$11))</f>
        <v>0.25</v>
      </c>
      <c r="AQ157" s="13">
        <f t="shared" si="87"/>
        <v>0.46875</v>
      </c>
      <c r="AR157" s="10"/>
      <c r="AS157" s="10" t="s">
        <v>145</v>
      </c>
      <c r="AT157" s="13">
        <f t="shared" si="88"/>
        <v>0.583333333333333</v>
      </c>
      <c r="AU157" s="1" t="str">
        <f t="shared" si="89"/>
        <v/>
      </c>
      <c r="AV157" s="1" t="str">
        <f t="shared" si="90"/>
        <v/>
      </c>
      <c r="AW157" s="1" t="str">
        <f t="shared" si="91"/>
        <v/>
      </c>
      <c r="AX157" s="1" t="str">
        <f t="shared" si="92"/>
        <v/>
      </c>
      <c r="AY157" s="1" t="str">
        <f t="shared" si="93"/>
        <v/>
      </c>
      <c r="AZ157" s="1" t="str">
        <f t="shared" si="94"/>
        <v/>
      </c>
      <c r="BA157" s="1" t="str">
        <f t="shared" si="95"/>
        <v/>
      </c>
      <c r="BB157" s="1" t="str">
        <f t="shared" si="96"/>
        <v/>
      </c>
      <c r="BC157" s="1">
        <f t="shared" si="97"/>
        <v>3</v>
      </c>
      <c r="BD157" s="1">
        <f t="shared" si="98"/>
        <v>3</v>
      </c>
      <c r="BE157" s="1">
        <f t="shared" si="99"/>
        <v>4</v>
      </c>
      <c r="BF157" s="1">
        <f t="shared" si="100"/>
        <v>3</v>
      </c>
      <c r="BG157" s="1">
        <f t="shared" si="101"/>
        <v>4</v>
      </c>
      <c r="BH157" s="1">
        <f t="shared" si="102"/>
        <v>5</v>
      </c>
      <c r="BI157" s="1">
        <f t="shared" si="103"/>
        <v>1</v>
      </c>
      <c r="BJ157" s="1">
        <f t="shared" si="104"/>
        <v>4</v>
      </c>
    </row>
    <row r="158" ht="14.25" customHeight="1" spans="1:62">
      <c r="A158" s="10">
        <v>154</v>
      </c>
      <c r="B158" s="10" t="s">
        <v>617</v>
      </c>
      <c r="C158" s="10">
        <v>2015</v>
      </c>
      <c r="D158" s="10">
        <f t="shared" si="70"/>
        <v>2010</v>
      </c>
      <c r="E158" s="10" t="s">
        <v>136</v>
      </c>
      <c r="F158" s="35" t="s">
        <v>618</v>
      </c>
      <c r="G158" s="10" t="s">
        <v>619</v>
      </c>
      <c r="H158" s="10" t="s">
        <v>140</v>
      </c>
      <c r="I158" s="10" t="s">
        <v>140</v>
      </c>
      <c r="J158" s="10"/>
      <c r="K158" s="10">
        <v>4</v>
      </c>
      <c r="L158" s="10">
        <v>4</v>
      </c>
      <c r="M158" s="10">
        <v>4</v>
      </c>
      <c r="N158" s="10">
        <v>4</v>
      </c>
      <c r="O158" s="10">
        <v>1</v>
      </c>
      <c r="P158" s="10">
        <v>1</v>
      </c>
      <c r="Q158" s="10">
        <v>2</v>
      </c>
      <c r="R158" s="10">
        <v>4</v>
      </c>
      <c r="S158" s="10">
        <f t="shared" si="71"/>
        <v>0.75</v>
      </c>
      <c r="T158" s="10">
        <f t="shared" si="72"/>
        <v>0.75</v>
      </c>
      <c r="U158" s="10">
        <f t="shared" si="73"/>
        <v>0.75</v>
      </c>
      <c r="V158" s="10">
        <f t="shared" si="74"/>
        <v>0.75</v>
      </c>
      <c r="W158" s="10">
        <f t="shared" si="75"/>
        <v>0</v>
      </c>
      <c r="X158" s="10">
        <f t="shared" si="76"/>
        <v>0</v>
      </c>
      <c r="Y158" s="10">
        <f t="shared" si="77"/>
        <v>0.25</v>
      </c>
      <c r="Z158" s="10">
        <f t="shared" si="78"/>
        <v>0.75</v>
      </c>
      <c r="AA158" s="10" t="str">
        <f t="shared" si="79"/>
        <v/>
      </c>
      <c r="AB158" s="10" t="str">
        <f t="shared" si="80"/>
        <v/>
      </c>
      <c r="AC158" s="10" t="str">
        <f t="shared" si="81"/>
        <v/>
      </c>
      <c r="AD158" s="10" t="str">
        <f t="shared" si="82"/>
        <v/>
      </c>
      <c r="AE158" s="10" t="str">
        <f t="shared" si="83"/>
        <v/>
      </c>
      <c r="AF158" s="10" t="str">
        <f t="shared" si="84"/>
        <v/>
      </c>
      <c r="AG158" s="10" t="str">
        <f t="shared" si="85"/>
        <v/>
      </c>
      <c r="AH158" s="10" t="str">
        <f t="shared" si="86"/>
        <v/>
      </c>
      <c r="AI158" s="10">
        <f>IF(OR(S158="",'4_BENCHMARK'!$C$4=""),"",ABS(S158-'4_BENCHMARK'!$C$4))</f>
        <v>0.25</v>
      </c>
      <c r="AJ158" s="10">
        <f>IF(OR(T158="",'4_BENCHMARK'!$C$5=""),"",ABS(T158-'4_BENCHMARK'!$C$5))</f>
        <v>0.25</v>
      </c>
      <c r="AK158" s="10">
        <f>IF(OR(U158="",'4_BENCHMARK'!$C$6=""),"",ABS(U158-'4_BENCHMARK'!$C$6))</f>
        <v>0.25</v>
      </c>
      <c r="AL158" s="10">
        <f>IF(OR(V158="",'4_BENCHMARK'!$C$7=""),"",ABS(V158-'4_BENCHMARK'!$C$7))</f>
        <v>0.25</v>
      </c>
      <c r="AM158" s="10">
        <f>IF(OR(W158="",'4_BENCHMARK'!$C$8=""),"",ABS(W158-'4_BENCHMARK'!$C$8))</f>
        <v>0</v>
      </c>
      <c r="AN158" s="10">
        <f>IF(OR(X158="",'4_BENCHMARK'!$C$9=""),"",ABS(X158-'4_BENCHMARK'!$C$9))</f>
        <v>0</v>
      </c>
      <c r="AO158" s="10">
        <f>IF(OR(Y158="",'4_BENCHMARK'!$C$10=""),"",ABS(Y158-'4_BENCHMARK'!$C$10))</f>
        <v>0.25</v>
      </c>
      <c r="AP158" s="10">
        <f>IF(OR(Z158="",'4_BENCHMARK'!$C$11=""),"",ABS(Z158-'4_BENCHMARK'!$C$11))</f>
        <v>0.25</v>
      </c>
      <c r="AQ158" s="13">
        <f t="shared" si="87"/>
        <v>0.8125</v>
      </c>
      <c r="AR158" s="10"/>
      <c r="AS158" s="10" t="s">
        <v>145</v>
      </c>
      <c r="AT158" s="13">
        <f t="shared" si="88"/>
        <v>0.75</v>
      </c>
      <c r="AU158" s="1" t="str">
        <f t="shared" si="89"/>
        <v/>
      </c>
      <c r="AV158" s="1" t="str">
        <f t="shared" si="90"/>
        <v/>
      </c>
      <c r="AW158" s="1" t="str">
        <f t="shared" si="91"/>
        <v/>
      </c>
      <c r="AX158" s="1" t="str">
        <f t="shared" si="92"/>
        <v/>
      </c>
      <c r="AY158" s="1" t="str">
        <f t="shared" si="93"/>
        <v/>
      </c>
      <c r="AZ158" s="1" t="str">
        <f t="shared" si="94"/>
        <v/>
      </c>
      <c r="BA158" s="1" t="str">
        <f t="shared" si="95"/>
        <v/>
      </c>
      <c r="BB158" s="1" t="str">
        <f t="shared" si="96"/>
        <v/>
      </c>
      <c r="BC158" s="1">
        <f t="shared" si="97"/>
        <v>4</v>
      </c>
      <c r="BD158" s="1">
        <f t="shared" si="98"/>
        <v>4</v>
      </c>
      <c r="BE158" s="1">
        <f t="shared" si="99"/>
        <v>4</v>
      </c>
      <c r="BF158" s="1">
        <f t="shared" si="100"/>
        <v>4</v>
      </c>
      <c r="BG158" s="1">
        <f t="shared" si="101"/>
        <v>1</v>
      </c>
      <c r="BH158" s="1">
        <f t="shared" si="102"/>
        <v>1</v>
      </c>
      <c r="BI158" s="1">
        <f t="shared" si="103"/>
        <v>2</v>
      </c>
      <c r="BJ158" s="1">
        <f t="shared" si="104"/>
        <v>4</v>
      </c>
    </row>
    <row r="159" ht="14.25" customHeight="1" spans="1:62">
      <c r="A159" s="10">
        <v>155</v>
      </c>
      <c r="B159" s="10" t="s">
        <v>620</v>
      </c>
      <c r="C159" s="10">
        <v>2019</v>
      </c>
      <c r="D159" s="10">
        <f t="shared" si="70"/>
        <v>2010</v>
      </c>
      <c r="E159" s="10" t="s">
        <v>136</v>
      </c>
      <c r="F159" s="35" t="s">
        <v>621</v>
      </c>
      <c r="G159" s="10" t="s">
        <v>622</v>
      </c>
      <c r="H159" s="10" t="s">
        <v>139</v>
      </c>
      <c r="I159" s="10" t="s">
        <v>140</v>
      </c>
      <c r="J159" s="10"/>
      <c r="K159" s="10">
        <v>4</v>
      </c>
      <c r="L159" s="10">
        <v>4</v>
      </c>
      <c r="M159" s="10">
        <v>4</v>
      </c>
      <c r="N159" s="10">
        <v>2</v>
      </c>
      <c r="O159" s="10">
        <v>5</v>
      </c>
      <c r="P159" s="10">
        <v>2</v>
      </c>
      <c r="Q159" s="10">
        <v>2</v>
      </c>
      <c r="R159" s="10">
        <v>4</v>
      </c>
      <c r="S159" s="10">
        <f t="shared" si="71"/>
        <v>0.75</v>
      </c>
      <c r="T159" s="10">
        <f t="shared" si="72"/>
        <v>0.75</v>
      </c>
      <c r="U159" s="10">
        <f t="shared" si="73"/>
        <v>0.75</v>
      </c>
      <c r="V159" s="10">
        <f t="shared" si="74"/>
        <v>0.25</v>
      </c>
      <c r="W159" s="10">
        <f t="shared" si="75"/>
        <v>1</v>
      </c>
      <c r="X159" s="10">
        <f t="shared" si="76"/>
        <v>0.25</v>
      </c>
      <c r="Y159" s="10">
        <f t="shared" si="77"/>
        <v>0.25</v>
      </c>
      <c r="Z159" s="10">
        <f t="shared" si="78"/>
        <v>0.75</v>
      </c>
      <c r="AA159" s="10" t="str">
        <f t="shared" si="79"/>
        <v/>
      </c>
      <c r="AB159" s="10" t="str">
        <f t="shared" si="80"/>
        <v/>
      </c>
      <c r="AC159" s="10" t="str">
        <f t="shared" si="81"/>
        <v/>
      </c>
      <c r="AD159" s="10" t="str">
        <f t="shared" si="82"/>
        <v/>
      </c>
      <c r="AE159" s="10" t="str">
        <f t="shared" si="83"/>
        <v/>
      </c>
      <c r="AF159" s="10" t="str">
        <f t="shared" si="84"/>
        <v/>
      </c>
      <c r="AG159" s="10" t="str">
        <f t="shared" si="85"/>
        <v/>
      </c>
      <c r="AH159" s="10" t="str">
        <f t="shared" si="86"/>
        <v/>
      </c>
      <c r="AI159" s="10">
        <f>IF(OR(S159="",'4_BENCHMARK'!$C$4=""),"",ABS(S159-'4_BENCHMARK'!$C$4))</f>
        <v>0.25</v>
      </c>
      <c r="AJ159" s="10">
        <f>IF(OR(T159="",'4_BENCHMARK'!$C$5=""),"",ABS(T159-'4_BENCHMARK'!$C$5))</f>
        <v>0.25</v>
      </c>
      <c r="AK159" s="10">
        <f>IF(OR(U159="",'4_BENCHMARK'!$C$6=""),"",ABS(U159-'4_BENCHMARK'!$C$6))</f>
        <v>0.25</v>
      </c>
      <c r="AL159" s="10">
        <f>IF(OR(V159="",'4_BENCHMARK'!$C$7=""),"",ABS(V159-'4_BENCHMARK'!$C$7))</f>
        <v>0.75</v>
      </c>
      <c r="AM159" s="10">
        <f>IF(OR(W159="",'4_BENCHMARK'!$C$8=""),"",ABS(W159-'4_BENCHMARK'!$C$8))</f>
        <v>1</v>
      </c>
      <c r="AN159" s="10">
        <f>IF(OR(X159="",'4_BENCHMARK'!$C$9=""),"",ABS(X159-'4_BENCHMARK'!$C$9))</f>
        <v>0.25</v>
      </c>
      <c r="AO159" s="10">
        <f>IF(OR(Y159="",'4_BENCHMARK'!$C$10=""),"",ABS(Y159-'4_BENCHMARK'!$C$10))</f>
        <v>0.25</v>
      </c>
      <c r="AP159" s="10">
        <f>IF(OR(Z159="",'4_BENCHMARK'!$C$11=""),"",ABS(Z159-'4_BENCHMARK'!$C$11))</f>
        <v>0.25</v>
      </c>
      <c r="AQ159" s="13">
        <f t="shared" si="87"/>
        <v>0.59375</v>
      </c>
      <c r="AR159" s="10"/>
      <c r="AS159" s="10" t="s">
        <v>145</v>
      </c>
      <c r="AT159" s="13">
        <f t="shared" si="88"/>
        <v>0.666666666666667</v>
      </c>
      <c r="AU159" s="1" t="str">
        <f t="shared" si="89"/>
        <v/>
      </c>
      <c r="AV159" s="1" t="str">
        <f t="shared" si="90"/>
        <v/>
      </c>
      <c r="AW159" s="1" t="str">
        <f t="shared" si="91"/>
        <v/>
      </c>
      <c r="AX159" s="1" t="str">
        <f t="shared" si="92"/>
        <v/>
      </c>
      <c r="AY159" s="1" t="str">
        <f t="shared" si="93"/>
        <v/>
      </c>
      <c r="AZ159" s="1" t="str">
        <f t="shared" si="94"/>
        <v/>
      </c>
      <c r="BA159" s="1" t="str">
        <f t="shared" si="95"/>
        <v/>
      </c>
      <c r="BB159" s="1" t="str">
        <f t="shared" si="96"/>
        <v/>
      </c>
      <c r="BC159" s="1">
        <f t="shared" si="97"/>
        <v>4</v>
      </c>
      <c r="BD159" s="1">
        <f t="shared" si="98"/>
        <v>4</v>
      </c>
      <c r="BE159" s="1">
        <f t="shared" si="99"/>
        <v>4</v>
      </c>
      <c r="BF159" s="1">
        <f t="shared" si="100"/>
        <v>2</v>
      </c>
      <c r="BG159" s="1">
        <f t="shared" si="101"/>
        <v>5</v>
      </c>
      <c r="BH159" s="1">
        <f t="shared" si="102"/>
        <v>2</v>
      </c>
      <c r="BI159" s="1">
        <f t="shared" si="103"/>
        <v>2</v>
      </c>
      <c r="BJ159" s="1">
        <f t="shared" si="104"/>
        <v>4</v>
      </c>
    </row>
    <row r="160" ht="14.25" customHeight="1" spans="1:62">
      <c r="A160" s="10">
        <v>156</v>
      </c>
      <c r="B160" s="10" t="s">
        <v>623</v>
      </c>
      <c r="C160" s="10">
        <v>2019</v>
      </c>
      <c r="D160" s="10">
        <f t="shared" si="70"/>
        <v>2010</v>
      </c>
      <c r="E160" s="10" t="s">
        <v>136</v>
      </c>
      <c r="F160" s="35" t="s">
        <v>624</v>
      </c>
      <c r="G160" s="10" t="s">
        <v>625</v>
      </c>
      <c r="H160" s="10" t="s">
        <v>140</v>
      </c>
      <c r="I160" s="10" t="s">
        <v>140</v>
      </c>
      <c r="J160" s="10"/>
      <c r="K160" s="10">
        <v>5</v>
      </c>
      <c r="L160" s="10">
        <v>5</v>
      </c>
      <c r="M160" s="10">
        <v>5</v>
      </c>
      <c r="N160" s="10">
        <v>5</v>
      </c>
      <c r="O160" s="10">
        <v>1</v>
      </c>
      <c r="P160" s="10">
        <v>1</v>
      </c>
      <c r="Q160" s="10">
        <v>2</v>
      </c>
      <c r="R160" s="10">
        <v>3</v>
      </c>
      <c r="S160" s="10">
        <f t="shared" si="71"/>
        <v>1</v>
      </c>
      <c r="T160" s="10">
        <f t="shared" si="72"/>
        <v>1</v>
      </c>
      <c r="U160" s="10">
        <f t="shared" si="73"/>
        <v>1</v>
      </c>
      <c r="V160" s="10">
        <f t="shared" si="74"/>
        <v>1</v>
      </c>
      <c r="W160" s="10">
        <f t="shared" si="75"/>
        <v>0</v>
      </c>
      <c r="X160" s="10">
        <f t="shared" si="76"/>
        <v>0</v>
      </c>
      <c r="Y160" s="10">
        <f t="shared" si="77"/>
        <v>0.25</v>
      </c>
      <c r="Z160" s="10">
        <f t="shared" si="78"/>
        <v>0.5</v>
      </c>
      <c r="AA160" s="10" t="str">
        <f t="shared" si="79"/>
        <v/>
      </c>
      <c r="AB160" s="10" t="str">
        <f t="shared" si="80"/>
        <v/>
      </c>
      <c r="AC160" s="10" t="str">
        <f t="shared" si="81"/>
        <v/>
      </c>
      <c r="AD160" s="10" t="str">
        <f t="shared" si="82"/>
        <v/>
      </c>
      <c r="AE160" s="10" t="str">
        <f t="shared" si="83"/>
        <v/>
      </c>
      <c r="AF160" s="10" t="str">
        <f t="shared" si="84"/>
        <v/>
      </c>
      <c r="AG160" s="10" t="str">
        <f t="shared" si="85"/>
        <v/>
      </c>
      <c r="AH160" s="10" t="str">
        <f t="shared" si="86"/>
        <v/>
      </c>
      <c r="AI160" s="10">
        <f>IF(OR(S160="",'4_BENCHMARK'!$C$4=""),"",ABS(S160-'4_BENCHMARK'!$C$4))</f>
        <v>0</v>
      </c>
      <c r="AJ160" s="10">
        <f>IF(OR(T160="",'4_BENCHMARK'!$C$5=""),"",ABS(T160-'4_BENCHMARK'!$C$5))</f>
        <v>0</v>
      </c>
      <c r="AK160" s="10">
        <f>IF(OR(U160="",'4_BENCHMARK'!$C$6=""),"",ABS(U160-'4_BENCHMARK'!$C$6))</f>
        <v>0</v>
      </c>
      <c r="AL160" s="10">
        <f>IF(OR(V160="",'4_BENCHMARK'!$C$7=""),"",ABS(V160-'4_BENCHMARK'!$C$7))</f>
        <v>0</v>
      </c>
      <c r="AM160" s="10">
        <f>IF(OR(W160="",'4_BENCHMARK'!$C$8=""),"",ABS(W160-'4_BENCHMARK'!$C$8))</f>
        <v>0</v>
      </c>
      <c r="AN160" s="10">
        <f>IF(OR(X160="",'4_BENCHMARK'!$C$9=""),"",ABS(X160-'4_BENCHMARK'!$C$9))</f>
        <v>0</v>
      </c>
      <c r="AO160" s="10">
        <f>IF(OR(Y160="",'4_BENCHMARK'!$C$10=""),"",ABS(Y160-'4_BENCHMARK'!$C$10))</f>
        <v>0.25</v>
      </c>
      <c r="AP160" s="10">
        <f>IF(OR(Z160="",'4_BENCHMARK'!$C$11=""),"",ABS(Z160-'4_BENCHMARK'!$C$11))</f>
        <v>0.5</v>
      </c>
      <c r="AQ160" s="13">
        <f t="shared" si="87"/>
        <v>0.90625</v>
      </c>
      <c r="AR160" s="10"/>
      <c r="AS160" s="10" t="s">
        <v>230</v>
      </c>
      <c r="AT160" s="13">
        <f t="shared" si="88"/>
        <v>0.875</v>
      </c>
      <c r="AU160" s="1" t="str">
        <f t="shared" si="89"/>
        <v/>
      </c>
      <c r="AV160" s="1" t="str">
        <f t="shared" si="90"/>
        <v/>
      </c>
      <c r="AW160" s="1" t="str">
        <f t="shared" si="91"/>
        <v/>
      </c>
      <c r="AX160" s="1" t="str">
        <f t="shared" si="92"/>
        <v/>
      </c>
      <c r="AY160" s="1" t="str">
        <f t="shared" si="93"/>
        <v/>
      </c>
      <c r="AZ160" s="1" t="str">
        <f t="shared" si="94"/>
        <v/>
      </c>
      <c r="BA160" s="1" t="str">
        <f t="shared" si="95"/>
        <v/>
      </c>
      <c r="BB160" s="1" t="str">
        <f t="shared" si="96"/>
        <v/>
      </c>
      <c r="BC160" s="1">
        <f t="shared" si="97"/>
        <v>5</v>
      </c>
      <c r="BD160" s="1">
        <f t="shared" si="98"/>
        <v>5</v>
      </c>
      <c r="BE160" s="1">
        <f t="shared" si="99"/>
        <v>5</v>
      </c>
      <c r="BF160" s="1">
        <f t="shared" si="100"/>
        <v>5</v>
      </c>
      <c r="BG160" s="1">
        <f t="shared" si="101"/>
        <v>1</v>
      </c>
      <c r="BH160" s="1">
        <f t="shared" si="102"/>
        <v>1</v>
      </c>
      <c r="BI160" s="1">
        <f t="shared" si="103"/>
        <v>2</v>
      </c>
      <c r="BJ160" s="1">
        <f t="shared" si="104"/>
        <v>3</v>
      </c>
    </row>
    <row r="161" ht="14.25" customHeight="1" spans="1:62">
      <c r="A161" s="10">
        <v>157</v>
      </c>
      <c r="B161" s="10" t="s">
        <v>626</v>
      </c>
      <c r="C161" s="10">
        <v>2019</v>
      </c>
      <c r="D161" s="10">
        <f t="shared" si="70"/>
        <v>2010</v>
      </c>
      <c r="E161" s="10" t="s">
        <v>136</v>
      </c>
      <c r="F161" s="35" t="s">
        <v>627</v>
      </c>
      <c r="G161" s="10" t="s">
        <v>628</v>
      </c>
      <c r="H161" s="10" t="s">
        <v>140</v>
      </c>
      <c r="I161" s="10" t="s">
        <v>140</v>
      </c>
      <c r="J161" s="10"/>
      <c r="K161" s="10">
        <v>3</v>
      </c>
      <c r="L161" s="10">
        <v>4</v>
      </c>
      <c r="M161" s="10">
        <v>4</v>
      </c>
      <c r="N161" s="10">
        <v>5</v>
      </c>
      <c r="O161" s="10">
        <v>5</v>
      </c>
      <c r="P161" s="10">
        <v>5</v>
      </c>
      <c r="Q161" s="10">
        <v>1</v>
      </c>
      <c r="R161" s="10">
        <v>5</v>
      </c>
      <c r="S161" s="10">
        <f t="shared" si="71"/>
        <v>0.5</v>
      </c>
      <c r="T161" s="10">
        <f t="shared" si="72"/>
        <v>0.75</v>
      </c>
      <c r="U161" s="10">
        <f t="shared" si="73"/>
        <v>0.75</v>
      </c>
      <c r="V161" s="10">
        <f t="shared" si="74"/>
        <v>1</v>
      </c>
      <c r="W161" s="10">
        <f t="shared" si="75"/>
        <v>1</v>
      </c>
      <c r="X161" s="10">
        <f t="shared" si="76"/>
        <v>1</v>
      </c>
      <c r="Y161" s="10">
        <f t="shared" si="77"/>
        <v>0</v>
      </c>
      <c r="Z161" s="10">
        <f t="shared" si="78"/>
        <v>1</v>
      </c>
      <c r="AA161" s="10" t="str">
        <f t="shared" si="79"/>
        <v/>
      </c>
      <c r="AB161" s="10" t="str">
        <f t="shared" si="80"/>
        <v/>
      </c>
      <c r="AC161" s="10" t="str">
        <f t="shared" si="81"/>
        <v/>
      </c>
      <c r="AD161" s="10" t="str">
        <f t="shared" si="82"/>
        <v/>
      </c>
      <c r="AE161" s="10" t="str">
        <f t="shared" si="83"/>
        <v/>
      </c>
      <c r="AF161" s="10" t="str">
        <f t="shared" si="84"/>
        <v/>
      </c>
      <c r="AG161" s="10" t="str">
        <f t="shared" si="85"/>
        <v/>
      </c>
      <c r="AH161" s="10" t="str">
        <f t="shared" si="86"/>
        <v/>
      </c>
      <c r="AI161" s="10">
        <f>IF(OR(S161="",'4_BENCHMARK'!$C$4=""),"",ABS(S161-'4_BENCHMARK'!$C$4))</f>
        <v>0.5</v>
      </c>
      <c r="AJ161" s="10">
        <f>IF(OR(T161="",'4_BENCHMARK'!$C$5=""),"",ABS(T161-'4_BENCHMARK'!$C$5))</f>
        <v>0.25</v>
      </c>
      <c r="AK161" s="10">
        <f>IF(OR(U161="",'4_BENCHMARK'!$C$6=""),"",ABS(U161-'4_BENCHMARK'!$C$6))</f>
        <v>0.25</v>
      </c>
      <c r="AL161" s="10">
        <f>IF(OR(V161="",'4_BENCHMARK'!$C$7=""),"",ABS(V161-'4_BENCHMARK'!$C$7))</f>
        <v>0</v>
      </c>
      <c r="AM161" s="10">
        <f>IF(OR(W161="",'4_BENCHMARK'!$C$8=""),"",ABS(W161-'4_BENCHMARK'!$C$8))</f>
        <v>1</v>
      </c>
      <c r="AN161" s="10">
        <f>IF(OR(X161="",'4_BENCHMARK'!$C$9=""),"",ABS(X161-'4_BENCHMARK'!$C$9))</f>
        <v>1</v>
      </c>
      <c r="AO161" s="10">
        <f>IF(OR(Y161="",'4_BENCHMARK'!$C$10=""),"",ABS(Y161-'4_BENCHMARK'!$C$10))</f>
        <v>0.5</v>
      </c>
      <c r="AP161" s="10">
        <f>IF(OR(Z161="",'4_BENCHMARK'!$C$11=""),"",ABS(Z161-'4_BENCHMARK'!$C$11))</f>
        <v>0</v>
      </c>
      <c r="AQ161" s="13">
        <f t="shared" si="87"/>
        <v>0.5625</v>
      </c>
      <c r="AR161" s="10"/>
      <c r="AS161" s="10" t="s">
        <v>145</v>
      </c>
      <c r="AT161" s="13">
        <f t="shared" si="88"/>
        <v>0.75</v>
      </c>
      <c r="AU161" s="1" t="str">
        <f t="shared" si="89"/>
        <v/>
      </c>
      <c r="AV161" s="1" t="str">
        <f t="shared" si="90"/>
        <v/>
      </c>
      <c r="AW161" s="1" t="str">
        <f t="shared" si="91"/>
        <v/>
      </c>
      <c r="AX161" s="1" t="str">
        <f t="shared" si="92"/>
        <v/>
      </c>
      <c r="AY161" s="1" t="str">
        <f t="shared" si="93"/>
        <v/>
      </c>
      <c r="AZ161" s="1" t="str">
        <f t="shared" si="94"/>
        <v/>
      </c>
      <c r="BA161" s="1" t="str">
        <f t="shared" si="95"/>
        <v/>
      </c>
      <c r="BB161" s="1" t="str">
        <f t="shared" si="96"/>
        <v/>
      </c>
      <c r="BC161" s="1">
        <f t="shared" si="97"/>
        <v>3</v>
      </c>
      <c r="BD161" s="1">
        <f t="shared" si="98"/>
        <v>4</v>
      </c>
      <c r="BE161" s="1">
        <f t="shared" si="99"/>
        <v>4</v>
      </c>
      <c r="BF161" s="1">
        <f t="shared" si="100"/>
        <v>5</v>
      </c>
      <c r="BG161" s="1">
        <f t="shared" si="101"/>
        <v>5</v>
      </c>
      <c r="BH161" s="1">
        <f t="shared" si="102"/>
        <v>5</v>
      </c>
      <c r="BI161" s="1">
        <f t="shared" si="103"/>
        <v>1</v>
      </c>
      <c r="BJ161" s="1">
        <f t="shared" si="104"/>
        <v>5</v>
      </c>
    </row>
    <row r="162" ht="14.25" customHeight="1" spans="1:62">
      <c r="A162" s="10">
        <v>158</v>
      </c>
      <c r="B162" s="10" t="s">
        <v>629</v>
      </c>
      <c r="C162" s="10">
        <v>2019</v>
      </c>
      <c r="D162" s="10">
        <f t="shared" si="70"/>
        <v>2010</v>
      </c>
      <c r="E162" s="10" t="s">
        <v>136</v>
      </c>
      <c r="F162" s="35" t="s">
        <v>630</v>
      </c>
      <c r="G162" s="10" t="s">
        <v>631</v>
      </c>
      <c r="H162" s="10" t="s">
        <v>140</v>
      </c>
      <c r="I162" s="10" t="s">
        <v>140</v>
      </c>
      <c r="J162" s="10"/>
      <c r="K162" s="10">
        <v>3</v>
      </c>
      <c r="L162" s="10">
        <v>3</v>
      </c>
      <c r="M162" s="10">
        <v>4</v>
      </c>
      <c r="N162" s="10">
        <v>4</v>
      </c>
      <c r="O162" s="10">
        <v>5</v>
      </c>
      <c r="P162" s="10">
        <v>5</v>
      </c>
      <c r="Q162" s="10">
        <v>2</v>
      </c>
      <c r="R162" s="10">
        <v>5</v>
      </c>
      <c r="S162" s="10">
        <f t="shared" si="71"/>
        <v>0.5</v>
      </c>
      <c r="T162" s="10">
        <f t="shared" si="72"/>
        <v>0.5</v>
      </c>
      <c r="U162" s="10">
        <f t="shared" si="73"/>
        <v>0.75</v>
      </c>
      <c r="V162" s="10">
        <f t="shared" si="74"/>
        <v>0.75</v>
      </c>
      <c r="W162" s="10">
        <f t="shared" si="75"/>
        <v>1</v>
      </c>
      <c r="X162" s="10">
        <f t="shared" si="76"/>
        <v>1</v>
      </c>
      <c r="Y162" s="10">
        <f t="shared" si="77"/>
        <v>0.25</v>
      </c>
      <c r="Z162" s="10">
        <f t="shared" si="78"/>
        <v>1</v>
      </c>
      <c r="AA162" s="10" t="str">
        <f t="shared" si="79"/>
        <v/>
      </c>
      <c r="AB162" s="10" t="str">
        <f t="shared" si="80"/>
        <v/>
      </c>
      <c r="AC162" s="10" t="str">
        <f t="shared" si="81"/>
        <v/>
      </c>
      <c r="AD162" s="10" t="str">
        <f t="shared" si="82"/>
        <v/>
      </c>
      <c r="AE162" s="10" t="str">
        <f t="shared" si="83"/>
        <v/>
      </c>
      <c r="AF162" s="10" t="str">
        <f t="shared" si="84"/>
        <v/>
      </c>
      <c r="AG162" s="10" t="str">
        <f t="shared" si="85"/>
        <v/>
      </c>
      <c r="AH162" s="10" t="str">
        <f t="shared" si="86"/>
        <v/>
      </c>
      <c r="AI162" s="10">
        <f>IF(OR(S162="",'4_BENCHMARK'!$C$4=""),"",ABS(S162-'4_BENCHMARK'!$C$4))</f>
        <v>0.5</v>
      </c>
      <c r="AJ162" s="10">
        <f>IF(OR(T162="",'4_BENCHMARK'!$C$5=""),"",ABS(T162-'4_BENCHMARK'!$C$5))</f>
        <v>0.5</v>
      </c>
      <c r="AK162" s="10">
        <f>IF(OR(U162="",'4_BENCHMARK'!$C$6=""),"",ABS(U162-'4_BENCHMARK'!$C$6))</f>
        <v>0.25</v>
      </c>
      <c r="AL162" s="10">
        <f>IF(OR(V162="",'4_BENCHMARK'!$C$7=""),"",ABS(V162-'4_BENCHMARK'!$C$7))</f>
        <v>0.25</v>
      </c>
      <c r="AM162" s="10">
        <f>IF(OR(W162="",'4_BENCHMARK'!$C$8=""),"",ABS(W162-'4_BENCHMARK'!$C$8))</f>
        <v>1</v>
      </c>
      <c r="AN162" s="10">
        <f>IF(OR(X162="",'4_BENCHMARK'!$C$9=""),"",ABS(X162-'4_BENCHMARK'!$C$9))</f>
        <v>1</v>
      </c>
      <c r="AO162" s="10">
        <f>IF(OR(Y162="",'4_BENCHMARK'!$C$10=""),"",ABS(Y162-'4_BENCHMARK'!$C$10))</f>
        <v>0.25</v>
      </c>
      <c r="AP162" s="10">
        <f>IF(OR(Z162="",'4_BENCHMARK'!$C$11=""),"",ABS(Z162-'4_BENCHMARK'!$C$11))</f>
        <v>0</v>
      </c>
      <c r="AQ162" s="13">
        <f t="shared" si="87"/>
        <v>0.53125</v>
      </c>
      <c r="AR162" s="10"/>
      <c r="AS162" s="10" t="s">
        <v>145</v>
      </c>
      <c r="AT162" s="13">
        <f t="shared" si="88"/>
        <v>0.708333333333333</v>
      </c>
      <c r="AU162" s="1" t="str">
        <f t="shared" si="89"/>
        <v/>
      </c>
      <c r="AV162" s="1" t="str">
        <f t="shared" si="90"/>
        <v/>
      </c>
      <c r="AW162" s="1" t="str">
        <f t="shared" si="91"/>
        <v/>
      </c>
      <c r="AX162" s="1" t="str">
        <f t="shared" si="92"/>
        <v/>
      </c>
      <c r="AY162" s="1" t="str">
        <f t="shared" si="93"/>
        <v/>
      </c>
      <c r="AZ162" s="1" t="str">
        <f t="shared" si="94"/>
        <v/>
      </c>
      <c r="BA162" s="1" t="str">
        <f t="shared" si="95"/>
        <v/>
      </c>
      <c r="BB162" s="1" t="str">
        <f t="shared" si="96"/>
        <v/>
      </c>
      <c r="BC162" s="1">
        <f t="shared" si="97"/>
        <v>3</v>
      </c>
      <c r="BD162" s="1">
        <f t="shared" si="98"/>
        <v>3</v>
      </c>
      <c r="BE162" s="1">
        <f t="shared" si="99"/>
        <v>4</v>
      </c>
      <c r="BF162" s="1">
        <f t="shared" si="100"/>
        <v>4</v>
      </c>
      <c r="BG162" s="1">
        <f t="shared" si="101"/>
        <v>5</v>
      </c>
      <c r="BH162" s="1">
        <f t="shared" si="102"/>
        <v>5</v>
      </c>
      <c r="BI162" s="1">
        <f t="shared" si="103"/>
        <v>2</v>
      </c>
      <c r="BJ162" s="1">
        <f t="shared" si="104"/>
        <v>5</v>
      </c>
    </row>
    <row r="163" ht="14.25" customHeight="1" spans="1:62">
      <c r="A163" s="10">
        <v>159</v>
      </c>
      <c r="B163" s="10" t="s">
        <v>632</v>
      </c>
      <c r="C163" s="10">
        <v>2014</v>
      </c>
      <c r="D163" s="10">
        <f t="shared" si="70"/>
        <v>2010</v>
      </c>
      <c r="E163" s="10" t="s">
        <v>136</v>
      </c>
      <c r="F163" s="35" t="s">
        <v>633</v>
      </c>
      <c r="G163" s="10" t="s">
        <v>634</v>
      </c>
      <c r="H163" s="10" t="s">
        <v>140</v>
      </c>
      <c r="I163" s="10" t="s">
        <v>140</v>
      </c>
      <c r="J163" s="10"/>
      <c r="K163" s="10">
        <v>3</v>
      </c>
      <c r="L163" s="10">
        <v>3</v>
      </c>
      <c r="M163" s="10">
        <v>4</v>
      </c>
      <c r="N163" s="10">
        <v>3</v>
      </c>
      <c r="O163" s="10">
        <v>4</v>
      </c>
      <c r="P163" s="10">
        <v>5</v>
      </c>
      <c r="Q163" s="10">
        <v>1</v>
      </c>
      <c r="R163" s="10">
        <v>4</v>
      </c>
      <c r="S163" s="10">
        <f t="shared" si="71"/>
        <v>0.5</v>
      </c>
      <c r="T163" s="10">
        <f t="shared" si="72"/>
        <v>0.5</v>
      </c>
      <c r="U163" s="10">
        <f t="shared" si="73"/>
        <v>0.75</v>
      </c>
      <c r="V163" s="10">
        <f t="shared" si="74"/>
        <v>0.5</v>
      </c>
      <c r="W163" s="10">
        <f t="shared" si="75"/>
        <v>0.75</v>
      </c>
      <c r="X163" s="10">
        <f t="shared" si="76"/>
        <v>1</v>
      </c>
      <c r="Y163" s="10">
        <f t="shared" si="77"/>
        <v>0</v>
      </c>
      <c r="Z163" s="10">
        <f t="shared" si="78"/>
        <v>0.75</v>
      </c>
      <c r="AA163" s="10" t="str">
        <f t="shared" si="79"/>
        <v/>
      </c>
      <c r="AB163" s="10" t="str">
        <f t="shared" si="80"/>
        <v/>
      </c>
      <c r="AC163" s="10" t="str">
        <f t="shared" si="81"/>
        <v/>
      </c>
      <c r="AD163" s="10" t="str">
        <f t="shared" si="82"/>
        <v/>
      </c>
      <c r="AE163" s="10" t="str">
        <f t="shared" si="83"/>
        <v/>
      </c>
      <c r="AF163" s="10" t="str">
        <f t="shared" si="84"/>
        <v/>
      </c>
      <c r="AG163" s="10" t="str">
        <f t="shared" si="85"/>
        <v/>
      </c>
      <c r="AH163" s="10" t="str">
        <f t="shared" si="86"/>
        <v/>
      </c>
      <c r="AI163" s="10">
        <f>IF(OR(S163="",'4_BENCHMARK'!$C$4=""),"",ABS(S163-'4_BENCHMARK'!$C$4))</f>
        <v>0.5</v>
      </c>
      <c r="AJ163" s="10">
        <f>IF(OR(T163="",'4_BENCHMARK'!$C$5=""),"",ABS(T163-'4_BENCHMARK'!$C$5))</f>
        <v>0.5</v>
      </c>
      <c r="AK163" s="10">
        <f>IF(OR(U163="",'4_BENCHMARK'!$C$6=""),"",ABS(U163-'4_BENCHMARK'!$C$6))</f>
        <v>0.25</v>
      </c>
      <c r="AL163" s="10">
        <f>IF(OR(V163="",'4_BENCHMARK'!$C$7=""),"",ABS(V163-'4_BENCHMARK'!$C$7))</f>
        <v>0.5</v>
      </c>
      <c r="AM163" s="10">
        <f>IF(OR(W163="",'4_BENCHMARK'!$C$8=""),"",ABS(W163-'4_BENCHMARK'!$C$8))</f>
        <v>0.75</v>
      </c>
      <c r="AN163" s="10">
        <f>IF(OR(X163="",'4_BENCHMARK'!$C$9=""),"",ABS(X163-'4_BENCHMARK'!$C$9))</f>
        <v>1</v>
      </c>
      <c r="AO163" s="10">
        <f>IF(OR(Y163="",'4_BENCHMARK'!$C$10=""),"",ABS(Y163-'4_BENCHMARK'!$C$10))</f>
        <v>0.5</v>
      </c>
      <c r="AP163" s="10">
        <f>IF(OR(Z163="",'4_BENCHMARK'!$C$11=""),"",ABS(Z163-'4_BENCHMARK'!$C$11))</f>
        <v>0.25</v>
      </c>
      <c r="AQ163" s="13">
        <f t="shared" si="87"/>
        <v>0.46875</v>
      </c>
      <c r="AR163" s="10"/>
      <c r="AS163" s="10" t="s">
        <v>145</v>
      </c>
      <c r="AT163" s="13">
        <f t="shared" si="88"/>
        <v>0.583333333333333</v>
      </c>
      <c r="AU163" s="1" t="str">
        <f t="shared" si="89"/>
        <v/>
      </c>
      <c r="AV163" s="1" t="str">
        <f t="shared" si="90"/>
        <v/>
      </c>
      <c r="AW163" s="1" t="str">
        <f t="shared" si="91"/>
        <v/>
      </c>
      <c r="AX163" s="1" t="str">
        <f t="shared" si="92"/>
        <v/>
      </c>
      <c r="AY163" s="1" t="str">
        <f t="shared" si="93"/>
        <v/>
      </c>
      <c r="AZ163" s="1" t="str">
        <f t="shared" si="94"/>
        <v/>
      </c>
      <c r="BA163" s="1" t="str">
        <f t="shared" si="95"/>
        <v/>
      </c>
      <c r="BB163" s="1" t="str">
        <f t="shared" si="96"/>
        <v/>
      </c>
      <c r="BC163" s="1">
        <f t="shared" si="97"/>
        <v>3</v>
      </c>
      <c r="BD163" s="1">
        <f t="shared" si="98"/>
        <v>3</v>
      </c>
      <c r="BE163" s="1">
        <f t="shared" si="99"/>
        <v>4</v>
      </c>
      <c r="BF163" s="1">
        <f t="shared" si="100"/>
        <v>3</v>
      </c>
      <c r="BG163" s="1">
        <f t="shared" si="101"/>
        <v>4</v>
      </c>
      <c r="BH163" s="1">
        <f t="shared" si="102"/>
        <v>5</v>
      </c>
      <c r="BI163" s="1">
        <f t="shared" si="103"/>
        <v>1</v>
      </c>
      <c r="BJ163" s="1">
        <f t="shared" si="104"/>
        <v>4</v>
      </c>
    </row>
    <row r="164" ht="14.25" customHeight="1" spans="1:62">
      <c r="A164" s="10">
        <v>160</v>
      </c>
      <c r="B164" s="10" t="s">
        <v>635</v>
      </c>
      <c r="C164" s="10">
        <v>2011</v>
      </c>
      <c r="D164" s="10">
        <f t="shared" si="70"/>
        <v>2010</v>
      </c>
      <c r="E164" s="10" t="s">
        <v>136</v>
      </c>
      <c r="F164" s="35" t="s">
        <v>636</v>
      </c>
      <c r="G164" s="10" t="s">
        <v>637</v>
      </c>
      <c r="H164" s="10" t="s">
        <v>140</v>
      </c>
      <c r="I164" s="10" t="s">
        <v>140</v>
      </c>
      <c r="J164" s="10"/>
      <c r="K164" s="10">
        <v>4</v>
      </c>
      <c r="L164" s="10">
        <v>3</v>
      </c>
      <c r="M164" s="10">
        <v>3</v>
      </c>
      <c r="N164" s="10">
        <v>5</v>
      </c>
      <c r="O164" s="10">
        <v>4</v>
      </c>
      <c r="P164" s="10">
        <v>5</v>
      </c>
      <c r="Q164" s="10">
        <v>3</v>
      </c>
      <c r="R164" s="10">
        <v>4</v>
      </c>
      <c r="S164" s="10">
        <f t="shared" si="71"/>
        <v>0.75</v>
      </c>
      <c r="T164" s="10">
        <f t="shared" si="72"/>
        <v>0.5</v>
      </c>
      <c r="U164" s="10">
        <f t="shared" si="73"/>
        <v>0.5</v>
      </c>
      <c r="V164" s="10">
        <f t="shared" si="74"/>
        <v>1</v>
      </c>
      <c r="W164" s="10">
        <f t="shared" si="75"/>
        <v>0.75</v>
      </c>
      <c r="X164" s="10">
        <f t="shared" si="76"/>
        <v>1</v>
      </c>
      <c r="Y164" s="10">
        <f t="shared" si="77"/>
        <v>0.5</v>
      </c>
      <c r="Z164" s="10">
        <f t="shared" si="78"/>
        <v>0.75</v>
      </c>
      <c r="AA164" s="10" t="str">
        <f t="shared" si="79"/>
        <v/>
      </c>
      <c r="AB164" s="10" t="str">
        <f t="shared" si="80"/>
        <v/>
      </c>
      <c r="AC164" s="10" t="str">
        <f t="shared" si="81"/>
        <v/>
      </c>
      <c r="AD164" s="10" t="str">
        <f t="shared" si="82"/>
        <v/>
      </c>
      <c r="AE164" s="10" t="str">
        <f t="shared" si="83"/>
        <v/>
      </c>
      <c r="AF164" s="10" t="str">
        <f t="shared" si="84"/>
        <v/>
      </c>
      <c r="AG164" s="10" t="str">
        <f t="shared" si="85"/>
        <v/>
      </c>
      <c r="AH164" s="10" t="str">
        <f t="shared" si="86"/>
        <v/>
      </c>
      <c r="AI164" s="10">
        <f>IF(OR(S164="",'4_BENCHMARK'!$C$4=""),"",ABS(S164-'4_BENCHMARK'!$C$4))</f>
        <v>0.25</v>
      </c>
      <c r="AJ164" s="10">
        <f>IF(OR(T164="",'4_BENCHMARK'!$C$5=""),"",ABS(T164-'4_BENCHMARK'!$C$5))</f>
        <v>0.5</v>
      </c>
      <c r="AK164" s="10">
        <f>IF(OR(U164="",'4_BENCHMARK'!$C$6=""),"",ABS(U164-'4_BENCHMARK'!$C$6))</f>
        <v>0.5</v>
      </c>
      <c r="AL164" s="10">
        <f>IF(OR(V164="",'4_BENCHMARK'!$C$7=""),"",ABS(V164-'4_BENCHMARK'!$C$7))</f>
        <v>0</v>
      </c>
      <c r="AM164" s="10">
        <f>IF(OR(W164="",'4_BENCHMARK'!$C$8=""),"",ABS(W164-'4_BENCHMARK'!$C$8))</f>
        <v>0.75</v>
      </c>
      <c r="AN164" s="10">
        <f>IF(OR(X164="",'4_BENCHMARK'!$C$9=""),"",ABS(X164-'4_BENCHMARK'!$C$9))</f>
        <v>1</v>
      </c>
      <c r="AO164" s="10">
        <f>IF(OR(Y164="",'4_BENCHMARK'!$C$10=""),"",ABS(Y164-'4_BENCHMARK'!$C$10))</f>
        <v>0</v>
      </c>
      <c r="AP164" s="10">
        <f>IF(OR(Z164="",'4_BENCHMARK'!$C$11=""),"",ABS(Z164-'4_BENCHMARK'!$C$11))</f>
        <v>0.25</v>
      </c>
      <c r="AQ164" s="13">
        <f t="shared" si="87"/>
        <v>0.59375</v>
      </c>
      <c r="AR164" s="10"/>
      <c r="AS164" s="10" t="s">
        <v>145</v>
      </c>
      <c r="AT164" s="13">
        <f t="shared" si="88"/>
        <v>0.75</v>
      </c>
      <c r="AU164" s="1" t="str">
        <f t="shared" si="89"/>
        <v/>
      </c>
      <c r="AV164" s="1" t="str">
        <f t="shared" si="90"/>
        <v/>
      </c>
      <c r="AW164" s="1" t="str">
        <f t="shared" si="91"/>
        <v/>
      </c>
      <c r="AX164" s="1" t="str">
        <f t="shared" si="92"/>
        <v/>
      </c>
      <c r="AY164" s="1" t="str">
        <f t="shared" si="93"/>
        <v/>
      </c>
      <c r="AZ164" s="1" t="str">
        <f t="shared" si="94"/>
        <v/>
      </c>
      <c r="BA164" s="1" t="str">
        <f t="shared" si="95"/>
        <v/>
      </c>
      <c r="BB164" s="1" t="str">
        <f t="shared" si="96"/>
        <v/>
      </c>
      <c r="BC164" s="1">
        <f t="shared" si="97"/>
        <v>4</v>
      </c>
      <c r="BD164" s="1">
        <f t="shared" si="98"/>
        <v>3</v>
      </c>
      <c r="BE164" s="1">
        <f t="shared" si="99"/>
        <v>3</v>
      </c>
      <c r="BF164" s="1">
        <f t="shared" si="100"/>
        <v>5</v>
      </c>
      <c r="BG164" s="1">
        <f t="shared" si="101"/>
        <v>4</v>
      </c>
      <c r="BH164" s="1">
        <f t="shared" si="102"/>
        <v>5</v>
      </c>
      <c r="BI164" s="1">
        <f t="shared" si="103"/>
        <v>3</v>
      </c>
      <c r="BJ164" s="1">
        <f t="shared" si="104"/>
        <v>4</v>
      </c>
    </row>
    <row r="165" ht="14.25" customHeight="1" spans="1:62">
      <c r="A165" s="10">
        <v>161</v>
      </c>
      <c r="B165" s="10" t="s">
        <v>638</v>
      </c>
      <c r="C165" s="10">
        <v>2018</v>
      </c>
      <c r="D165" s="10">
        <f t="shared" si="70"/>
        <v>2010</v>
      </c>
      <c r="E165" s="10" t="s">
        <v>136</v>
      </c>
      <c r="F165" s="35" t="s">
        <v>639</v>
      </c>
      <c r="G165" s="10" t="s">
        <v>640</v>
      </c>
      <c r="H165" s="10" t="s">
        <v>140</v>
      </c>
      <c r="I165" s="10" t="s">
        <v>140</v>
      </c>
      <c r="J165" s="10"/>
      <c r="K165" s="10">
        <v>4</v>
      </c>
      <c r="L165" s="10">
        <v>4</v>
      </c>
      <c r="M165" s="10">
        <v>4</v>
      </c>
      <c r="N165" s="10">
        <v>4</v>
      </c>
      <c r="O165" s="10">
        <v>1</v>
      </c>
      <c r="P165" s="10">
        <v>1</v>
      </c>
      <c r="Q165" s="10">
        <v>2</v>
      </c>
      <c r="R165" s="10">
        <v>4</v>
      </c>
      <c r="S165" s="10">
        <f t="shared" si="71"/>
        <v>0.75</v>
      </c>
      <c r="T165" s="10">
        <f t="shared" si="72"/>
        <v>0.75</v>
      </c>
      <c r="U165" s="10">
        <f t="shared" si="73"/>
        <v>0.75</v>
      </c>
      <c r="V165" s="10">
        <f t="shared" si="74"/>
        <v>0.75</v>
      </c>
      <c r="W165" s="10">
        <f t="shared" si="75"/>
        <v>0</v>
      </c>
      <c r="X165" s="10">
        <f t="shared" si="76"/>
        <v>0</v>
      </c>
      <c r="Y165" s="10">
        <f t="shared" si="77"/>
        <v>0.25</v>
      </c>
      <c r="Z165" s="10">
        <f t="shared" si="78"/>
        <v>0.75</v>
      </c>
      <c r="AA165" s="10" t="str">
        <f t="shared" si="79"/>
        <v/>
      </c>
      <c r="AB165" s="10" t="str">
        <f t="shared" si="80"/>
        <v/>
      </c>
      <c r="AC165" s="10" t="str">
        <f t="shared" si="81"/>
        <v/>
      </c>
      <c r="AD165" s="10" t="str">
        <f t="shared" si="82"/>
        <v/>
      </c>
      <c r="AE165" s="10" t="str">
        <f t="shared" si="83"/>
        <v/>
      </c>
      <c r="AF165" s="10" t="str">
        <f t="shared" si="84"/>
        <v/>
      </c>
      <c r="AG165" s="10" t="str">
        <f t="shared" si="85"/>
        <v/>
      </c>
      <c r="AH165" s="10" t="str">
        <f t="shared" si="86"/>
        <v/>
      </c>
      <c r="AI165" s="10">
        <f>IF(OR(S165="",'4_BENCHMARK'!$C$4=""),"",ABS(S165-'4_BENCHMARK'!$C$4))</f>
        <v>0.25</v>
      </c>
      <c r="AJ165" s="10">
        <f>IF(OR(T165="",'4_BENCHMARK'!$C$5=""),"",ABS(T165-'4_BENCHMARK'!$C$5))</f>
        <v>0.25</v>
      </c>
      <c r="AK165" s="10">
        <f>IF(OR(U165="",'4_BENCHMARK'!$C$6=""),"",ABS(U165-'4_BENCHMARK'!$C$6))</f>
        <v>0.25</v>
      </c>
      <c r="AL165" s="10">
        <f>IF(OR(V165="",'4_BENCHMARK'!$C$7=""),"",ABS(V165-'4_BENCHMARK'!$C$7))</f>
        <v>0.25</v>
      </c>
      <c r="AM165" s="10">
        <f>IF(OR(W165="",'4_BENCHMARK'!$C$8=""),"",ABS(W165-'4_BENCHMARK'!$C$8))</f>
        <v>0</v>
      </c>
      <c r="AN165" s="10">
        <f>IF(OR(X165="",'4_BENCHMARK'!$C$9=""),"",ABS(X165-'4_BENCHMARK'!$C$9))</f>
        <v>0</v>
      </c>
      <c r="AO165" s="10">
        <f>IF(OR(Y165="",'4_BENCHMARK'!$C$10=""),"",ABS(Y165-'4_BENCHMARK'!$C$10))</f>
        <v>0.25</v>
      </c>
      <c r="AP165" s="10">
        <f>IF(OR(Z165="",'4_BENCHMARK'!$C$11=""),"",ABS(Z165-'4_BENCHMARK'!$C$11))</f>
        <v>0.25</v>
      </c>
      <c r="AQ165" s="13">
        <f t="shared" si="87"/>
        <v>0.8125</v>
      </c>
      <c r="AR165" s="10"/>
      <c r="AS165" s="10" t="s">
        <v>145</v>
      </c>
      <c r="AT165" s="13">
        <f t="shared" si="88"/>
        <v>0.75</v>
      </c>
      <c r="AU165" s="1" t="str">
        <f t="shared" si="89"/>
        <v/>
      </c>
      <c r="AV165" s="1" t="str">
        <f t="shared" si="90"/>
        <v/>
      </c>
      <c r="AW165" s="1" t="str">
        <f t="shared" si="91"/>
        <v/>
      </c>
      <c r="AX165" s="1" t="str">
        <f t="shared" si="92"/>
        <v/>
      </c>
      <c r="AY165" s="1" t="str">
        <f t="shared" si="93"/>
        <v/>
      </c>
      <c r="AZ165" s="1" t="str">
        <f t="shared" si="94"/>
        <v/>
      </c>
      <c r="BA165" s="1" t="str">
        <f t="shared" si="95"/>
        <v/>
      </c>
      <c r="BB165" s="1" t="str">
        <f t="shared" si="96"/>
        <v/>
      </c>
      <c r="BC165" s="1">
        <f t="shared" si="97"/>
        <v>4</v>
      </c>
      <c r="BD165" s="1">
        <f t="shared" si="98"/>
        <v>4</v>
      </c>
      <c r="BE165" s="1">
        <f t="shared" si="99"/>
        <v>4</v>
      </c>
      <c r="BF165" s="1">
        <f t="shared" si="100"/>
        <v>4</v>
      </c>
      <c r="BG165" s="1">
        <f t="shared" si="101"/>
        <v>1</v>
      </c>
      <c r="BH165" s="1">
        <f t="shared" si="102"/>
        <v>1</v>
      </c>
      <c r="BI165" s="1">
        <f t="shared" si="103"/>
        <v>2</v>
      </c>
      <c r="BJ165" s="1">
        <f t="shared" si="104"/>
        <v>4</v>
      </c>
    </row>
    <row r="166" ht="14.25" customHeight="1" spans="1:62">
      <c r="A166" s="10">
        <v>162</v>
      </c>
      <c r="B166" s="10" t="s">
        <v>641</v>
      </c>
      <c r="C166" s="10">
        <v>2014</v>
      </c>
      <c r="D166" s="10">
        <f t="shared" si="70"/>
        <v>2010</v>
      </c>
      <c r="E166" s="10" t="s">
        <v>136</v>
      </c>
      <c r="F166" s="35" t="s">
        <v>642</v>
      </c>
      <c r="G166" s="10" t="s">
        <v>643</v>
      </c>
      <c r="H166" s="10" t="s">
        <v>139</v>
      </c>
      <c r="I166" s="10" t="s">
        <v>140</v>
      </c>
      <c r="J166" s="10"/>
      <c r="K166" s="10">
        <v>3</v>
      </c>
      <c r="L166" s="10">
        <v>3</v>
      </c>
      <c r="M166" s="10">
        <v>3</v>
      </c>
      <c r="N166" s="10">
        <v>4</v>
      </c>
      <c r="O166" s="10">
        <v>1</v>
      </c>
      <c r="P166" s="10">
        <v>1</v>
      </c>
      <c r="Q166" s="10">
        <v>1</v>
      </c>
      <c r="R166" s="10">
        <v>4</v>
      </c>
      <c r="S166" s="10">
        <f t="shared" si="71"/>
        <v>0.5</v>
      </c>
      <c r="T166" s="10">
        <f t="shared" si="72"/>
        <v>0.5</v>
      </c>
      <c r="U166" s="10">
        <f t="shared" si="73"/>
        <v>0.5</v>
      </c>
      <c r="V166" s="10">
        <f t="shared" si="74"/>
        <v>0.75</v>
      </c>
      <c r="W166" s="10">
        <f t="shared" si="75"/>
        <v>0</v>
      </c>
      <c r="X166" s="10">
        <f t="shared" si="76"/>
        <v>0</v>
      </c>
      <c r="Y166" s="10">
        <f t="shared" si="77"/>
        <v>0</v>
      </c>
      <c r="Z166" s="10">
        <f t="shared" si="78"/>
        <v>0.75</v>
      </c>
      <c r="AA166" s="10" t="str">
        <f t="shared" si="79"/>
        <v/>
      </c>
      <c r="AB166" s="10" t="str">
        <f t="shared" si="80"/>
        <v/>
      </c>
      <c r="AC166" s="10" t="str">
        <f t="shared" si="81"/>
        <v/>
      </c>
      <c r="AD166" s="10" t="str">
        <f t="shared" si="82"/>
        <v/>
      </c>
      <c r="AE166" s="10" t="str">
        <f t="shared" si="83"/>
        <v/>
      </c>
      <c r="AF166" s="10" t="str">
        <f t="shared" si="84"/>
        <v/>
      </c>
      <c r="AG166" s="10" t="str">
        <f t="shared" si="85"/>
        <v/>
      </c>
      <c r="AH166" s="10" t="str">
        <f t="shared" si="86"/>
        <v/>
      </c>
      <c r="AI166" s="10">
        <f>IF(OR(S166="",'4_BENCHMARK'!$C$4=""),"",ABS(S166-'4_BENCHMARK'!$C$4))</f>
        <v>0.5</v>
      </c>
      <c r="AJ166" s="10">
        <f>IF(OR(T166="",'4_BENCHMARK'!$C$5=""),"",ABS(T166-'4_BENCHMARK'!$C$5))</f>
        <v>0.5</v>
      </c>
      <c r="AK166" s="10">
        <f>IF(OR(U166="",'4_BENCHMARK'!$C$6=""),"",ABS(U166-'4_BENCHMARK'!$C$6))</f>
        <v>0.5</v>
      </c>
      <c r="AL166" s="10">
        <f>IF(OR(V166="",'4_BENCHMARK'!$C$7=""),"",ABS(V166-'4_BENCHMARK'!$C$7))</f>
        <v>0.25</v>
      </c>
      <c r="AM166" s="10">
        <f>IF(OR(W166="",'4_BENCHMARK'!$C$8=""),"",ABS(W166-'4_BENCHMARK'!$C$8))</f>
        <v>0</v>
      </c>
      <c r="AN166" s="10">
        <f>IF(OR(X166="",'4_BENCHMARK'!$C$9=""),"",ABS(X166-'4_BENCHMARK'!$C$9))</f>
        <v>0</v>
      </c>
      <c r="AO166" s="10">
        <f>IF(OR(Y166="",'4_BENCHMARK'!$C$10=""),"",ABS(Y166-'4_BENCHMARK'!$C$10))</f>
        <v>0.5</v>
      </c>
      <c r="AP166" s="10">
        <f>IF(OR(Z166="",'4_BENCHMARK'!$C$11=""),"",ABS(Z166-'4_BENCHMARK'!$C$11))</f>
        <v>0.25</v>
      </c>
      <c r="AQ166" s="13">
        <f t="shared" si="87"/>
        <v>0.6875</v>
      </c>
      <c r="AR166" s="10"/>
      <c r="AS166" s="10" t="s">
        <v>145</v>
      </c>
      <c r="AT166" s="13">
        <f t="shared" si="88"/>
        <v>0.583333333333333</v>
      </c>
      <c r="AU166" s="1" t="str">
        <f t="shared" si="89"/>
        <v/>
      </c>
      <c r="AV166" s="1" t="str">
        <f t="shared" si="90"/>
        <v/>
      </c>
      <c r="AW166" s="1" t="str">
        <f t="shared" si="91"/>
        <v/>
      </c>
      <c r="AX166" s="1" t="str">
        <f t="shared" si="92"/>
        <v/>
      </c>
      <c r="AY166" s="1" t="str">
        <f t="shared" si="93"/>
        <v/>
      </c>
      <c r="AZ166" s="1" t="str">
        <f t="shared" si="94"/>
        <v/>
      </c>
      <c r="BA166" s="1" t="str">
        <f t="shared" si="95"/>
        <v/>
      </c>
      <c r="BB166" s="1" t="str">
        <f t="shared" si="96"/>
        <v/>
      </c>
      <c r="BC166" s="1">
        <f t="shared" si="97"/>
        <v>3</v>
      </c>
      <c r="BD166" s="1">
        <f t="shared" si="98"/>
        <v>3</v>
      </c>
      <c r="BE166" s="1">
        <f t="shared" si="99"/>
        <v>3</v>
      </c>
      <c r="BF166" s="1">
        <f t="shared" si="100"/>
        <v>4</v>
      </c>
      <c r="BG166" s="1">
        <f t="shared" si="101"/>
        <v>1</v>
      </c>
      <c r="BH166" s="1">
        <f t="shared" si="102"/>
        <v>1</v>
      </c>
      <c r="BI166" s="1">
        <f t="shared" si="103"/>
        <v>1</v>
      </c>
      <c r="BJ166" s="1">
        <f t="shared" si="104"/>
        <v>4</v>
      </c>
    </row>
    <row r="167" ht="14.25" customHeight="1" spans="1:62">
      <c r="A167" s="10">
        <v>163</v>
      </c>
      <c r="B167" s="10" t="s">
        <v>644</v>
      </c>
      <c r="C167" s="10">
        <v>1928</v>
      </c>
      <c r="D167" s="10">
        <f t="shared" si="70"/>
        <v>1920</v>
      </c>
      <c r="E167" s="10" t="s">
        <v>136</v>
      </c>
      <c r="F167" s="35" t="s">
        <v>645</v>
      </c>
      <c r="G167" s="10" t="s">
        <v>646</v>
      </c>
      <c r="H167" s="10" t="s">
        <v>140</v>
      </c>
      <c r="I167" s="10" t="s">
        <v>140</v>
      </c>
      <c r="J167" s="10"/>
      <c r="K167" s="10">
        <v>5</v>
      </c>
      <c r="L167" s="10">
        <v>5</v>
      </c>
      <c r="M167" s="10">
        <v>5</v>
      </c>
      <c r="N167" s="10">
        <v>5</v>
      </c>
      <c r="O167" s="10">
        <v>5</v>
      </c>
      <c r="P167" s="10">
        <v>5</v>
      </c>
      <c r="Q167" s="10">
        <v>3</v>
      </c>
      <c r="R167" s="10">
        <v>5</v>
      </c>
      <c r="S167" s="10">
        <f t="shared" si="71"/>
        <v>1</v>
      </c>
      <c r="T167" s="10">
        <f t="shared" si="72"/>
        <v>1</v>
      </c>
      <c r="U167" s="10">
        <f t="shared" si="73"/>
        <v>1</v>
      </c>
      <c r="V167" s="10">
        <f t="shared" si="74"/>
        <v>1</v>
      </c>
      <c r="W167" s="10">
        <f t="shared" si="75"/>
        <v>1</v>
      </c>
      <c r="X167" s="10">
        <f t="shared" si="76"/>
        <v>1</v>
      </c>
      <c r="Y167" s="10">
        <f t="shared" si="77"/>
        <v>0.5</v>
      </c>
      <c r="Z167" s="10">
        <f t="shared" si="78"/>
        <v>1</v>
      </c>
      <c r="AA167" s="10">
        <f t="shared" si="79"/>
        <v>1</v>
      </c>
      <c r="AB167" s="10">
        <f t="shared" si="80"/>
        <v>1</v>
      </c>
      <c r="AC167" s="10">
        <f t="shared" si="81"/>
        <v>1</v>
      </c>
      <c r="AD167" s="10">
        <f t="shared" si="82"/>
        <v>1</v>
      </c>
      <c r="AE167" s="10">
        <f t="shared" si="83"/>
        <v>1</v>
      </c>
      <c r="AF167" s="10">
        <f t="shared" si="84"/>
        <v>1</v>
      </c>
      <c r="AG167" s="10">
        <f t="shared" si="85"/>
        <v>0.5</v>
      </c>
      <c r="AH167" s="10">
        <f t="shared" si="86"/>
        <v>1</v>
      </c>
      <c r="AI167" s="10">
        <f>IF(OR(S167="",'4_BENCHMARK'!$C$4=""),"",ABS(S167-'4_BENCHMARK'!$C$4))</f>
        <v>0</v>
      </c>
      <c r="AJ167" s="10">
        <f>IF(OR(T167="",'4_BENCHMARK'!$C$5=""),"",ABS(T167-'4_BENCHMARK'!$C$5))</f>
        <v>0</v>
      </c>
      <c r="AK167" s="10">
        <f>IF(OR(U167="",'4_BENCHMARK'!$C$6=""),"",ABS(U167-'4_BENCHMARK'!$C$6))</f>
        <v>0</v>
      </c>
      <c r="AL167" s="10">
        <f>IF(OR(V167="",'4_BENCHMARK'!$C$7=""),"",ABS(V167-'4_BENCHMARK'!$C$7))</f>
        <v>0</v>
      </c>
      <c r="AM167" s="10">
        <f>IF(OR(W167="",'4_BENCHMARK'!$C$8=""),"",ABS(W167-'4_BENCHMARK'!$C$8))</f>
        <v>1</v>
      </c>
      <c r="AN167" s="10">
        <f>IF(OR(X167="",'4_BENCHMARK'!$C$9=""),"",ABS(X167-'4_BENCHMARK'!$C$9))</f>
        <v>1</v>
      </c>
      <c r="AO167" s="10">
        <f>IF(OR(Y167="",'4_BENCHMARK'!$C$10=""),"",ABS(Y167-'4_BENCHMARK'!$C$10))</f>
        <v>0</v>
      </c>
      <c r="AP167" s="10">
        <f>IF(OR(Z167="",'4_BENCHMARK'!$C$11=""),"",ABS(Z167-'4_BENCHMARK'!$C$11))</f>
        <v>0</v>
      </c>
      <c r="AQ167" s="13">
        <f t="shared" si="87"/>
        <v>0.75</v>
      </c>
      <c r="AR167" s="10"/>
      <c r="AS167" s="10" t="s">
        <v>141</v>
      </c>
      <c r="AT167" s="13">
        <f t="shared" si="88"/>
        <v>1</v>
      </c>
      <c r="AU167" s="1">
        <f t="shared" si="89"/>
        <v>5</v>
      </c>
      <c r="AV167" s="1">
        <f t="shared" si="90"/>
        <v>5</v>
      </c>
      <c r="AW167" s="1">
        <f t="shared" si="91"/>
        <v>5</v>
      </c>
      <c r="AX167" s="1">
        <f t="shared" si="92"/>
        <v>5</v>
      </c>
      <c r="AY167" s="1">
        <f t="shared" si="93"/>
        <v>5</v>
      </c>
      <c r="AZ167" s="1">
        <f t="shared" si="94"/>
        <v>5</v>
      </c>
      <c r="BA167" s="1">
        <f t="shared" si="95"/>
        <v>3</v>
      </c>
      <c r="BB167" s="1">
        <f t="shared" si="96"/>
        <v>5</v>
      </c>
      <c r="BC167" s="1" t="str">
        <f t="shared" si="97"/>
        <v/>
      </c>
      <c r="BD167" s="1" t="str">
        <f t="shared" si="98"/>
        <v/>
      </c>
      <c r="BE167" s="1" t="str">
        <f t="shared" si="99"/>
        <v/>
      </c>
      <c r="BF167" s="1" t="str">
        <f t="shared" si="100"/>
        <v/>
      </c>
      <c r="BG167" s="1" t="str">
        <f t="shared" si="101"/>
        <v/>
      </c>
      <c r="BH167" s="1" t="str">
        <f t="shared" si="102"/>
        <v/>
      </c>
      <c r="BI167" s="1" t="str">
        <f t="shared" si="103"/>
        <v/>
      </c>
      <c r="BJ167" s="1" t="str">
        <f t="shared" si="104"/>
        <v/>
      </c>
    </row>
    <row r="168" ht="14.25" customHeight="1" spans="1:62">
      <c r="A168" s="10">
        <v>164</v>
      </c>
      <c r="B168" s="10" t="s">
        <v>647</v>
      </c>
      <c r="C168" s="10">
        <v>1913</v>
      </c>
      <c r="D168" s="10">
        <f t="shared" si="70"/>
        <v>1910</v>
      </c>
      <c r="E168" s="10" t="s">
        <v>136</v>
      </c>
      <c r="F168" s="35" t="s">
        <v>648</v>
      </c>
      <c r="G168" s="10" t="s">
        <v>649</v>
      </c>
      <c r="H168" s="10" t="s">
        <v>139</v>
      </c>
      <c r="I168" s="10" t="s">
        <v>140</v>
      </c>
      <c r="J168" s="10"/>
      <c r="K168" s="10">
        <v>5</v>
      </c>
      <c r="L168" s="10">
        <v>5</v>
      </c>
      <c r="M168" s="10">
        <v>5</v>
      </c>
      <c r="N168" s="10">
        <v>5</v>
      </c>
      <c r="O168" s="10">
        <v>1</v>
      </c>
      <c r="P168" s="10">
        <v>1</v>
      </c>
      <c r="Q168" s="10">
        <v>2</v>
      </c>
      <c r="R168" s="10">
        <v>5</v>
      </c>
      <c r="S168" s="10">
        <f t="shared" si="71"/>
        <v>1</v>
      </c>
      <c r="T168" s="10">
        <f t="shared" si="72"/>
        <v>1</v>
      </c>
      <c r="U168" s="10">
        <f t="shared" si="73"/>
        <v>1</v>
      </c>
      <c r="V168" s="10">
        <f t="shared" si="74"/>
        <v>1</v>
      </c>
      <c r="W168" s="10">
        <f t="shared" si="75"/>
        <v>0</v>
      </c>
      <c r="X168" s="10">
        <f t="shared" si="76"/>
        <v>0</v>
      </c>
      <c r="Y168" s="10">
        <f t="shared" si="77"/>
        <v>0.25</v>
      </c>
      <c r="Z168" s="10">
        <f t="shared" si="78"/>
        <v>1</v>
      </c>
      <c r="AA168" s="10">
        <f t="shared" si="79"/>
        <v>1</v>
      </c>
      <c r="AB168" s="10">
        <f t="shared" si="80"/>
        <v>1</v>
      </c>
      <c r="AC168" s="10">
        <f t="shared" si="81"/>
        <v>1</v>
      </c>
      <c r="AD168" s="10">
        <f t="shared" si="82"/>
        <v>1</v>
      </c>
      <c r="AE168" s="10">
        <f t="shared" si="83"/>
        <v>0</v>
      </c>
      <c r="AF168" s="10">
        <f t="shared" si="84"/>
        <v>0</v>
      </c>
      <c r="AG168" s="10">
        <f t="shared" si="85"/>
        <v>0.25</v>
      </c>
      <c r="AH168" s="10">
        <f t="shared" si="86"/>
        <v>1</v>
      </c>
      <c r="AI168" s="10">
        <f>IF(OR(S168="",'4_BENCHMARK'!$C$4=""),"",ABS(S168-'4_BENCHMARK'!$C$4))</f>
        <v>0</v>
      </c>
      <c r="AJ168" s="10">
        <f>IF(OR(T168="",'4_BENCHMARK'!$C$5=""),"",ABS(T168-'4_BENCHMARK'!$C$5))</f>
        <v>0</v>
      </c>
      <c r="AK168" s="10">
        <f>IF(OR(U168="",'4_BENCHMARK'!$C$6=""),"",ABS(U168-'4_BENCHMARK'!$C$6))</f>
        <v>0</v>
      </c>
      <c r="AL168" s="10">
        <f>IF(OR(V168="",'4_BENCHMARK'!$C$7=""),"",ABS(V168-'4_BENCHMARK'!$C$7))</f>
        <v>0</v>
      </c>
      <c r="AM168" s="10">
        <f>IF(OR(W168="",'4_BENCHMARK'!$C$8=""),"",ABS(W168-'4_BENCHMARK'!$C$8))</f>
        <v>0</v>
      </c>
      <c r="AN168" s="10">
        <f>IF(OR(X168="",'4_BENCHMARK'!$C$9=""),"",ABS(X168-'4_BENCHMARK'!$C$9))</f>
        <v>0</v>
      </c>
      <c r="AO168" s="10">
        <f>IF(OR(Y168="",'4_BENCHMARK'!$C$10=""),"",ABS(Y168-'4_BENCHMARK'!$C$10))</f>
        <v>0.25</v>
      </c>
      <c r="AP168" s="10">
        <f>IF(OR(Z168="",'4_BENCHMARK'!$C$11=""),"",ABS(Z168-'4_BENCHMARK'!$C$11))</f>
        <v>0</v>
      </c>
      <c r="AQ168" s="13">
        <f t="shared" si="87"/>
        <v>0.96875</v>
      </c>
      <c r="AR168" s="10"/>
      <c r="AS168" s="10" t="s">
        <v>149</v>
      </c>
      <c r="AT168" s="13">
        <f t="shared" si="88"/>
        <v>0.958333333333333</v>
      </c>
      <c r="AU168" s="1">
        <f t="shared" si="89"/>
        <v>5</v>
      </c>
      <c r="AV168" s="1">
        <f t="shared" si="90"/>
        <v>5</v>
      </c>
      <c r="AW168" s="1">
        <f t="shared" si="91"/>
        <v>5</v>
      </c>
      <c r="AX168" s="1">
        <f t="shared" si="92"/>
        <v>5</v>
      </c>
      <c r="AY168" s="1">
        <f t="shared" si="93"/>
        <v>1</v>
      </c>
      <c r="AZ168" s="1">
        <f t="shared" si="94"/>
        <v>1</v>
      </c>
      <c r="BA168" s="1">
        <f t="shared" si="95"/>
        <v>2</v>
      </c>
      <c r="BB168" s="1">
        <f t="shared" si="96"/>
        <v>5</v>
      </c>
      <c r="BC168" s="1" t="str">
        <f t="shared" si="97"/>
        <v/>
      </c>
      <c r="BD168" s="1" t="str">
        <f t="shared" si="98"/>
        <v/>
      </c>
      <c r="BE168" s="1" t="str">
        <f t="shared" si="99"/>
        <v/>
      </c>
      <c r="BF168" s="1" t="str">
        <f t="shared" si="100"/>
        <v/>
      </c>
      <c r="BG168" s="1" t="str">
        <f t="shared" si="101"/>
        <v/>
      </c>
      <c r="BH168" s="1" t="str">
        <f t="shared" si="102"/>
        <v/>
      </c>
      <c r="BI168" s="1" t="str">
        <f t="shared" si="103"/>
        <v/>
      </c>
      <c r="BJ168" s="1" t="str">
        <f t="shared" si="104"/>
        <v/>
      </c>
    </row>
    <row r="169" ht="14.25" customHeight="1" spans="1:62">
      <c r="A169" s="10">
        <v>165</v>
      </c>
      <c r="B169" s="10" t="s">
        <v>650</v>
      </c>
      <c r="C169" s="10">
        <v>1927</v>
      </c>
      <c r="D169" s="10">
        <f t="shared" si="70"/>
        <v>1920</v>
      </c>
      <c r="E169" s="10" t="s">
        <v>136</v>
      </c>
      <c r="F169" s="35" t="s">
        <v>651</v>
      </c>
      <c r="G169" s="10" t="s">
        <v>652</v>
      </c>
      <c r="H169" s="10" t="s">
        <v>139</v>
      </c>
      <c r="I169" s="10" t="s">
        <v>140</v>
      </c>
      <c r="J169" s="10"/>
      <c r="K169" s="10">
        <v>5</v>
      </c>
      <c r="L169" s="10">
        <v>5</v>
      </c>
      <c r="M169" s="10">
        <v>5</v>
      </c>
      <c r="N169" s="10">
        <v>5</v>
      </c>
      <c r="O169" s="10">
        <v>1</v>
      </c>
      <c r="P169" s="10">
        <v>1</v>
      </c>
      <c r="Q169" s="10">
        <v>2</v>
      </c>
      <c r="R169" s="10">
        <v>5</v>
      </c>
      <c r="S169" s="10">
        <f t="shared" si="71"/>
        <v>1</v>
      </c>
      <c r="T169" s="10">
        <f t="shared" si="72"/>
        <v>1</v>
      </c>
      <c r="U169" s="10">
        <f t="shared" si="73"/>
        <v>1</v>
      </c>
      <c r="V169" s="10">
        <f t="shared" si="74"/>
        <v>1</v>
      </c>
      <c r="W169" s="10">
        <f t="shared" si="75"/>
        <v>0</v>
      </c>
      <c r="X169" s="10">
        <f t="shared" si="76"/>
        <v>0</v>
      </c>
      <c r="Y169" s="10">
        <f t="shared" si="77"/>
        <v>0.25</v>
      </c>
      <c r="Z169" s="10">
        <f t="shared" si="78"/>
        <v>1</v>
      </c>
      <c r="AA169" s="10">
        <f t="shared" si="79"/>
        <v>1</v>
      </c>
      <c r="AB169" s="10">
        <f t="shared" si="80"/>
        <v>1</v>
      </c>
      <c r="AC169" s="10">
        <f t="shared" si="81"/>
        <v>1</v>
      </c>
      <c r="AD169" s="10">
        <f t="shared" si="82"/>
        <v>1</v>
      </c>
      <c r="AE169" s="10">
        <f t="shared" si="83"/>
        <v>0</v>
      </c>
      <c r="AF169" s="10">
        <f t="shared" si="84"/>
        <v>0</v>
      </c>
      <c r="AG169" s="10">
        <f t="shared" si="85"/>
        <v>0.25</v>
      </c>
      <c r="AH169" s="10">
        <f t="shared" si="86"/>
        <v>1</v>
      </c>
      <c r="AI169" s="10">
        <f>IF(OR(S169="",'4_BENCHMARK'!$C$4=""),"",ABS(S169-'4_BENCHMARK'!$C$4))</f>
        <v>0</v>
      </c>
      <c r="AJ169" s="10">
        <f>IF(OR(T169="",'4_BENCHMARK'!$C$5=""),"",ABS(T169-'4_BENCHMARK'!$C$5))</f>
        <v>0</v>
      </c>
      <c r="AK169" s="10">
        <f>IF(OR(U169="",'4_BENCHMARK'!$C$6=""),"",ABS(U169-'4_BENCHMARK'!$C$6))</f>
        <v>0</v>
      </c>
      <c r="AL169" s="10">
        <f>IF(OR(V169="",'4_BENCHMARK'!$C$7=""),"",ABS(V169-'4_BENCHMARK'!$C$7))</f>
        <v>0</v>
      </c>
      <c r="AM169" s="10">
        <f>IF(OR(W169="",'4_BENCHMARK'!$C$8=""),"",ABS(W169-'4_BENCHMARK'!$C$8))</f>
        <v>0</v>
      </c>
      <c r="AN169" s="10">
        <f>IF(OR(X169="",'4_BENCHMARK'!$C$9=""),"",ABS(X169-'4_BENCHMARK'!$C$9))</f>
        <v>0</v>
      </c>
      <c r="AO169" s="10">
        <f>IF(OR(Y169="",'4_BENCHMARK'!$C$10=""),"",ABS(Y169-'4_BENCHMARK'!$C$10))</f>
        <v>0.25</v>
      </c>
      <c r="AP169" s="10">
        <f>IF(OR(Z169="",'4_BENCHMARK'!$C$11=""),"",ABS(Z169-'4_BENCHMARK'!$C$11))</f>
        <v>0</v>
      </c>
      <c r="AQ169" s="13">
        <f t="shared" si="87"/>
        <v>0.96875</v>
      </c>
      <c r="AR169" s="10"/>
      <c r="AS169" s="10" t="s">
        <v>141</v>
      </c>
      <c r="AT169" s="13">
        <f t="shared" si="88"/>
        <v>0.958333333333333</v>
      </c>
      <c r="AU169" s="1">
        <f t="shared" si="89"/>
        <v>5</v>
      </c>
      <c r="AV169" s="1">
        <f t="shared" si="90"/>
        <v>5</v>
      </c>
      <c r="AW169" s="1">
        <f t="shared" si="91"/>
        <v>5</v>
      </c>
      <c r="AX169" s="1">
        <f t="shared" si="92"/>
        <v>5</v>
      </c>
      <c r="AY169" s="1">
        <f t="shared" si="93"/>
        <v>1</v>
      </c>
      <c r="AZ169" s="1">
        <f t="shared" si="94"/>
        <v>1</v>
      </c>
      <c r="BA169" s="1">
        <f t="shared" si="95"/>
        <v>2</v>
      </c>
      <c r="BB169" s="1">
        <f t="shared" si="96"/>
        <v>5</v>
      </c>
      <c r="BC169" s="1" t="str">
        <f t="shared" si="97"/>
        <v/>
      </c>
      <c r="BD169" s="1" t="str">
        <f t="shared" si="98"/>
        <v/>
      </c>
      <c r="BE169" s="1" t="str">
        <f t="shared" si="99"/>
        <v/>
      </c>
      <c r="BF169" s="1" t="str">
        <f t="shared" si="100"/>
        <v/>
      </c>
      <c r="BG169" s="1" t="str">
        <f t="shared" si="101"/>
        <v/>
      </c>
      <c r="BH169" s="1" t="str">
        <f t="shared" si="102"/>
        <v/>
      </c>
      <c r="BI169" s="1" t="str">
        <f t="shared" si="103"/>
        <v/>
      </c>
      <c r="BJ169" s="1" t="str">
        <f t="shared" si="104"/>
        <v/>
      </c>
    </row>
    <row r="170" ht="14.25" customHeight="1" spans="1:62">
      <c r="A170" s="10">
        <v>166</v>
      </c>
      <c r="B170" s="10" t="s">
        <v>653</v>
      </c>
      <c r="C170" s="10">
        <v>1910</v>
      </c>
      <c r="D170" s="10">
        <f t="shared" si="70"/>
        <v>1910</v>
      </c>
      <c r="E170" s="10" t="s">
        <v>136</v>
      </c>
      <c r="F170" s="35" t="s">
        <v>654</v>
      </c>
      <c r="G170" s="10" t="s">
        <v>655</v>
      </c>
      <c r="H170" s="10" t="s">
        <v>139</v>
      </c>
      <c r="I170" s="10" t="s">
        <v>140</v>
      </c>
      <c r="J170" s="10"/>
      <c r="K170" s="10">
        <v>5</v>
      </c>
      <c r="L170" s="10">
        <v>5</v>
      </c>
      <c r="M170" s="10">
        <v>5</v>
      </c>
      <c r="N170" s="10">
        <v>5</v>
      </c>
      <c r="O170" s="10">
        <v>1</v>
      </c>
      <c r="P170" s="10">
        <v>1</v>
      </c>
      <c r="Q170" s="10">
        <v>3</v>
      </c>
      <c r="R170" s="10">
        <v>5</v>
      </c>
      <c r="S170" s="10">
        <f t="shared" si="71"/>
        <v>1</v>
      </c>
      <c r="T170" s="10">
        <f t="shared" si="72"/>
        <v>1</v>
      </c>
      <c r="U170" s="10">
        <f t="shared" si="73"/>
        <v>1</v>
      </c>
      <c r="V170" s="10">
        <f t="shared" si="74"/>
        <v>1</v>
      </c>
      <c r="W170" s="10">
        <f t="shared" si="75"/>
        <v>0</v>
      </c>
      <c r="X170" s="10">
        <f t="shared" si="76"/>
        <v>0</v>
      </c>
      <c r="Y170" s="10">
        <f t="shared" si="77"/>
        <v>0.5</v>
      </c>
      <c r="Z170" s="10">
        <f t="shared" si="78"/>
        <v>1</v>
      </c>
      <c r="AA170" s="10">
        <f t="shared" si="79"/>
        <v>1</v>
      </c>
      <c r="AB170" s="10">
        <f t="shared" si="80"/>
        <v>1</v>
      </c>
      <c r="AC170" s="10">
        <f t="shared" si="81"/>
        <v>1</v>
      </c>
      <c r="AD170" s="10">
        <f t="shared" si="82"/>
        <v>1</v>
      </c>
      <c r="AE170" s="10">
        <f t="shared" si="83"/>
        <v>0</v>
      </c>
      <c r="AF170" s="10">
        <f t="shared" si="84"/>
        <v>0</v>
      </c>
      <c r="AG170" s="10">
        <f t="shared" si="85"/>
        <v>0.5</v>
      </c>
      <c r="AH170" s="10">
        <f t="shared" si="86"/>
        <v>1</v>
      </c>
      <c r="AI170" s="10">
        <f>IF(OR(S170="",'4_BENCHMARK'!$C$4=""),"",ABS(S170-'4_BENCHMARK'!$C$4))</f>
        <v>0</v>
      </c>
      <c r="AJ170" s="10">
        <f>IF(OR(T170="",'4_BENCHMARK'!$C$5=""),"",ABS(T170-'4_BENCHMARK'!$C$5))</f>
        <v>0</v>
      </c>
      <c r="AK170" s="10">
        <f>IF(OR(U170="",'4_BENCHMARK'!$C$6=""),"",ABS(U170-'4_BENCHMARK'!$C$6))</f>
        <v>0</v>
      </c>
      <c r="AL170" s="10">
        <f>IF(OR(V170="",'4_BENCHMARK'!$C$7=""),"",ABS(V170-'4_BENCHMARK'!$C$7))</f>
        <v>0</v>
      </c>
      <c r="AM170" s="10">
        <f>IF(OR(W170="",'4_BENCHMARK'!$C$8=""),"",ABS(W170-'4_BENCHMARK'!$C$8))</f>
        <v>0</v>
      </c>
      <c r="AN170" s="10">
        <f>IF(OR(X170="",'4_BENCHMARK'!$C$9=""),"",ABS(X170-'4_BENCHMARK'!$C$9))</f>
        <v>0</v>
      </c>
      <c r="AO170" s="10">
        <f>IF(OR(Y170="",'4_BENCHMARK'!$C$10=""),"",ABS(Y170-'4_BENCHMARK'!$C$10))</f>
        <v>0</v>
      </c>
      <c r="AP170" s="10">
        <f>IF(OR(Z170="",'4_BENCHMARK'!$C$11=""),"",ABS(Z170-'4_BENCHMARK'!$C$11))</f>
        <v>0</v>
      </c>
      <c r="AQ170" s="13">
        <f t="shared" si="87"/>
        <v>1</v>
      </c>
      <c r="AR170" s="10"/>
      <c r="AS170" s="10" t="s">
        <v>141</v>
      </c>
      <c r="AT170" s="13">
        <f t="shared" si="88"/>
        <v>1</v>
      </c>
      <c r="AU170" s="1">
        <f t="shared" si="89"/>
        <v>5</v>
      </c>
      <c r="AV170" s="1">
        <f t="shared" si="90"/>
        <v>5</v>
      </c>
      <c r="AW170" s="1">
        <f t="shared" si="91"/>
        <v>5</v>
      </c>
      <c r="AX170" s="1">
        <f t="shared" si="92"/>
        <v>5</v>
      </c>
      <c r="AY170" s="1">
        <f t="shared" si="93"/>
        <v>1</v>
      </c>
      <c r="AZ170" s="1">
        <f t="shared" si="94"/>
        <v>1</v>
      </c>
      <c r="BA170" s="1">
        <f t="shared" si="95"/>
        <v>3</v>
      </c>
      <c r="BB170" s="1">
        <f t="shared" si="96"/>
        <v>5</v>
      </c>
      <c r="BC170" s="1" t="str">
        <f t="shared" si="97"/>
        <v/>
      </c>
      <c r="BD170" s="1" t="str">
        <f t="shared" si="98"/>
        <v/>
      </c>
      <c r="BE170" s="1" t="str">
        <f t="shared" si="99"/>
        <v/>
      </c>
      <c r="BF170" s="1" t="str">
        <f t="shared" si="100"/>
        <v/>
      </c>
      <c r="BG170" s="1" t="str">
        <f t="shared" si="101"/>
        <v/>
      </c>
      <c r="BH170" s="1" t="str">
        <f t="shared" si="102"/>
        <v/>
      </c>
      <c r="BI170" s="1" t="str">
        <f t="shared" si="103"/>
        <v/>
      </c>
      <c r="BJ170" s="1" t="str">
        <f t="shared" si="104"/>
        <v/>
      </c>
    </row>
    <row r="171" ht="14.25" customHeight="1" spans="1:62">
      <c r="A171" s="10">
        <v>167</v>
      </c>
      <c r="B171" s="10" t="s">
        <v>656</v>
      </c>
      <c r="C171" s="10">
        <v>1910</v>
      </c>
      <c r="D171" s="10">
        <f t="shared" si="70"/>
        <v>1910</v>
      </c>
      <c r="E171" s="10" t="s">
        <v>136</v>
      </c>
      <c r="F171" s="35" t="s">
        <v>657</v>
      </c>
      <c r="G171" s="10" t="s">
        <v>658</v>
      </c>
      <c r="H171" s="10" t="s">
        <v>139</v>
      </c>
      <c r="I171" s="10" t="s">
        <v>140</v>
      </c>
      <c r="J171" s="10"/>
      <c r="K171" s="10">
        <v>5</v>
      </c>
      <c r="L171" s="10">
        <v>5</v>
      </c>
      <c r="M171" s="10">
        <v>5</v>
      </c>
      <c r="N171" s="10">
        <v>5</v>
      </c>
      <c r="O171" s="10">
        <v>5</v>
      </c>
      <c r="P171" s="10">
        <v>5</v>
      </c>
      <c r="Q171" s="10">
        <v>3</v>
      </c>
      <c r="R171" s="10">
        <v>5</v>
      </c>
      <c r="S171" s="10">
        <f t="shared" si="71"/>
        <v>1</v>
      </c>
      <c r="T171" s="10">
        <f t="shared" si="72"/>
        <v>1</v>
      </c>
      <c r="U171" s="10">
        <f t="shared" si="73"/>
        <v>1</v>
      </c>
      <c r="V171" s="10">
        <f t="shared" si="74"/>
        <v>1</v>
      </c>
      <c r="W171" s="10">
        <f t="shared" si="75"/>
        <v>1</v>
      </c>
      <c r="X171" s="10">
        <f t="shared" si="76"/>
        <v>1</v>
      </c>
      <c r="Y171" s="10">
        <f t="shared" si="77"/>
        <v>0.5</v>
      </c>
      <c r="Z171" s="10">
        <f t="shared" si="78"/>
        <v>1</v>
      </c>
      <c r="AA171" s="10">
        <f t="shared" si="79"/>
        <v>1</v>
      </c>
      <c r="AB171" s="10">
        <f t="shared" si="80"/>
        <v>1</v>
      </c>
      <c r="AC171" s="10">
        <f t="shared" si="81"/>
        <v>1</v>
      </c>
      <c r="AD171" s="10">
        <f t="shared" si="82"/>
        <v>1</v>
      </c>
      <c r="AE171" s="10">
        <f t="shared" si="83"/>
        <v>1</v>
      </c>
      <c r="AF171" s="10">
        <f t="shared" si="84"/>
        <v>1</v>
      </c>
      <c r="AG171" s="10">
        <f t="shared" si="85"/>
        <v>0.5</v>
      </c>
      <c r="AH171" s="10">
        <f t="shared" si="86"/>
        <v>1</v>
      </c>
      <c r="AI171" s="10">
        <f>IF(OR(S171="",'4_BENCHMARK'!$C$4=""),"",ABS(S171-'4_BENCHMARK'!$C$4))</f>
        <v>0</v>
      </c>
      <c r="AJ171" s="10">
        <f>IF(OR(T171="",'4_BENCHMARK'!$C$5=""),"",ABS(T171-'4_BENCHMARK'!$C$5))</f>
        <v>0</v>
      </c>
      <c r="AK171" s="10">
        <f>IF(OR(U171="",'4_BENCHMARK'!$C$6=""),"",ABS(U171-'4_BENCHMARK'!$C$6))</f>
        <v>0</v>
      </c>
      <c r="AL171" s="10">
        <f>IF(OR(V171="",'4_BENCHMARK'!$C$7=""),"",ABS(V171-'4_BENCHMARK'!$C$7))</f>
        <v>0</v>
      </c>
      <c r="AM171" s="10">
        <f>IF(OR(W171="",'4_BENCHMARK'!$C$8=""),"",ABS(W171-'4_BENCHMARK'!$C$8))</f>
        <v>1</v>
      </c>
      <c r="AN171" s="10">
        <f>IF(OR(X171="",'4_BENCHMARK'!$C$9=""),"",ABS(X171-'4_BENCHMARK'!$C$9))</f>
        <v>1</v>
      </c>
      <c r="AO171" s="10">
        <f>IF(OR(Y171="",'4_BENCHMARK'!$C$10=""),"",ABS(Y171-'4_BENCHMARK'!$C$10))</f>
        <v>0</v>
      </c>
      <c r="AP171" s="10">
        <f>IF(OR(Z171="",'4_BENCHMARK'!$C$11=""),"",ABS(Z171-'4_BENCHMARK'!$C$11))</f>
        <v>0</v>
      </c>
      <c r="AQ171" s="13">
        <f t="shared" si="87"/>
        <v>0.75</v>
      </c>
      <c r="AR171" s="10"/>
      <c r="AS171" s="10" t="s">
        <v>141</v>
      </c>
      <c r="AT171" s="13">
        <f t="shared" si="88"/>
        <v>1</v>
      </c>
      <c r="AU171" s="1">
        <f t="shared" si="89"/>
        <v>5</v>
      </c>
      <c r="AV171" s="1">
        <f t="shared" si="90"/>
        <v>5</v>
      </c>
      <c r="AW171" s="1">
        <f t="shared" si="91"/>
        <v>5</v>
      </c>
      <c r="AX171" s="1">
        <f t="shared" si="92"/>
        <v>5</v>
      </c>
      <c r="AY171" s="1">
        <f t="shared" si="93"/>
        <v>5</v>
      </c>
      <c r="AZ171" s="1">
        <f t="shared" si="94"/>
        <v>5</v>
      </c>
      <c r="BA171" s="1">
        <f t="shared" si="95"/>
        <v>3</v>
      </c>
      <c r="BB171" s="1">
        <f t="shared" si="96"/>
        <v>5</v>
      </c>
      <c r="BC171" s="1" t="str">
        <f t="shared" si="97"/>
        <v/>
      </c>
      <c r="BD171" s="1" t="str">
        <f t="shared" si="98"/>
        <v/>
      </c>
      <c r="BE171" s="1" t="str">
        <f t="shared" si="99"/>
        <v/>
      </c>
      <c r="BF171" s="1" t="str">
        <f t="shared" si="100"/>
        <v/>
      </c>
      <c r="BG171" s="1" t="str">
        <f t="shared" si="101"/>
        <v/>
      </c>
      <c r="BH171" s="1" t="str">
        <f t="shared" si="102"/>
        <v/>
      </c>
      <c r="BI171" s="1" t="str">
        <f t="shared" si="103"/>
        <v/>
      </c>
      <c r="BJ171" s="1" t="str">
        <f t="shared" si="104"/>
        <v/>
      </c>
    </row>
    <row r="172" ht="14.25" customHeight="1" spans="1:62">
      <c r="A172" s="10">
        <v>168</v>
      </c>
      <c r="B172" s="10" t="s">
        <v>659</v>
      </c>
      <c r="C172" s="10">
        <v>2003</v>
      </c>
      <c r="D172" s="10">
        <f t="shared" si="70"/>
        <v>2000</v>
      </c>
      <c r="E172" s="10" t="s">
        <v>136</v>
      </c>
      <c r="F172" s="35" t="s">
        <v>660</v>
      </c>
      <c r="G172" s="10" t="s">
        <v>661</v>
      </c>
      <c r="H172" s="10" t="s">
        <v>140</v>
      </c>
      <c r="I172" s="10" t="s">
        <v>140</v>
      </c>
      <c r="J172" s="10"/>
      <c r="K172" s="10">
        <v>4</v>
      </c>
      <c r="L172" s="10">
        <v>4</v>
      </c>
      <c r="M172" s="10">
        <v>4</v>
      </c>
      <c r="N172" s="10">
        <v>3</v>
      </c>
      <c r="O172" s="10">
        <v>3</v>
      </c>
      <c r="P172" s="10">
        <v>5</v>
      </c>
      <c r="Q172" s="10">
        <v>2</v>
      </c>
      <c r="R172" s="10">
        <v>3</v>
      </c>
      <c r="S172" s="10">
        <f t="shared" si="71"/>
        <v>0.75</v>
      </c>
      <c r="T172" s="10">
        <f t="shared" si="72"/>
        <v>0.75</v>
      </c>
      <c r="U172" s="10">
        <f t="shared" si="73"/>
        <v>0.75</v>
      </c>
      <c r="V172" s="10">
        <f t="shared" si="74"/>
        <v>0.5</v>
      </c>
      <c r="W172" s="10">
        <f t="shared" si="75"/>
        <v>0.5</v>
      </c>
      <c r="X172" s="10">
        <f t="shared" si="76"/>
        <v>1</v>
      </c>
      <c r="Y172" s="10">
        <f t="shared" si="77"/>
        <v>0.25</v>
      </c>
      <c r="Z172" s="10">
        <f t="shared" si="78"/>
        <v>0.5</v>
      </c>
      <c r="AA172" s="10" t="str">
        <f t="shared" si="79"/>
        <v/>
      </c>
      <c r="AB172" s="10" t="str">
        <f t="shared" si="80"/>
        <v/>
      </c>
      <c r="AC172" s="10" t="str">
        <f t="shared" si="81"/>
        <v/>
      </c>
      <c r="AD172" s="10" t="str">
        <f t="shared" si="82"/>
        <v/>
      </c>
      <c r="AE172" s="10" t="str">
        <f t="shared" si="83"/>
        <v/>
      </c>
      <c r="AF172" s="10" t="str">
        <f t="shared" si="84"/>
        <v/>
      </c>
      <c r="AG172" s="10" t="str">
        <f t="shared" si="85"/>
        <v/>
      </c>
      <c r="AH172" s="10" t="str">
        <f t="shared" si="86"/>
        <v/>
      </c>
      <c r="AI172" s="10">
        <f>IF(OR(S172="",'4_BENCHMARK'!$C$4=""),"",ABS(S172-'4_BENCHMARK'!$C$4))</f>
        <v>0.25</v>
      </c>
      <c r="AJ172" s="10">
        <f>IF(OR(T172="",'4_BENCHMARK'!$C$5=""),"",ABS(T172-'4_BENCHMARK'!$C$5))</f>
        <v>0.25</v>
      </c>
      <c r="AK172" s="10">
        <f>IF(OR(U172="",'4_BENCHMARK'!$C$6=""),"",ABS(U172-'4_BENCHMARK'!$C$6))</f>
        <v>0.25</v>
      </c>
      <c r="AL172" s="10">
        <f>IF(OR(V172="",'4_BENCHMARK'!$C$7=""),"",ABS(V172-'4_BENCHMARK'!$C$7))</f>
        <v>0.5</v>
      </c>
      <c r="AM172" s="10">
        <f>IF(OR(W172="",'4_BENCHMARK'!$C$8=""),"",ABS(W172-'4_BENCHMARK'!$C$8))</f>
        <v>0.5</v>
      </c>
      <c r="AN172" s="10">
        <f>IF(OR(X172="",'4_BENCHMARK'!$C$9=""),"",ABS(X172-'4_BENCHMARK'!$C$9))</f>
        <v>1</v>
      </c>
      <c r="AO172" s="10">
        <f>IF(OR(Y172="",'4_BENCHMARK'!$C$10=""),"",ABS(Y172-'4_BENCHMARK'!$C$10))</f>
        <v>0.25</v>
      </c>
      <c r="AP172" s="10">
        <f>IF(OR(Z172="",'4_BENCHMARK'!$C$11=""),"",ABS(Z172-'4_BENCHMARK'!$C$11))</f>
        <v>0.5</v>
      </c>
      <c r="AQ172" s="13">
        <f t="shared" si="87"/>
        <v>0.5625</v>
      </c>
      <c r="AR172" s="10"/>
      <c r="AS172" s="10" t="s">
        <v>145</v>
      </c>
      <c r="AT172" s="13">
        <f t="shared" si="88"/>
        <v>0.666666666666667</v>
      </c>
      <c r="AU172" s="1" t="str">
        <f t="shared" si="89"/>
        <v/>
      </c>
      <c r="AV172" s="1" t="str">
        <f t="shared" si="90"/>
        <v/>
      </c>
      <c r="AW172" s="1" t="str">
        <f t="shared" si="91"/>
        <v/>
      </c>
      <c r="AX172" s="1" t="str">
        <f t="shared" si="92"/>
        <v/>
      </c>
      <c r="AY172" s="1" t="str">
        <f t="shared" si="93"/>
        <v/>
      </c>
      <c r="AZ172" s="1" t="str">
        <f t="shared" si="94"/>
        <v/>
      </c>
      <c r="BA172" s="1" t="str">
        <f t="shared" si="95"/>
        <v/>
      </c>
      <c r="BB172" s="1" t="str">
        <f t="shared" si="96"/>
        <v/>
      </c>
      <c r="BC172" s="1">
        <f t="shared" si="97"/>
        <v>4</v>
      </c>
      <c r="BD172" s="1">
        <f t="shared" si="98"/>
        <v>4</v>
      </c>
      <c r="BE172" s="1">
        <f t="shared" si="99"/>
        <v>4</v>
      </c>
      <c r="BF172" s="1">
        <f t="shared" si="100"/>
        <v>3</v>
      </c>
      <c r="BG172" s="1">
        <f t="shared" si="101"/>
        <v>3</v>
      </c>
      <c r="BH172" s="1">
        <f t="shared" si="102"/>
        <v>5</v>
      </c>
      <c r="BI172" s="1">
        <f t="shared" si="103"/>
        <v>2</v>
      </c>
      <c r="BJ172" s="1">
        <f t="shared" si="104"/>
        <v>3</v>
      </c>
    </row>
    <row r="173" ht="14.25" customHeight="1" spans="1:62">
      <c r="A173" s="10">
        <v>169</v>
      </c>
      <c r="B173" s="10" t="s">
        <v>662</v>
      </c>
      <c r="C173" s="10">
        <v>2004</v>
      </c>
      <c r="D173" s="10">
        <f t="shared" si="70"/>
        <v>2000</v>
      </c>
      <c r="E173" s="10" t="s">
        <v>136</v>
      </c>
      <c r="F173" s="35" t="s">
        <v>663</v>
      </c>
      <c r="G173" s="10" t="s">
        <v>664</v>
      </c>
      <c r="H173" s="10" t="s">
        <v>140</v>
      </c>
      <c r="I173" s="10" t="s">
        <v>140</v>
      </c>
      <c r="J173" s="10"/>
      <c r="K173" s="10">
        <v>3</v>
      </c>
      <c r="L173" s="10">
        <v>4</v>
      </c>
      <c r="M173" s="10">
        <v>4</v>
      </c>
      <c r="N173" s="10">
        <v>4</v>
      </c>
      <c r="O173" s="10">
        <v>5</v>
      </c>
      <c r="P173" s="10">
        <v>4</v>
      </c>
      <c r="Q173" s="10">
        <v>3</v>
      </c>
      <c r="R173" s="10">
        <v>4</v>
      </c>
      <c r="S173" s="10">
        <f t="shared" si="71"/>
        <v>0.5</v>
      </c>
      <c r="T173" s="10">
        <f t="shared" si="72"/>
        <v>0.75</v>
      </c>
      <c r="U173" s="10">
        <f t="shared" si="73"/>
        <v>0.75</v>
      </c>
      <c r="V173" s="10">
        <f t="shared" si="74"/>
        <v>0.75</v>
      </c>
      <c r="W173" s="10">
        <f t="shared" si="75"/>
        <v>1</v>
      </c>
      <c r="X173" s="10">
        <f t="shared" si="76"/>
        <v>0.75</v>
      </c>
      <c r="Y173" s="10">
        <f t="shared" si="77"/>
        <v>0.5</v>
      </c>
      <c r="Z173" s="10">
        <f t="shared" si="78"/>
        <v>0.75</v>
      </c>
      <c r="AA173" s="10" t="str">
        <f t="shared" si="79"/>
        <v/>
      </c>
      <c r="AB173" s="10" t="str">
        <f t="shared" si="80"/>
        <v/>
      </c>
      <c r="AC173" s="10" t="str">
        <f t="shared" si="81"/>
        <v/>
      </c>
      <c r="AD173" s="10" t="str">
        <f t="shared" si="82"/>
        <v/>
      </c>
      <c r="AE173" s="10" t="str">
        <f t="shared" si="83"/>
        <v/>
      </c>
      <c r="AF173" s="10" t="str">
        <f t="shared" si="84"/>
        <v/>
      </c>
      <c r="AG173" s="10" t="str">
        <f t="shared" si="85"/>
        <v/>
      </c>
      <c r="AH173" s="10" t="str">
        <f t="shared" si="86"/>
        <v/>
      </c>
      <c r="AI173" s="10">
        <f>IF(OR(S173="",'4_BENCHMARK'!$C$4=""),"",ABS(S173-'4_BENCHMARK'!$C$4))</f>
        <v>0.5</v>
      </c>
      <c r="AJ173" s="10">
        <f>IF(OR(T173="",'4_BENCHMARK'!$C$5=""),"",ABS(T173-'4_BENCHMARK'!$C$5))</f>
        <v>0.25</v>
      </c>
      <c r="AK173" s="10">
        <f>IF(OR(U173="",'4_BENCHMARK'!$C$6=""),"",ABS(U173-'4_BENCHMARK'!$C$6))</f>
        <v>0.25</v>
      </c>
      <c r="AL173" s="10">
        <f>IF(OR(V173="",'4_BENCHMARK'!$C$7=""),"",ABS(V173-'4_BENCHMARK'!$C$7))</f>
        <v>0.25</v>
      </c>
      <c r="AM173" s="10">
        <f>IF(OR(W173="",'4_BENCHMARK'!$C$8=""),"",ABS(W173-'4_BENCHMARK'!$C$8))</f>
        <v>1</v>
      </c>
      <c r="AN173" s="10">
        <f>IF(OR(X173="",'4_BENCHMARK'!$C$9=""),"",ABS(X173-'4_BENCHMARK'!$C$9))</f>
        <v>0.75</v>
      </c>
      <c r="AO173" s="10">
        <f>IF(OR(Y173="",'4_BENCHMARK'!$C$10=""),"",ABS(Y173-'4_BENCHMARK'!$C$10))</f>
        <v>0</v>
      </c>
      <c r="AP173" s="10">
        <f>IF(OR(Z173="",'4_BENCHMARK'!$C$11=""),"",ABS(Z173-'4_BENCHMARK'!$C$11))</f>
        <v>0.25</v>
      </c>
      <c r="AQ173" s="13">
        <f t="shared" si="87"/>
        <v>0.59375</v>
      </c>
      <c r="AR173" s="10"/>
      <c r="AS173" s="10" t="s">
        <v>145</v>
      </c>
      <c r="AT173" s="13">
        <f t="shared" si="88"/>
        <v>0.75</v>
      </c>
      <c r="AU173" s="1" t="str">
        <f t="shared" si="89"/>
        <v/>
      </c>
      <c r="AV173" s="1" t="str">
        <f t="shared" si="90"/>
        <v/>
      </c>
      <c r="AW173" s="1" t="str">
        <f t="shared" si="91"/>
        <v/>
      </c>
      <c r="AX173" s="1" t="str">
        <f t="shared" si="92"/>
        <v/>
      </c>
      <c r="AY173" s="1" t="str">
        <f t="shared" si="93"/>
        <v/>
      </c>
      <c r="AZ173" s="1" t="str">
        <f t="shared" si="94"/>
        <v/>
      </c>
      <c r="BA173" s="1" t="str">
        <f t="shared" si="95"/>
        <v/>
      </c>
      <c r="BB173" s="1" t="str">
        <f t="shared" si="96"/>
        <v/>
      </c>
      <c r="BC173" s="1">
        <f t="shared" si="97"/>
        <v>3</v>
      </c>
      <c r="BD173" s="1">
        <f t="shared" si="98"/>
        <v>4</v>
      </c>
      <c r="BE173" s="1">
        <f t="shared" si="99"/>
        <v>4</v>
      </c>
      <c r="BF173" s="1">
        <f t="shared" si="100"/>
        <v>4</v>
      </c>
      <c r="BG173" s="1">
        <f t="shared" si="101"/>
        <v>5</v>
      </c>
      <c r="BH173" s="1">
        <f t="shared" si="102"/>
        <v>4</v>
      </c>
      <c r="BI173" s="1">
        <f t="shared" si="103"/>
        <v>3</v>
      </c>
      <c r="BJ173" s="1">
        <f t="shared" si="104"/>
        <v>4</v>
      </c>
    </row>
    <row r="174" ht="14.25" customHeight="1" spans="1:62">
      <c r="A174" s="10">
        <v>170</v>
      </c>
      <c r="B174" s="10" t="s">
        <v>665</v>
      </c>
      <c r="C174" s="10">
        <v>2019</v>
      </c>
      <c r="D174" s="10">
        <f t="shared" si="70"/>
        <v>2010</v>
      </c>
      <c r="E174" s="10" t="s">
        <v>136</v>
      </c>
      <c r="F174" s="35" t="s">
        <v>666</v>
      </c>
      <c r="G174" s="10" t="s">
        <v>667</v>
      </c>
      <c r="H174" s="10" t="s">
        <v>139</v>
      </c>
      <c r="I174" s="10" t="s">
        <v>140</v>
      </c>
      <c r="J174" s="10"/>
      <c r="K174" s="10">
        <v>4</v>
      </c>
      <c r="L174" s="10">
        <v>3</v>
      </c>
      <c r="M174" s="10">
        <v>4</v>
      </c>
      <c r="N174" s="10">
        <v>3</v>
      </c>
      <c r="O174" s="10">
        <v>5</v>
      </c>
      <c r="P174" s="10">
        <v>5</v>
      </c>
      <c r="Q174" s="10">
        <v>1</v>
      </c>
      <c r="R174" s="10">
        <v>5</v>
      </c>
      <c r="S174" s="10">
        <f t="shared" si="71"/>
        <v>0.75</v>
      </c>
      <c r="T174" s="10">
        <f t="shared" si="72"/>
        <v>0.5</v>
      </c>
      <c r="U174" s="10">
        <f t="shared" si="73"/>
        <v>0.75</v>
      </c>
      <c r="V174" s="10">
        <f t="shared" si="74"/>
        <v>0.5</v>
      </c>
      <c r="W174" s="10">
        <f t="shared" si="75"/>
        <v>1</v>
      </c>
      <c r="X174" s="10">
        <f t="shared" si="76"/>
        <v>1</v>
      </c>
      <c r="Y174" s="10">
        <f t="shared" si="77"/>
        <v>0</v>
      </c>
      <c r="Z174" s="10">
        <f t="shared" si="78"/>
        <v>1</v>
      </c>
      <c r="AA174" s="10" t="str">
        <f t="shared" si="79"/>
        <v/>
      </c>
      <c r="AB174" s="10" t="str">
        <f t="shared" si="80"/>
        <v/>
      </c>
      <c r="AC174" s="10" t="str">
        <f t="shared" si="81"/>
        <v/>
      </c>
      <c r="AD174" s="10" t="str">
        <f t="shared" si="82"/>
        <v/>
      </c>
      <c r="AE174" s="10" t="str">
        <f t="shared" si="83"/>
        <v/>
      </c>
      <c r="AF174" s="10" t="str">
        <f t="shared" si="84"/>
        <v/>
      </c>
      <c r="AG174" s="10" t="str">
        <f t="shared" si="85"/>
        <v/>
      </c>
      <c r="AH174" s="10" t="str">
        <f t="shared" si="86"/>
        <v/>
      </c>
      <c r="AI174" s="10">
        <f>IF(OR(S174="",'4_BENCHMARK'!$C$4=""),"",ABS(S174-'4_BENCHMARK'!$C$4))</f>
        <v>0.25</v>
      </c>
      <c r="AJ174" s="10">
        <f>IF(OR(T174="",'4_BENCHMARK'!$C$5=""),"",ABS(T174-'4_BENCHMARK'!$C$5))</f>
        <v>0.5</v>
      </c>
      <c r="AK174" s="10">
        <f>IF(OR(U174="",'4_BENCHMARK'!$C$6=""),"",ABS(U174-'4_BENCHMARK'!$C$6))</f>
        <v>0.25</v>
      </c>
      <c r="AL174" s="10">
        <f>IF(OR(V174="",'4_BENCHMARK'!$C$7=""),"",ABS(V174-'4_BENCHMARK'!$C$7))</f>
        <v>0.5</v>
      </c>
      <c r="AM174" s="10">
        <f>IF(OR(W174="",'4_BENCHMARK'!$C$8=""),"",ABS(W174-'4_BENCHMARK'!$C$8))</f>
        <v>1</v>
      </c>
      <c r="AN174" s="10">
        <f>IF(OR(X174="",'4_BENCHMARK'!$C$9=""),"",ABS(X174-'4_BENCHMARK'!$C$9))</f>
        <v>1</v>
      </c>
      <c r="AO174" s="10">
        <f>IF(OR(Y174="",'4_BENCHMARK'!$C$10=""),"",ABS(Y174-'4_BENCHMARK'!$C$10))</f>
        <v>0.5</v>
      </c>
      <c r="AP174" s="10">
        <f>IF(OR(Z174="",'4_BENCHMARK'!$C$11=""),"",ABS(Z174-'4_BENCHMARK'!$C$11))</f>
        <v>0</v>
      </c>
      <c r="AQ174" s="13">
        <f t="shared" si="87"/>
        <v>0.5</v>
      </c>
      <c r="AR174" s="10"/>
      <c r="AS174" s="10" t="s">
        <v>145</v>
      </c>
      <c r="AT174" s="13">
        <f t="shared" si="88"/>
        <v>0.666666666666667</v>
      </c>
      <c r="AU174" s="1" t="str">
        <f t="shared" si="89"/>
        <v/>
      </c>
      <c r="AV174" s="1" t="str">
        <f t="shared" si="90"/>
        <v/>
      </c>
      <c r="AW174" s="1" t="str">
        <f t="shared" si="91"/>
        <v/>
      </c>
      <c r="AX174" s="1" t="str">
        <f t="shared" si="92"/>
        <v/>
      </c>
      <c r="AY174" s="1" t="str">
        <f t="shared" si="93"/>
        <v/>
      </c>
      <c r="AZ174" s="1" t="str">
        <f t="shared" si="94"/>
        <v/>
      </c>
      <c r="BA174" s="1" t="str">
        <f t="shared" si="95"/>
        <v/>
      </c>
      <c r="BB174" s="1" t="str">
        <f t="shared" si="96"/>
        <v/>
      </c>
      <c r="BC174" s="1">
        <f t="shared" si="97"/>
        <v>4</v>
      </c>
      <c r="BD174" s="1">
        <f t="shared" si="98"/>
        <v>3</v>
      </c>
      <c r="BE174" s="1">
        <f t="shared" si="99"/>
        <v>4</v>
      </c>
      <c r="BF174" s="1">
        <f t="shared" si="100"/>
        <v>3</v>
      </c>
      <c r="BG174" s="1">
        <f t="shared" si="101"/>
        <v>5</v>
      </c>
      <c r="BH174" s="1">
        <f t="shared" si="102"/>
        <v>5</v>
      </c>
      <c r="BI174" s="1">
        <f t="shared" si="103"/>
        <v>1</v>
      </c>
      <c r="BJ174" s="1">
        <f t="shared" si="104"/>
        <v>5</v>
      </c>
    </row>
    <row r="175" ht="14.25" customHeight="1" spans="1:62">
      <c r="A175" s="10">
        <v>171</v>
      </c>
      <c r="B175" s="10" t="s">
        <v>668</v>
      </c>
      <c r="C175" s="10">
        <v>2017</v>
      </c>
      <c r="D175" s="10">
        <f t="shared" si="70"/>
        <v>2010</v>
      </c>
      <c r="E175" s="10" t="s">
        <v>136</v>
      </c>
      <c r="F175" s="35" t="s">
        <v>669</v>
      </c>
      <c r="G175" s="10" t="s">
        <v>670</v>
      </c>
      <c r="H175" s="10" t="s">
        <v>139</v>
      </c>
      <c r="I175" s="10" t="s">
        <v>140</v>
      </c>
      <c r="J175" s="10"/>
      <c r="K175" s="10">
        <v>4</v>
      </c>
      <c r="L175" s="10">
        <v>3</v>
      </c>
      <c r="M175" s="10">
        <v>4</v>
      </c>
      <c r="N175" s="10">
        <v>3</v>
      </c>
      <c r="O175" s="10">
        <v>5</v>
      </c>
      <c r="P175" s="10">
        <v>1</v>
      </c>
      <c r="Q175" s="10">
        <v>1</v>
      </c>
      <c r="R175" s="10">
        <v>5</v>
      </c>
      <c r="S175" s="10">
        <f t="shared" si="71"/>
        <v>0.75</v>
      </c>
      <c r="T175" s="10">
        <f t="shared" si="72"/>
        <v>0.5</v>
      </c>
      <c r="U175" s="10">
        <f t="shared" si="73"/>
        <v>0.75</v>
      </c>
      <c r="V175" s="10">
        <f t="shared" si="74"/>
        <v>0.5</v>
      </c>
      <c r="W175" s="10">
        <f t="shared" si="75"/>
        <v>1</v>
      </c>
      <c r="X175" s="10">
        <f t="shared" si="76"/>
        <v>0</v>
      </c>
      <c r="Y175" s="10">
        <f t="shared" si="77"/>
        <v>0</v>
      </c>
      <c r="Z175" s="10">
        <f t="shared" si="78"/>
        <v>1</v>
      </c>
      <c r="AA175" s="10" t="str">
        <f t="shared" si="79"/>
        <v/>
      </c>
      <c r="AB175" s="10" t="str">
        <f t="shared" si="80"/>
        <v/>
      </c>
      <c r="AC175" s="10" t="str">
        <f t="shared" si="81"/>
        <v/>
      </c>
      <c r="AD175" s="10" t="str">
        <f t="shared" si="82"/>
        <v/>
      </c>
      <c r="AE175" s="10" t="str">
        <f t="shared" si="83"/>
        <v/>
      </c>
      <c r="AF175" s="10" t="str">
        <f t="shared" si="84"/>
        <v/>
      </c>
      <c r="AG175" s="10" t="str">
        <f t="shared" si="85"/>
        <v/>
      </c>
      <c r="AH175" s="10" t="str">
        <f t="shared" si="86"/>
        <v/>
      </c>
      <c r="AI175" s="10">
        <f>IF(OR(S175="",'4_BENCHMARK'!$C$4=""),"",ABS(S175-'4_BENCHMARK'!$C$4))</f>
        <v>0.25</v>
      </c>
      <c r="AJ175" s="10">
        <f>IF(OR(T175="",'4_BENCHMARK'!$C$5=""),"",ABS(T175-'4_BENCHMARK'!$C$5))</f>
        <v>0.5</v>
      </c>
      <c r="AK175" s="10">
        <f>IF(OR(U175="",'4_BENCHMARK'!$C$6=""),"",ABS(U175-'4_BENCHMARK'!$C$6))</f>
        <v>0.25</v>
      </c>
      <c r="AL175" s="10">
        <f>IF(OR(V175="",'4_BENCHMARK'!$C$7=""),"",ABS(V175-'4_BENCHMARK'!$C$7))</f>
        <v>0.5</v>
      </c>
      <c r="AM175" s="10">
        <f>IF(OR(W175="",'4_BENCHMARK'!$C$8=""),"",ABS(W175-'4_BENCHMARK'!$C$8))</f>
        <v>1</v>
      </c>
      <c r="AN175" s="10">
        <f>IF(OR(X175="",'4_BENCHMARK'!$C$9=""),"",ABS(X175-'4_BENCHMARK'!$C$9))</f>
        <v>0</v>
      </c>
      <c r="AO175" s="10">
        <f>IF(OR(Y175="",'4_BENCHMARK'!$C$10=""),"",ABS(Y175-'4_BENCHMARK'!$C$10))</f>
        <v>0.5</v>
      </c>
      <c r="AP175" s="10">
        <f>IF(OR(Z175="",'4_BENCHMARK'!$C$11=""),"",ABS(Z175-'4_BENCHMARK'!$C$11))</f>
        <v>0</v>
      </c>
      <c r="AQ175" s="13">
        <f t="shared" si="87"/>
        <v>0.625</v>
      </c>
      <c r="AR175" s="10"/>
      <c r="AS175" s="10" t="s">
        <v>145</v>
      </c>
      <c r="AT175" s="13">
        <f t="shared" si="88"/>
        <v>0.666666666666667</v>
      </c>
      <c r="AU175" s="1" t="str">
        <f t="shared" si="89"/>
        <v/>
      </c>
      <c r="AV175" s="1" t="str">
        <f t="shared" si="90"/>
        <v/>
      </c>
      <c r="AW175" s="1" t="str">
        <f t="shared" si="91"/>
        <v/>
      </c>
      <c r="AX175" s="1" t="str">
        <f t="shared" si="92"/>
        <v/>
      </c>
      <c r="AY175" s="1" t="str">
        <f t="shared" si="93"/>
        <v/>
      </c>
      <c r="AZ175" s="1" t="str">
        <f t="shared" si="94"/>
        <v/>
      </c>
      <c r="BA175" s="1" t="str">
        <f t="shared" si="95"/>
        <v/>
      </c>
      <c r="BB175" s="1" t="str">
        <f t="shared" si="96"/>
        <v/>
      </c>
      <c r="BC175" s="1">
        <f t="shared" si="97"/>
        <v>4</v>
      </c>
      <c r="BD175" s="1">
        <f t="shared" si="98"/>
        <v>3</v>
      </c>
      <c r="BE175" s="1">
        <f t="shared" si="99"/>
        <v>4</v>
      </c>
      <c r="BF175" s="1">
        <f t="shared" si="100"/>
        <v>3</v>
      </c>
      <c r="BG175" s="1">
        <f t="shared" si="101"/>
        <v>5</v>
      </c>
      <c r="BH175" s="1">
        <f t="shared" si="102"/>
        <v>1</v>
      </c>
      <c r="BI175" s="1">
        <f t="shared" si="103"/>
        <v>1</v>
      </c>
      <c r="BJ175" s="1">
        <f t="shared" si="104"/>
        <v>5</v>
      </c>
    </row>
    <row r="176" ht="14.25" customHeight="1" spans="1:62">
      <c r="A176" s="10">
        <v>172</v>
      </c>
      <c r="B176" s="10" t="s">
        <v>671</v>
      </c>
      <c r="C176" s="10">
        <v>1965</v>
      </c>
      <c r="D176" s="10">
        <f t="shared" si="70"/>
        <v>1960</v>
      </c>
      <c r="E176" s="10" t="s">
        <v>136</v>
      </c>
      <c r="F176" s="35" t="s">
        <v>672</v>
      </c>
      <c r="G176" s="10" t="s">
        <v>673</v>
      </c>
      <c r="H176" s="10" t="s">
        <v>140</v>
      </c>
      <c r="I176" s="10" t="s">
        <v>140</v>
      </c>
      <c r="J176" s="10" t="s">
        <v>446</v>
      </c>
      <c r="K176" s="10">
        <v>5</v>
      </c>
      <c r="L176" s="10">
        <v>5</v>
      </c>
      <c r="M176" s="10">
        <v>5</v>
      </c>
      <c r="N176" s="10">
        <v>5</v>
      </c>
      <c r="O176" s="10">
        <v>5</v>
      </c>
      <c r="P176" s="10">
        <v>5</v>
      </c>
      <c r="Q176" s="10">
        <v>3</v>
      </c>
      <c r="R176" s="10">
        <v>5</v>
      </c>
      <c r="S176" s="10">
        <f t="shared" si="71"/>
        <v>1</v>
      </c>
      <c r="T176" s="10">
        <f t="shared" si="72"/>
        <v>1</v>
      </c>
      <c r="U176" s="10">
        <f t="shared" si="73"/>
        <v>1</v>
      </c>
      <c r="V176" s="10">
        <f t="shared" si="74"/>
        <v>1</v>
      </c>
      <c r="W176" s="10">
        <f t="shared" si="75"/>
        <v>1</v>
      </c>
      <c r="X176" s="10">
        <f t="shared" si="76"/>
        <v>1</v>
      </c>
      <c r="Y176" s="10">
        <f t="shared" si="77"/>
        <v>0.5</v>
      </c>
      <c r="Z176" s="10">
        <f t="shared" si="78"/>
        <v>1</v>
      </c>
      <c r="AA176" s="10" t="str">
        <f t="shared" si="79"/>
        <v/>
      </c>
      <c r="AB176" s="10" t="str">
        <f t="shared" si="80"/>
        <v/>
      </c>
      <c r="AC176" s="10" t="str">
        <f t="shared" si="81"/>
        <v/>
      </c>
      <c r="AD176" s="10" t="str">
        <f t="shared" si="82"/>
        <v/>
      </c>
      <c r="AE176" s="10" t="str">
        <f t="shared" si="83"/>
        <v/>
      </c>
      <c r="AF176" s="10" t="str">
        <f t="shared" si="84"/>
        <v/>
      </c>
      <c r="AG176" s="10" t="str">
        <f t="shared" si="85"/>
        <v/>
      </c>
      <c r="AH176" s="10" t="str">
        <f t="shared" si="86"/>
        <v/>
      </c>
      <c r="AI176" s="10">
        <f>IF(OR(S176="",'4_BENCHMARK'!$C$4=""),"",ABS(S176-'4_BENCHMARK'!$C$4))</f>
        <v>0</v>
      </c>
      <c r="AJ176" s="10">
        <f>IF(OR(T176="",'4_BENCHMARK'!$C$5=""),"",ABS(T176-'4_BENCHMARK'!$C$5))</f>
        <v>0</v>
      </c>
      <c r="AK176" s="10">
        <f>IF(OR(U176="",'4_BENCHMARK'!$C$6=""),"",ABS(U176-'4_BENCHMARK'!$C$6))</f>
        <v>0</v>
      </c>
      <c r="AL176" s="10">
        <f>IF(OR(V176="",'4_BENCHMARK'!$C$7=""),"",ABS(V176-'4_BENCHMARK'!$C$7))</f>
        <v>0</v>
      </c>
      <c r="AM176" s="10">
        <f>IF(OR(W176="",'4_BENCHMARK'!$C$8=""),"",ABS(W176-'4_BENCHMARK'!$C$8))</f>
        <v>1</v>
      </c>
      <c r="AN176" s="10">
        <f>IF(OR(X176="",'4_BENCHMARK'!$C$9=""),"",ABS(X176-'4_BENCHMARK'!$C$9))</f>
        <v>1</v>
      </c>
      <c r="AO176" s="10">
        <f>IF(OR(Y176="",'4_BENCHMARK'!$C$10=""),"",ABS(Y176-'4_BENCHMARK'!$C$10))</f>
        <v>0</v>
      </c>
      <c r="AP176" s="10">
        <f>IF(OR(Z176="",'4_BENCHMARK'!$C$11=""),"",ABS(Z176-'4_BENCHMARK'!$C$11))</f>
        <v>0</v>
      </c>
      <c r="AQ176" s="13">
        <f t="shared" si="87"/>
        <v>0.75</v>
      </c>
      <c r="AR176" s="10"/>
      <c r="AS176" s="10" t="s">
        <v>141</v>
      </c>
      <c r="AT176" s="13">
        <f t="shared" si="88"/>
        <v>1</v>
      </c>
      <c r="AU176" s="1" t="str">
        <f t="shared" si="89"/>
        <v/>
      </c>
      <c r="AV176" s="1" t="str">
        <f t="shared" si="90"/>
        <v/>
      </c>
      <c r="AW176" s="1" t="str">
        <f t="shared" si="91"/>
        <v/>
      </c>
      <c r="AX176" s="1" t="str">
        <f t="shared" si="92"/>
        <v/>
      </c>
      <c r="AY176" s="1" t="str">
        <f t="shared" si="93"/>
        <v/>
      </c>
      <c r="AZ176" s="1" t="str">
        <f t="shared" si="94"/>
        <v/>
      </c>
      <c r="BA176" s="1" t="str">
        <f t="shared" si="95"/>
        <v/>
      </c>
      <c r="BB176" s="1" t="str">
        <f t="shared" si="96"/>
        <v/>
      </c>
      <c r="BC176" s="1" t="str">
        <f t="shared" si="97"/>
        <v/>
      </c>
      <c r="BD176" s="1" t="str">
        <f t="shared" si="98"/>
        <v/>
      </c>
      <c r="BE176" s="1" t="str">
        <f t="shared" si="99"/>
        <v/>
      </c>
      <c r="BF176" s="1" t="str">
        <f t="shared" si="100"/>
        <v/>
      </c>
      <c r="BG176" s="1" t="str">
        <f t="shared" si="101"/>
        <v/>
      </c>
      <c r="BH176" s="1" t="str">
        <f t="shared" si="102"/>
        <v/>
      </c>
      <c r="BI176" s="1" t="str">
        <f t="shared" si="103"/>
        <v/>
      </c>
      <c r="BJ176" s="1" t="str">
        <f t="shared" si="104"/>
        <v/>
      </c>
    </row>
    <row r="177" ht="14.25" customHeight="1" spans="1:62">
      <c r="A177" s="10">
        <v>173</v>
      </c>
      <c r="B177" s="10" t="s">
        <v>644</v>
      </c>
      <c r="C177" s="10">
        <v>1926</v>
      </c>
      <c r="D177" s="10">
        <f t="shared" si="70"/>
        <v>1920</v>
      </c>
      <c r="E177" s="10" t="s">
        <v>136</v>
      </c>
      <c r="F177" s="35" t="s">
        <v>674</v>
      </c>
      <c r="G177" s="10" t="s">
        <v>675</v>
      </c>
      <c r="H177" s="10" t="s">
        <v>139</v>
      </c>
      <c r="I177" s="10" t="s">
        <v>140</v>
      </c>
      <c r="J177" s="10"/>
      <c r="K177" s="10">
        <v>5</v>
      </c>
      <c r="L177" s="10">
        <v>5</v>
      </c>
      <c r="M177" s="10">
        <v>5</v>
      </c>
      <c r="N177" s="10">
        <v>5</v>
      </c>
      <c r="O177" s="10">
        <v>5</v>
      </c>
      <c r="P177" s="10">
        <v>5</v>
      </c>
      <c r="Q177" s="10">
        <v>3</v>
      </c>
      <c r="R177" s="10">
        <v>5</v>
      </c>
      <c r="S177" s="10">
        <f t="shared" si="71"/>
        <v>1</v>
      </c>
      <c r="T177" s="10">
        <f t="shared" si="72"/>
        <v>1</v>
      </c>
      <c r="U177" s="10">
        <f t="shared" si="73"/>
        <v>1</v>
      </c>
      <c r="V177" s="10">
        <f t="shared" si="74"/>
        <v>1</v>
      </c>
      <c r="W177" s="10">
        <f t="shared" si="75"/>
        <v>1</v>
      </c>
      <c r="X177" s="10">
        <f t="shared" si="76"/>
        <v>1</v>
      </c>
      <c r="Y177" s="10">
        <f t="shared" si="77"/>
        <v>0.5</v>
      </c>
      <c r="Z177" s="10">
        <f t="shared" si="78"/>
        <v>1</v>
      </c>
      <c r="AA177" s="10">
        <f t="shared" si="79"/>
        <v>1</v>
      </c>
      <c r="AB177" s="10">
        <f t="shared" si="80"/>
        <v>1</v>
      </c>
      <c r="AC177" s="10">
        <f t="shared" si="81"/>
        <v>1</v>
      </c>
      <c r="AD177" s="10">
        <f t="shared" si="82"/>
        <v>1</v>
      </c>
      <c r="AE177" s="10">
        <f t="shared" si="83"/>
        <v>1</v>
      </c>
      <c r="AF177" s="10">
        <f t="shared" si="84"/>
        <v>1</v>
      </c>
      <c r="AG177" s="10">
        <f t="shared" si="85"/>
        <v>0.5</v>
      </c>
      <c r="AH177" s="10">
        <f t="shared" si="86"/>
        <v>1</v>
      </c>
      <c r="AI177" s="10">
        <f>IF(OR(S177="",'4_BENCHMARK'!$C$4=""),"",ABS(S177-'4_BENCHMARK'!$C$4))</f>
        <v>0</v>
      </c>
      <c r="AJ177" s="10">
        <f>IF(OR(T177="",'4_BENCHMARK'!$C$5=""),"",ABS(T177-'4_BENCHMARK'!$C$5))</f>
        <v>0</v>
      </c>
      <c r="AK177" s="10">
        <f>IF(OR(U177="",'4_BENCHMARK'!$C$6=""),"",ABS(U177-'4_BENCHMARK'!$C$6))</f>
        <v>0</v>
      </c>
      <c r="AL177" s="10">
        <f>IF(OR(V177="",'4_BENCHMARK'!$C$7=""),"",ABS(V177-'4_BENCHMARK'!$C$7))</f>
        <v>0</v>
      </c>
      <c r="AM177" s="10">
        <f>IF(OR(W177="",'4_BENCHMARK'!$C$8=""),"",ABS(W177-'4_BENCHMARK'!$C$8))</f>
        <v>1</v>
      </c>
      <c r="AN177" s="10">
        <f>IF(OR(X177="",'4_BENCHMARK'!$C$9=""),"",ABS(X177-'4_BENCHMARK'!$C$9))</f>
        <v>1</v>
      </c>
      <c r="AO177" s="10">
        <f>IF(OR(Y177="",'4_BENCHMARK'!$C$10=""),"",ABS(Y177-'4_BENCHMARK'!$C$10))</f>
        <v>0</v>
      </c>
      <c r="AP177" s="10">
        <f>IF(OR(Z177="",'4_BENCHMARK'!$C$11=""),"",ABS(Z177-'4_BENCHMARK'!$C$11))</f>
        <v>0</v>
      </c>
      <c r="AQ177" s="13">
        <f t="shared" si="87"/>
        <v>0.75</v>
      </c>
      <c r="AR177" s="10"/>
      <c r="AS177" s="10" t="s">
        <v>141</v>
      </c>
      <c r="AT177" s="13">
        <f t="shared" si="88"/>
        <v>1</v>
      </c>
      <c r="AU177" s="1">
        <f t="shared" si="89"/>
        <v>5</v>
      </c>
      <c r="AV177" s="1">
        <f t="shared" si="90"/>
        <v>5</v>
      </c>
      <c r="AW177" s="1">
        <f t="shared" si="91"/>
        <v>5</v>
      </c>
      <c r="AX177" s="1">
        <f t="shared" si="92"/>
        <v>5</v>
      </c>
      <c r="AY177" s="1">
        <f t="shared" si="93"/>
        <v>5</v>
      </c>
      <c r="AZ177" s="1">
        <f t="shared" si="94"/>
        <v>5</v>
      </c>
      <c r="BA177" s="1">
        <f t="shared" si="95"/>
        <v>3</v>
      </c>
      <c r="BB177" s="1">
        <f t="shared" si="96"/>
        <v>5</v>
      </c>
      <c r="BC177" s="1" t="str">
        <f t="shared" si="97"/>
        <v/>
      </c>
      <c r="BD177" s="1" t="str">
        <f t="shared" si="98"/>
        <v/>
      </c>
      <c r="BE177" s="1" t="str">
        <f t="shared" si="99"/>
        <v/>
      </c>
      <c r="BF177" s="1" t="str">
        <f t="shared" si="100"/>
        <v/>
      </c>
      <c r="BG177" s="1" t="str">
        <f t="shared" si="101"/>
        <v/>
      </c>
      <c r="BH177" s="1" t="str">
        <f t="shared" si="102"/>
        <v/>
      </c>
      <c r="BI177" s="1" t="str">
        <f t="shared" si="103"/>
        <v/>
      </c>
      <c r="BJ177" s="1" t="str">
        <f t="shared" si="104"/>
        <v/>
      </c>
    </row>
    <row r="178" ht="14.25" customHeight="1" spans="1:62">
      <c r="A178" s="10">
        <v>174</v>
      </c>
      <c r="B178" s="10" t="s">
        <v>676</v>
      </c>
      <c r="C178" s="10">
        <v>1947</v>
      </c>
      <c r="D178" s="10">
        <f t="shared" si="70"/>
        <v>1940</v>
      </c>
      <c r="E178" s="10" t="s">
        <v>136</v>
      </c>
      <c r="F178" s="35" t="s">
        <v>677</v>
      </c>
      <c r="G178" s="10" t="s">
        <v>678</v>
      </c>
      <c r="H178" s="10" t="s">
        <v>140</v>
      </c>
      <c r="I178" s="10" t="s">
        <v>140</v>
      </c>
      <c r="J178" s="10"/>
      <c r="K178" s="10">
        <v>5</v>
      </c>
      <c r="L178" s="10">
        <v>5</v>
      </c>
      <c r="M178" s="10">
        <v>5</v>
      </c>
      <c r="N178" s="10">
        <v>5</v>
      </c>
      <c r="O178" s="10">
        <v>5</v>
      </c>
      <c r="P178" s="10">
        <v>5</v>
      </c>
      <c r="Q178" s="10">
        <v>2</v>
      </c>
      <c r="R178" s="10">
        <v>5</v>
      </c>
      <c r="S178" s="10">
        <f t="shared" si="71"/>
        <v>1</v>
      </c>
      <c r="T178" s="10">
        <f t="shared" si="72"/>
        <v>1</v>
      </c>
      <c r="U178" s="10">
        <f t="shared" si="73"/>
        <v>1</v>
      </c>
      <c r="V178" s="10">
        <f t="shared" si="74"/>
        <v>1</v>
      </c>
      <c r="W178" s="10">
        <f t="shared" si="75"/>
        <v>1</v>
      </c>
      <c r="X178" s="10">
        <f t="shared" si="76"/>
        <v>1</v>
      </c>
      <c r="Y178" s="10">
        <f t="shared" si="77"/>
        <v>0.25</v>
      </c>
      <c r="Z178" s="10">
        <f t="shared" si="78"/>
        <v>1</v>
      </c>
      <c r="AA178" s="10">
        <f t="shared" si="79"/>
        <v>1</v>
      </c>
      <c r="AB178" s="10">
        <f t="shared" si="80"/>
        <v>1</v>
      </c>
      <c r="AC178" s="10">
        <f t="shared" si="81"/>
        <v>1</v>
      </c>
      <c r="AD178" s="10">
        <f t="shared" si="82"/>
        <v>1</v>
      </c>
      <c r="AE178" s="10">
        <f t="shared" si="83"/>
        <v>1</v>
      </c>
      <c r="AF178" s="10">
        <f t="shared" si="84"/>
        <v>1</v>
      </c>
      <c r="AG178" s="10">
        <f t="shared" si="85"/>
        <v>0.25</v>
      </c>
      <c r="AH178" s="10">
        <f t="shared" si="86"/>
        <v>1</v>
      </c>
      <c r="AI178" s="10">
        <f>IF(OR(S178="",'4_BENCHMARK'!$C$4=""),"",ABS(S178-'4_BENCHMARK'!$C$4))</f>
        <v>0</v>
      </c>
      <c r="AJ178" s="10">
        <f>IF(OR(T178="",'4_BENCHMARK'!$C$5=""),"",ABS(T178-'4_BENCHMARK'!$C$5))</f>
        <v>0</v>
      </c>
      <c r="AK178" s="10">
        <f>IF(OR(U178="",'4_BENCHMARK'!$C$6=""),"",ABS(U178-'4_BENCHMARK'!$C$6))</f>
        <v>0</v>
      </c>
      <c r="AL178" s="10">
        <f>IF(OR(V178="",'4_BENCHMARK'!$C$7=""),"",ABS(V178-'4_BENCHMARK'!$C$7))</f>
        <v>0</v>
      </c>
      <c r="AM178" s="10">
        <f>IF(OR(W178="",'4_BENCHMARK'!$C$8=""),"",ABS(W178-'4_BENCHMARK'!$C$8))</f>
        <v>1</v>
      </c>
      <c r="AN178" s="10">
        <f>IF(OR(X178="",'4_BENCHMARK'!$C$9=""),"",ABS(X178-'4_BENCHMARK'!$C$9))</f>
        <v>1</v>
      </c>
      <c r="AO178" s="10">
        <f>IF(OR(Y178="",'4_BENCHMARK'!$C$10=""),"",ABS(Y178-'4_BENCHMARK'!$C$10))</f>
        <v>0.25</v>
      </c>
      <c r="AP178" s="10">
        <f>IF(OR(Z178="",'4_BENCHMARK'!$C$11=""),"",ABS(Z178-'4_BENCHMARK'!$C$11))</f>
        <v>0</v>
      </c>
      <c r="AQ178" s="13">
        <f t="shared" si="87"/>
        <v>0.71875</v>
      </c>
      <c r="AR178" s="10"/>
      <c r="AS178" s="10" t="s">
        <v>230</v>
      </c>
      <c r="AT178" s="13">
        <f t="shared" si="88"/>
        <v>0.958333333333333</v>
      </c>
      <c r="AU178" s="1">
        <f t="shared" si="89"/>
        <v>5</v>
      </c>
      <c r="AV178" s="1">
        <f t="shared" si="90"/>
        <v>5</v>
      </c>
      <c r="AW178" s="1">
        <f t="shared" si="91"/>
        <v>5</v>
      </c>
      <c r="AX178" s="1">
        <f t="shared" si="92"/>
        <v>5</v>
      </c>
      <c r="AY178" s="1">
        <f t="shared" si="93"/>
        <v>5</v>
      </c>
      <c r="AZ178" s="1">
        <f t="shared" si="94"/>
        <v>5</v>
      </c>
      <c r="BA178" s="1">
        <f t="shared" si="95"/>
        <v>2</v>
      </c>
      <c r="BB178" s="1">
        <f t="shared" si="96"/>
        <v>5</v>
      </c>
      <c r="BC178" s="1" t="str">
        <f t="shared" si="97"/>
        <v/>
      </c>
      <c r="BD178" s="1" t="str">
        <f t="shared" si="98"/>
        <v/>
      </c>
      <c r="BE178" s="1" t="str">
        <f t="shared" si="99"/>
        <v/>
      </c>
      <c r="BF178" s="1" t="str">
        <f t="shared" si="100"/>
        <v/>
      </c>
      <c r="BG178" s="1" t="str">
        <f t="shared" si="101"/>
        <v/>
      </c>
      <c r="BH178" s="1" t="str">
        <f t="shared" si="102"/>
        <v/>
      </c>
      <c r="BI178" s="1" t="str">
        <f t="shared" si="103"/>
        <v/>
      </c>
      <c r="BJ178" s="1" t="str">
        <f t="shared" si="104"/>
        <v/>
      </c>
    </row>
    <row r="179" ht="14.25" customHeight="1" spans="1:62">
      <c r="A179" s="10">
        <v>175</v>
      </c>
      <c r="B179" s="10" t="s">
        <v>679</v>
      </c>
      <c r="C179" s="10">
        <v>2016</v>
      </c>
      <c r="D179" s="10">
        <f t="shared" si="70"/>
        <v>2010</v>
      </c>
      <c r="E179" s="10" t="s">
        <v>136</v>
      </c>
      <c r="F179" s="35" t="s">
        <v>680</v>
      </c>
      <c r="G179" s="10" t="s">
        <v>681</v>
      </c>
      <c r="H179" s="10" t="s">
        <v>140</v>
      </c>
      <c r="I179" s="10" t="s">
        <v>140</v>
      </c>
      <c r="J179" s="10"/>
      <c r="K179" s="10">
        <v>5</v>
      </c>
      <c r="L179" s="10">
        <v>5</v>
      </c>
      <c r="M179" s="10">
        <v>5</v>
      </c>
      <c r="N179" s="10">
        <v>5</v>
      </c>
      <c r="O179" s="10">
        <v>5</v>
      </c>
      <c r="P179" s="10">
        <v>5</v>
      </c>
      <c r="Q179" s="10">
        <v>3</v>
      </c>
      <c r="R179" s="10">
        <v>5</v>
      </c>
      <c r="S179" s="10">
        <f t="shared" si="71"/>
        <v>1</v>
      </c>
      <c r="T179" s="10">
        <f t="shared" si="72"/>
        <v>1</v>
      </c>
      <c r="U179" s="10">
        <f t="shared" si="73"/>
        <v>1</v>
      </c>
      <c r="V179" s="10">
        <f t="shared" si="74"/>
        <v>1</v>
      </c>
      <c r="W179" s="10">
        <f t="shared" si="75"/>
        <v>1</v>
      </c>
      <c r="X179" s="10">
        <f t="shared" si="76"/>
        <v>1</v>
      </c>
      <c r="Y179" s="10">
        <f t="shared" si="77"/>
        <v>0.5</v>
      </c>
      <c r="Z179" s="10">
        <f t="shared" si="78"/>
        <v>1</v>
      </c>
      <c r="AA179" s="10" t="str">
        <f t="shared" si="79"/>
        <v/>
      </c>
      <c r="AB179" s="10" t="str">
        <f t="shared" si="80"/>
        <v/>
      </c>
      <c r="AC179" s="10" t="str">
        <f t="shared" si="81"/>
        <v/>
      </c>
      <c r="AD179" s="10" t="str">
        <f t="shared" si="82"/>
        <v/>
      </c>
      <c r="AE179" s="10" t="str">
        <f t="shared" si="83"/>
        <v/>
      </c>
      <c r="AF179" s="10" t="str">
        <f t="shared" si="84"/>
        <v/>
      </c>
      <c r="AG179" s="10" t="str">
        <f t="shared" si="85"/>
        <v/>
      </c>
      <c r="AH179" s="10" t="str">
        <f t="shared" si="86"/>
        <v/>
      </c>
      <c r="AI179" s="10">
        <f>IF(OR(S179="",'4_BENCHMARK'!$C$4=""),"",ABS(S179-'4_BENCHMARK'!$C$4))</f>
        <v>0</v>
      </c>
      <c r="AJ179" s="10">
        <f>IF(OR(T179="",'4_BENCHMARK'!$C$5=""),"",ABS(T179-'4_BENCHMARK'!$C$5))</f>
        <v>0</v>
      </c>
      <c r="AK179" s="10">
        <f>IF(OR(U179="",'4_BENCHMARK'!$C$6=""),"",ABS(U179-'4_BENCHMARK'!$C$6))</f>
        <v>0</v>
      </c>
      <c r="AL179" s="10">
        <f>IF(OR(V179="",'4_BENCHMARK'!$C$7=""),"",ABS(V179-'4_BENCHMARK'!$C$7))</f>
        <v>0</v>
      </c>
      <c r="AM179" s="10">
        <f>IF(OR(W179="",'4_BENCHMARK'!$C$8=""),"",ABS(W179-'4_BENCHMARK'!$C$8))</f>
        <v>1</v>
      </c>
      <c r="AN179" s="10">
        <f>IF(OR(X179="",'4_BENCHMARK'!$C$9=""),"",ABS(X179-'4_BENCHMARK'!$C$9))</f>
        <v>1</v>
      </c>
      <c r="AO179" s="10">
        <f>IF(OR(Y179="",'4_BENCHMARK'!$C$10=""),"",ABS(Y179-'4_BENCHMARK'!$C$10))</f>
        <v>0</v>
      </c>
      <c r="AP179" s="10">
        <f>IF(OR(Z179="",'4_BENCHMARK'!$C$11=""),"",ABS(Z179-'4_BENCHMARK'!$C$11))</f>
        <v>0</v>
      </c>
      <c r="AQ179" s="13">
        <f t="shared" si="87"/>
        <v>0.75</v>
      </c>
      <c r="AR179" s="10"/>
      <c r="AS179" s="10" t="s">
        <v>141</v>
      </c>
      <c r="AT179" s="13">
        <f t="shared" si="88"/>
        <v>1</v>
      </c>
      <c r="AU179" s="1" t="str">
        <f t="shared" si="89"/>
        <v/>
      </c>
      <c r="AV179" s="1" t="str">
        <f t="shared" si="90"/>
        <v/>
      </c>
      <c r="AW179" s="1" t="str">
        <f t="shared" si="91"/>
        <v/>
      </c>
      <c r="AX179" s="1" t="str">
        <f t="shared" si="92"/>
        <v/>
      </c>
      <c r="AY179" s="1" t="str">
        <f t="shared" si="93"/>
        <v/>
      </c>
      <c r="AZ179" s="1" t="str">
        <f t="shared" si="94"/>
        <v/>
      </c>
      <c r="BA179" s="1" t="str">
        <f t="shared" si="95"/>
        <v/>
      </c>
      <c r="BB179" s="1" t="str">
        <f t="shared" si="96"/>
        <v/>
      </c>
      <c r="BC179" s="1">
        <f t="shared" si="97"/>
        <v>5</v>
      </c>
      <c r="BD179" s="1">
        <f t="shared" si="98"/>
        <v>5</v>
      </c>
      <c r="BE179" s="1">
        <f t="shared" si="99"/>
        <v>5</v>
      </c>
      <c r="BF179" s="1">
        <f t="shared" si="100"/>
        <v>5</v>
      </c>
      <c r="BG179" s="1">
        <f t="shared" si="101"/>
        <v>5</v>
      </c>
      <c r="BH179" s="1">
        <f t="shared" si="102"/>
        <v>5</v>
      </c>
      <c r="BI179" s="1">
        <f t="shared" si="103"/>
        <v>3</v>
      </c>
      <c r="BJ179" s="1">
        <f t="shared" si="104"/>
        <v>5</v>
      </c>
    </row>
    <row r="180" ht="14.25" customHeight="1" spans="1:62">
      <c r="A180" s="10">
        <v>176</v>
      </c>
      <c r="B180" s="10" t="s">
        <v>682</v>
      </c>
      <c r="C180" s="10">
        <v>2023</v>
      </c>
      <c r="D180" s="10">
        <f t="shared" si="70"/>
        <v>2020</v>
      </c>
      <c r="E180" s="10" t="s">
        <v>136</v>
      </c>
      <c r="F180" s="35" t="s">
        <v>683</v>
      </c>
      <c r="G180" s="10" t="s">
        <v>684</v>
      </c>
      <c r="H180" s="10" t="s">
        <v>140</v>
      </c>
      <c r="I180" s="10" t="s">
        <v>140</v>
      </c>
      <c r="J180" s="10"/>
      <c r="K180" s="10">
        <v>4</v>
      </c>
      <c r="L180" s="10">
        <v>4</v>
      </c>
      <c r="M180" s="10">
        <v>4</v>
      </c>
      <c r="N180" s="10">
        <v>3</v>
      </c>
      <c r="O180" s="10">
        <v>5</v>
      </c>
      <c r="P180" s="10">
        <v>2</v>
      </c>
      <c r="Q180" s="10">
        <v>2</v>
      </c>
      <c r="R180" s="10">
        <v>4</v>
      </c>
      <c r="S180" s="10">
        <f t="shared" si="71"/>
        <v>0.75</v>
      </c>
      <c r="T180" s="10">
        <f t="shared" si="72"/>
        <v>0.75</v>
      </c>
      <c r="U180" s="10">
        <f t="shared" si="73"/>
        <v>0.75</v>
      </c>
      <c r="V180" s="10">
        <f t="shared" si="74"/>
        <v>0.5</v>
      </c>
      <c r="W180" s="10">
        <f t="shared" si="75"/>
        <v>1</v>
      </c>
      <c r="X180" s="10">
        <f t="shared" si="76"/>
        <v>0.25</v>
      </c>
      <c r="Y180" s="10">
        <f t="shared" si="77"/>
        <v>0.25</v>
      </c>
      <c r="Z180" s="10">
        <f t="shared" si="78"/>
        <v>0.75</v>
      </c>
      <c r="AA180" s="10" t="str">
        <f t="shared" si="79"/>
        <v/>
      </c>
      <c r="AB180" s="10" t="str">
        <f t="shared" si="80"/>
        <v/>
      </c>
      <c r="AC180" s="10" t="str">
        <f t="shared" si="81"/>
        <v/>
      </c>
      <c r="AD180" s="10" t="str">
        <f t="shared" si="82"/>
        <v/>
      </c>
      <c r="AE180" s="10" t="str">
        <f t="shared" si="83"/>
        <v/>
      </c>
      <c r="AF180" s="10" t="str">
        <f t="shared" si="84"/>
        <v/>
      </c>
      <c r="AG180" s="10" t="str">
        <f t="shared" si="85"/>
        <v/>
      </c>
      <c r="AH180" s="10" t="str">
        <f t="shared" si="86"/>
        <v/>
      </c>
      <c r="AI180" s="10">
        <f>IF(OR(S180="",'4_BENCHMARK'!$C$4=""),"",ABS(S180-'4_BENCHMARK'!$C$4))</f>
        <v>0.25</v>
      </c>
      <c r="AJ180" s="10">
        <f>IF(OR(T180="",'4_BENCHMARK'!$C$5=""),"",ABS(T180-'4_BENCHMARK'!$C$5))</f>
        <v>0.25</v>
      </c>
      <c r="AK180" s="10">
        <f>IF(OR(U180="",'4_BENCHMARK'!$C$6=""),"",ABS(U180-'4_BENCHMARK'!$C$6))</f>
        <v>0.25</v>
      </c>
      <c r="AL180" s="10">
        <f>IF(OR(V180="",'4_BENCHMARK'!$C$7=""),"",ABS(V180-'4_BENCHMARK'!$C$7))</f>
        <v>0.5</v>
      </c>
      <c r="AM180" s="10">
        <f>IF(OR(W180="",'4_BENCHMARK'!$C$8=""),"",ABS(W180-'4_BENCHMARK'!$C$8))</f>
        <v>1</v>
      </c>
      <c r="AN180" s="10">
        <f>IF(OR(X180="",'4_BENCHMARK'!$C$9=""),"",ABS(X180-'4_BENCHMARK'!$C$9))</f>
        <v>0.25</v>
      </c>
      <c r="AO180" s="10">
        <f>IF(OR(Y180="",'4_BENCHMARK'!$C$10=""),"",ABS(Y180-'4_BENCHMARK'!$C$10))</f>
        <v>0.25</v>
      </c>
      <c r="AP180" s="10">
        <f>IF(OR(Z180="",'4_BENCHMARK'!$C$11=""),"",ABS(Z180-'4_BENCHMARK'!$C$11))</f>
        <v>0.25</v>
      </c>
      <c r="AQ180" s="13">
        <f t="shared" si="87"/>
        <v>0.625</v>
      </c>
      <c r="AR180" s="10"/>
      <c r="AS180" s="10" t="s">
        <v>145</v>
      </c>
      <c r="AT180" s="13">
        <f t="shared" si="88"/>
        <v>0.708333333333333</v>
      </c>
      <c r="AU180" s="1" t="str">
        <f t="shared" si="89"/>
        <v/>
      </c>
      <c r="AV180" s="1" t="str">
        <f t="shared" si="90"/>
        <v/>
      </c>
      <c r="AW180" s="1" t="str">
        <f t="shared" si="91"/>
        <v/>
      </c>
      <c r="AX180" s="1" t="str">
        <f t="shared" si="92"/>
        <v/>
      </c>
      <c r="AY180" s="1" t="str">
        <f t="shared" si="93"/>
        <v/>
      </c>
      <c r="AZ180" s="1" t="str">
        <f t="shared" si="94"/>
        <v/>
      </c>
      <c r="BA180" s="1" t="str">
        <f t="shared" si="95"/>
        <v/>
      </c>
      <c r="BB180" s="1" t="str">
        <f t="shared" si="96"/>
        <v/>
      </c>
      <c r="BC180" s="1">
        <f t="shared" si="97"/>
        <v>4</v>
      </c>
      <c r="BD180" s="1">
        <f t="shared" si="98"/>
        <v>4</v>
      </c>
      <c r="BE180" s="1">
        <f t="shared" si="99"/>
        <v>4</v>
      </c>
      <c r="BF180" s="1">
        <f t="shared" si="100"/>
        <v>3</v>
      </c>
      <c r="BG180" s="1">
        <f t="shared" si="101"/>
        <v>5</v>
      </c>
      <c r="BH180" s="1">
        <f t="shared" si="102"/>
        <v>2</v>
      </c>
      <c r="BI180" s="1">
        <f t="shared" si="103"/>
        <v>2</v>
      </c>
      <c r="BJ180" s="1">
        <f t="shared" si="104"/>
        <v>4</v>
      </c>
    </row>
    <row r="181" ht="14.25" customHeight="1" spans="1:62">
      <c r="A181" s="10">
        <v>177</v>
      </c>
      <c r="B181" s="10" t="s">
        <v>685</v>
      </c>
      <c r="C181" s="10">
        <v>1870</v>
      </c>
      <c r="D181" s="10">
        <f t="shared" si="70"/>
        <v>1870</v>
      </c>
      <c r="E181" s="10" t="s">
        <v>136</v>
      </c>
      <c r="F181" s="35" t="s">
        <v>686</v>
      </c>
      <c r="G181" s="10" t="s">
        <v>687</v>
      </c>
      <c r="H181" s="10" t="s">
        <v>139</v>
      </c>
      <c r="I181" s="10" t="s">
        <v>140</v>
      </c>
      <c r="J181" s="10" t="s">
        <v>335</v>
      </c>
      <c r="K181" s="10">
        <v>5</v>
      </c>
      <c r="L181" s="10">
        <v>5</v>
      </c>
      <c r="M181" s="10">
        <v>5</v>
      </c>
      <c r="N181" s="10">
        <v>5</v>
      </c>
      <c r="O181" s="10">
        <v>1</v>
      </c>
      <c r="P181" s="10">
        <v>1</v>
      </c>
      <c r="Q181" s="10">
        <v>3</v>
      </c>
      <c r="R181" s="10">
        <v>5</v>
      </c>
      <c r="S181" s="10">
        <f t="shared" si="71"/>
        <v>1</v>
      </c>
      <c r="T181" s="10">
        <f t="shared" si="72"/>
        <v>1</v>
      </c>
      <c r="U181" s="10">
        <f t="shared" si="73"/>
        <v>1</v>
      </c>
      <c r="V181" s="10">
        <f t="shared" si="74"/>
        <v>1</v>
      </c>
      <c r="W181" s="10">
        <f t="shared" si="75"/>
        <v>0</v>
      </c>
      <c r="X181" s="10">
        <f t="shared" si="76"/>
        <v>0</v>
      </c>
      <c r="Y181" s="10">
        <f t="shared" si="77"/>
        <v>0.5</v>
      </c>
      <c r="Z181" s="10">
        <f t="shared" si="78"/>
        <v>1</v>
      </c>
      <c r="AA181" s="10">
        <f t="shared" si="79"/>
        <v>1</v>
      </c>
      <c r="AB181" s="10">
        <f t="shared" si="80"/>
        <v>1</v>
      </c>
      <c r="AC181" s="10">
        <f t="shared" si="81"/>
        <v>1</v>
      </c>
      <c r="AD181" s="10">
        <f t="shared" si="82"/>
        <v>1</v>
      </c>
      <c r="AE181" s="10">
        <f t="shared" si="83"/>
        <v>0</v>
      </c>
      <c r="AF181" s="10">
        <f t="shared" si="84"/>
        <v>0</v>
      </c>
      <c r="AG181" s="10">
        <f t="shared" si="85"/>
        <v>0.5</v>
      </c>
      <c r="AH181" s="10">
        <f t="shared" si="86"/>
        <v>1</v>
      </c>
      <c r="AI181" s="10">
        <f>IF(OR(S181="",'4_BENCHMARK'!$C$4=""),"",ABS(S181-'4_BENCHMARK'!$C$4))</f>
        <v>0</v>
      </c>
      <c r="AJ181" s="10">
        <f>IF(OR(T181="",'4_BENCHMARK'!$C$5=""),"",ABS(T181-'4_BENCHMARK'!$C$5))</f>
        <v>0</v>
      </c>
      <c r="AK181" s="10">
        <f>IF(OR(U181="",'4_BENCHMARK'!$C$6=""),"",ABS(U181-'4_BENCHMARK'!$C$6))</f>
        <v>0</v>
      </c>
      <c r="AL181" s="10">
        <f>IF(OR(V181="",'4_BENCHMARK'!$C$7=""),"",ABS(V181-'4_BENCHMARK'!$C$7))</f>
        <v>0</v>
      </c>
      <c r="AM181" s="10">
        <f>IF(OR(W181="",'4_BENCHMARK'!$C$8=""),"",ABS(W181-'4_BENCHMARK'!$C$8))</f>
        <v>0</v>
      </c>
      <c r="AN181" s="10">
        <f>IF(OR(X181="",'4_BENCHMARK'!$C$9=""),"",ABS(X181-'4_BENCHMARK'!$C$9))</f>
        <v>0</v>
      </c>
      <c r="AO181" s="10">
        <f>IF(OR(Y181="",'4_BENCHMARK'!$C$10=""),"",ABS(Y181-'4_BENCHMARK'!$C$10))</f>
        <v>0</v>
      </c>
      <c r="AP181" s="10">
        <f>IF(OR(Z181="",'4_BENCHMARK'!$C$11=""),"",ABS(Z181-'4_BENCHMARK'!$C$11))</f>
        <v>0</v>
      </c>
      <c r="AQ181" s="13">
        <f t="shared" si="87"/>
        <v>1</v>
      </c>
      <c r="AR181" s="10"/>
      <c r="AS181" s="10" t="s">
        <v>141</v>
      </c>
      <c r="AT181" s="13">
        <f t="shared" si="88"/>
        <v>1</v>
      </c>
      <c r="AU181" s="1">
        <f t="shared" si="89"/>
        <v>5</v>
      </c>
      <c r="AV181" s="1">
        <f t="shared" si="90"/>
        <v>5</v>
      </c>
      <c r="AW181" s="1">
        <f t="shared" si="91"/>
        <v>5</v>
      </c>
      <c r="AX181" s="1">
        <f t="shared" si="92"/>
        <v>5</v>
      </c>
      <c r="AY181" s="1">
        <f t="shared" si="93"/>
        <v>1</v>
      </c>
      <c r="AZ181" s="1">
        <f t="shared" si="94"/>
        <v>1</v>
      </c>
      <c r="BA181" s="1">
        <f t="shared" si="95"/>
        <v>3</v>
      </c>
      <c r="BB181" s="1">
        <f t="shared" si="96"/>
        <v>5</v>
      </c>
      <c r="BC181" s="1" t="str">
        <f t="shared" si="97"/>
        <v/>
      </c>
      <c r="BD181" s="1" t="str">
        <f t="shared" si="98"/>
        <v/>
      </c>
      <c r="BE181" s="1" t="str">
        <f t="shared" si="99"/>
        <v/>
      </c>
      <c r="BF181" s="1" t="str">
        <f t="shared" si="100"/>
        <v/>
      </c>
      <c r="BG181" s="1" t="str">
        <f t="shared" si="101"/>
        <v/>
      </c>
      <c r="BH181" s="1" t="str">
        <f t="shared" si="102"/>
        <v/>
      </c>
      <c r="BI181" s="1" t="str">
        <f t="shared" si="103"/>
        <v/>
      </c>
      <c r="BJ181" s="1" t="str">
        <f t="shared" si="104"/>
        <v/>
      </c>
    </row>
    <row r="182" ht="14.25" customHeight="1" spans="1:62">
      <c r="A182" s="10">
        <v>178</v>
      </c>
      <c r="B182" s="10" t="s">
        <v>688</v>
      </c>
      <c r="C182" s="10">
        <v>2017</v>
      </c>
      <c r="D182" s="10">
        <f t="shared" si="70"/>
        <v>2010</v>
      </c>
      <c r="E182" s="10" t="s">
        <v>136</v>
      </c>
      <c r="F182" s="35" t="s">
        <v>689</v>
      </c>
      <c r="G182" s="10" t="s">
        <v>690</v>
      </c>
      <c r="H182" s="10" t="s">
        <v>140</v>
      </c>
      <c r="I182" s="10" t="s">
        <v>140</v>
      </c>
      <c r="J182" s="10"/>
      <c r="K182" s="10">
        <v>4</v>
      </c>
      <c r="L182" s="10">
        <v>4</v>
      </c>
      <c r="M182" s="10">
        <v>4</v>
      </c>
      <c r="N182" s="10">
        <v>4</v>
      </c>
      <c r="O182" s="10">
        <v>1</v>
      </c>
      <c r="P182" s="10">
        <v>1</v>
      </c>
      <c r="Q182" s="10">
        <v>2</v>
      </c>
      <c r="R182" s="10">
        <v>4</v>
      </c>
      <c r="S182" s="10">
        <f t="shared" si="71"/>
        <v>0.75</v>
      </c>
      <c r="T182" s="10">
        <f t="shared" si="72"/>
        <v>0.75</v>
      </c>
      <c r="U182" s="10">
        <f t="shared" si="73"/>
        <v>0.75</v>
      </c>
      <c r="V182" s="10">
        <f t="shared" si="74"/>
        <v>0.75</v>
      </c>
      <c r="W182" s="10">
        <f t="shared" si="75"/>
        <v>0</v>
      </c>
      <c r="X182" s="10">
        <f t="shared" si="76"/>
        <v>0</v>
      </c>
      <c r="Y182" s="10">
        <f t="shared" si="77"/>
        <v>0.25</v>
      </c>
      <c r="Z182" s="10">
        <f t="shared" si="78"/>
        <v>0.75</v>
      </c>
      <c r="AA182" s="10" t="str">
        <f t="shared" si="79"/>
        <v/>
      </c>
      <c r="AB182" s="10" t="str">
        <f t="shared" si="80"/>
        <v/>
      </c>
      <c r="AC182" s="10" t="str">
        <f t="shared" si="81"/>
        <v/>
      </c>
      <c r="AD182" s="10" t="str">
        <f t="shared" si="82"/>
        <v/>
      </c>
      <c r="AE182" s="10" t="str">
        <f t="shared" si="83"/>
        <v/>
      </c>
      <c r="AF182" s="10" t="str">
        <f t="shared" si="84"/>
        <v/>
      </c>
      <c r="AG182" s="10" t="str">
        <f t="shared" si="85"/>
        <v/>
      </c>
      <c r="AH182" s="10" t="str">
        <f t="shared" si="86"/>
        <v/>
      </c>
      <c r="AI182" s="10">
        <f>IF(OR(S182="",'4_BENCHMARK'!$C$4=""),"",ABS(S182-'4_BENCHMARK'!$C$4))</f>
        <v>0.25</v>
      </c>
      <c r="AJ182" s="10">
        <f>IF(OR(T182="",'4_BENCHMARK'!$C$5=""),"",ABS(T182-'4_BENCHMARK'!$C$5))</f>
        <v>0.25</v>
      </c>
      <c r="AK182" s="10">
        <f>IF(OR(U182="",'4_BENCHMARK'!$C$6=""),"",ABS(U182-'4_BENCHMARK'!$C$6))</f>
        <v>0.25</v>
      </c>
      <c r="AL182" s="10">
        <f>IF(OR(V182="",'4_BENCHMARK'!$C$7=""),"",ABS(V182-'4_BENCHMARK'!$C$7))</f>
        <v>0.25</v>
      </c>
      <c r="AM182" s="10">
        <f>IF(OR(W182="",'4_BENCHMARK'!$C$8=""),"",ABS(W182-'4_BENCHMARK'!$C$8))</f>
        <v>0</v>
      </c>
      <c r="AN182" s="10">
        <f>IF(OR(X182="",'4_BENCHMARK'!$C$9=""),"",ABS(X182-'4_BENCHMARK'!$C$9))</f>
        <v>0</v>
      </c>
      <c r="AO182" s="10">
        <f>IF(OR(Y182="",'4_BENCHMARK'!$C$10=""),"",ABS(Y182-'4_BENCHMARK'!$C$10))</f>
        <v>0.25</v>
      </c>
      <c r="AP182" s="10">
        <f>IF(OR(Z182="",'4_BENCHMARK'!$C$11=""),"",ABS(Z182-'4_BENCHMARK'!$C$11))</f>
        <v>0.25</v>
      </c>
      <c r="AQ182" s="13">
        <f t="shared" si="87"/>
        <v>0.8125</v>
      </c>
      <c r="AR182" s="10"/>
      <c r="AS182" s="10" t="s">
        <v>145</v>
      </c>
      <c r="AT182" s="13">
        <f t="shared" si="88"/>
        <v>0.75</v>
      </c>
      <c r="AU182" s="1" t="str">
        <f t="shared" si="89"/>
        <v/>
      </c>
      <c r="AV182" s="1" t="str">
        <f t="shared" si="90"/>
        <v/>
      </c>
      <c r="AW182" s="1" t="str">
        <f t="shared" si="91"/>
        <v/>
      </c>
      <c r="AX182" s="1" t="str">
        <f t="shared" si="92"/>
        <v/>
      </c>
      <c r="AY182" s="1" t="str">
        <f t="shared" si="93"/>
        <v/>
      </c>
      <c r="AZ182" s="1" t="str">
        <f t="shared" si="94"/>
        <v/>
      </c>
      <c r="BA182" s="1" t="str">
        <f t="shared" si="95"/>
        <v/>
      </c>
      <c r="BB182" s="1" t="str">
        <f t="shared" si="96"/>
        <v/>
      </c>
      <c r="BC182" s="1">
        <f t="shared" si="97"/>
        <v>4</v>
      </c>
      <c r="BD182" s="1">
        <f t="shared" si="98"/>
        <v>4</v>
      </c>
      <c r="BE182" s="1">
        <f t="shared" si="99"/>
        <v>4</v>
      </c>
      <c r="BF182" s="1">
        <f t="shared" si="100"/>
        <v>4</v>
      </c>
      <c r="BG182" s="1">
        <f t="shared" si="101"/>
        <v>1</v>
      </c>
      <c r="BH182" s="1">
        <f t="shared" si="102"/>
        <v>1</v>
      </c>
      <c r="BI182" s="1">
        <f t="shared" si="103"/>
        <v>2</v>
      </c>
      <c r="BJ182" s="1">
        <f t="shared" si="104"/>
        <v>4</v>
      </c>
    </row>
    <row r="183" ht="14.25" customHeight="1" spans="1:62">
      <c r="A183" s="10">
        <v>179</v>
      </c>
      <c r="B183" s="10" t="s">
        <v>691</v>
      </c>
      <c r="C183" s="10">
        <v>2015</v>
      </c>
      <c r="D183" s="10">
        <f t="shared" si="70"/>
        <v>2010</v>
      </c>
      <c r="E183" s="10" t="s">
        <v>136</v>
      </c>
      <c r="F183" s="35" t="s">
        <v>692</v>
      </c>
      <c r="G183" s="10" t="s">
        <v>693</v>
      </c>
      <c r="H183" s="10" t="s">
        <v>140</v>
      </c>
      <c r="I183" s="10" t="s">
        <v>140</v>
      </c>
      <c r="J183" s="10"/>
      <c r="K183" s="10">
        <v>5</v>
      </c>
      <c r="L183" s="10">
        <v>5</v>
      </c>
      <c r="M183" s="10">
        <v>5</v>
      </c>
      <c r="N183" s="10">
        <v>5</v>
      </c>
      <c r="O183" s="10">
        <v>1</v>
      </c>
      <c r="P183" s="10">
        <v>1</v>
      </c>
      <c r="Q183" s="10">
        <v>2</v>
      </c>
      <c r="R183" s="10">
        <v>3</v>
      </c>
      <c r="S183" s="10">
        <f t="shared" si="71"/>
        <v>1</v>
      </c>
      <c r="T183" s="10">
        <f t="shared" si="72"/>
        <v>1</v>
      </c>
      <c r="U183" s="10">
        <f t="shared" si="73"/>
        <v>1</v>
      </c>
      <c r="V183" s="10">
        <f t="shared" si="74"/>
        <v>1</v>
      </c>
      <c r="W183" s="10">
        <f t="shared" si="75"/>
        <v>0</v>
      </c>
      <c r="X183" s="10">
        <f t="shared" si="76"/>
        <v>0</v>
      </c>
      <c r="Y183" s="10">
        <f t="shared" si="77"/>
        <v>0.25</v>
      </c>
      <c r="Z183" s="10">
        <f t="shared" si="78"/>
        <v>0.5</v>
      </c>
      <c r="AA183" s="10" t="str">
        <f t="shared" si="79"/>
        <v/>
      </c>
      <c r="AB183" s="10" t="str">
        <f t="shared" si="80"/>
        <v/>
      </c>
      <c r="AC183" s="10" t="str">
        <f t="shared" si="81"/>
        <v/>
      </c>
      <c r="AD183" s="10" t="str">
        <f t="shared" si="82"/>
        <v/>
      </c>
      <c r="AE183" s="10" t="str">
        <f t="shared" si="83"/>
        <v/>
      </c>
      <c r="AF183" s="10" t="str">
        <f t="shared" si="84"/>
        <v/>
      </c>
      <c r="AG183" s="10" t="str">
        <f t="shared" si="85"/>
        <v/>
      </c>
      <c r="AH183" s="10" t="str">
        <f t="shared" si="86"/>
        <v/>
      </c>
      <c r="AI183" s="10">
        <f>IF(OR(S183="",'4_BENCHMARK'!$C$4=""),"",ABS(S183-'4_BENCHMARK'!$C$4))</f>
        <v>0</v>
      </c>
      <c r="AJ183" s="10">
        <f>IF(OR(T183="",'4_BENCHMARK'!$C$5=""),"",ABS(T183-'4_BENCHMARK'!$C$5))</f>
        <v>0</v>
      </c>
      <c r="AK183" s="10">
        <f>IF(OR(U183="",'4_BENCHMARK'!$C$6=""),"",ABS(U183-'4_BENCHMARK'!$C$6))</f>
        <v>0</v>
      </c>
      <c r="AL183" s="10">
        <f>IF(OR(V183="",'4_BENCHMARK'!$C$7=""),"",ABS(V183-'4_BENCHMARK'!$C$7))</f>
        <v>0</v>
      </c>
      <c r="AM183" s="10">
        <f>IF(OR(W183="",'4_BENCHMARK'!$C$8=""),"",ABS(W183-'4_BENCHMARK'!$C$8))</f>
        <v>0</v>
      </c>
      <c r="AN183" s="10">
        <f>IF(OR(X183="",'4_BENCHMARK'!$C$9=""),"",ABS(X183-'4_BENCHMARK'!$C$9))</f>
        <v>0</v>
      </c>
      <c r="AO183" s="10">
        <f>IF(OR(Y183="",'4_BENCHMARK'!$C$10=""),"",ABS(Y183-'4_BENCHMARK'!$C$10))</f>
        <v>0.25</v>
      </c>
      <c r="AP183" s="10">
        <f>IF(OR(Z183="",'4_BENCHMARK'!$C$11=""),"",ABS(Z183-'4_BENCHMARK'!$C$11))</f>
        <v>0.5</v>
      </c>
      <c r="AQ183" s="13">
        <f t="shared" si="87"/>
        <v>0.90625</v>
      </c>
      <c r="AR183" s="10"/>
      <c r="AS183" s="10" t="s">
        <v>230</v>
      </c>
      <c r="AT183" s="13">
        <f t="shared" si="88"/>
        <v>0.875</v>
      </c>
      <c r="AU183" s="1" t="str">
        <f t="shared" si="89"/>
        <v/>
      </c>
      <c r="AV183" s="1" t="str">
        <f t="shared" si="90"/>
        <v/>
      </c>
      <c r="AW183" s="1" t="str">
        <f t="shared" si="91"/>
        <v/>
      </c>
      <c r="AX183" s="1" t="str">
        <f t="shared" si="92"/>
        <v/>
      </c>
      <c r="AY183" s="1" t="str">
        <f t="shared" si="93"/>
        <v/>
      </c>
      <c r="AZ183" s="1" t="str">
        <f t="shared" si="94"/>
        <v/>
      </c>
      <c r="BA183" s="1" t="str">
        <f t="shared" si="95"/>
        <v/>
      </c>
      <c r="BB183" s="1" t="str">
        <f t="shared" si="96"/>
        <v/>
      </c>
      <c r="BC183" s="1">
        <f t="shared" si="97"/>
        <v>5</v>
      </c>
      <c r="BD183" s="1">
        <f t="shared" si="98"/>
        <v>5</v>
      </c>
      <c r="BE183" s="1">
        <f t="shared" si="99"/>
        <v>5</v>
      </c>
      <c r="BF183" s="1">
        <f t="shared" si="100"/>
        <v>5</v>
      </c>
      <c r="BG183" s="1">
        <f t="shared" si="101"/>
        <v>1</v>
      </c>
      <c r="BH183" s="1">
        <f t="shared" si="102"/>
        <v>1</v>
      </c>
      <c r="BI183" s="1">
        <f t="shared" si="103"/>
        <v>2</v>
      </c>
      <c r="BJ183" s="1">
        <f t="shared" si="104"/>
        <v>3</v>
      </c>
    </row>
    <row r="184" ht="14.25" customHeight="1" spans="1:62">
      <c r="A184" s="10">
        <v>180</v>
      </c>
      <c r="B184" s="10" t="s">
        <v>694</v>
      </c>
      <c r="C184" s="10">
        <v>1980</v>
      </c>
      <c r="D184" s="10">
        <f t="shared" si="70"/>
        <v>1980</v>
      </c>
      <c r="E184" s="10" t="s">
        <v>136</v>
      </c>
      <c r="F184" s="35" t="s">
        <v>695</v>
      </c>
      <c r="G184" s="10" t="s">
        <v>696</v>
      </c>
      <c r="H184" s="10" t="s">
        <v>140</v>
      </c>
      <c r="I184" s="10" t="s">
        <v>140</v>
      </c>
      <c r="J184" s="10"/>
      <c r="K184" s="10">
        <v>5</v>
      </c>
      <c r="L184" s="10">
        <v>5</v>
      </c>
      <c r="M184" s="10">
        <v>5</v>
      </c>
      <c r="N184" s="10">
        <v>5</v>
      </c>
      <c r="O184" s="10">
        <v>5</v>
      </c>
      <c r="P184" s="10">
        <v>5</v>
      </c>
      <c r="Q184" s="10">
        <v>2</v>
      </c>
      <c r="R184" s="10">
        <v>5</v>
      </c>
      <c r="S184" s="10">
        <f t="shared" si="71"/>
        <v>1</v>
      </c>
      <c r="T184" s="10">
        <f t="shared" si="72"/>
        <v>1</v>
      </c>
      <c r="U184" s="10">
        <f t="shared" si="73"/>
        <v>1</v>
      </c>
      <c r="V184" s="10">
        <f t="shared" si="74"/>
        <v>1</v>
      </c>
      <c r="W184" s="10">
        <f t="shared" si="75"/>
        <v>1</v>
      </c>
      <c r="X184" s="10">
        <f t="shared" si="76"/>
        <v>1</v>
      </c>
      <c r="Y184" s="10">
        <f t="shared" si="77"/>
        <v>0.25</v>
      </c>
      <c r="Z184" s="10">
        <f t="shared" si="78"/>
        <v>1</v>
      </c>
      <c r="AA184" s="10" t="str">
        <f t="shared" si="79"/>
        <v/>
      </c>
      <c r="AB184" s="10" t="str">
        <f t="shared" si="80"/>
        <v/>
      </c>
      <c r="AC184" s="10" t="str">
        <f t="shared" si="81"/>
        <v/>
      </c>
      <c r="AD184" s="10" t="str">
        <f t="shared" si="82"/>
        <v/>
      </c>
      <c r="AE184" s="10" t="str">
        <f t="shared" si="83"/>
        <v/>
      </c>
      <c r="AF184" s="10" t="str">
        <f t="shared" si="84"/>
        <v/>
      </c>
      <c r="AG184" s="10" t="str">
        <f t="shared" si="85"/>
        <v/>
      </c>
      <c r="AH184" s="10" t="str">
        <f t="shared" si="86"/>
        <v/>
      </c>
      <c r="AI184" s="10">
        <f>IF(OR(S184="",'4_BENCHMARK'!$C$4=""),"",ABS(S184-'4_BENCHMARK'!$C$4))</f>
        <v>0</v>
      </c>
      <c r="AJ184" s="10">
        <f>IF(OR(T184="",'4_BENCHMARK'!$C$5=""),"",ABS(T184-'4_BENCHMARK'!$C$5))</f>
        <v>0</v>
      </c>
      <c r="AK184" s="10">
        <f>IF(OR(U184="",'4_BENCHMARK'!$C$6=""),"",ABS(U184-'4_BENCHMARK'!$C$6))</f>
        <v>0</v>
      </c>
      <c r="AL184" s="10">
        <f>IF(OR(V184="",'4_BENCHMARK'!$C$7=""),"",ABS(V184-'4_BENCHMARK'!$C$7))</f>
        <v>0</v>
      </c>
      <c r="AM184" s="10">
        <f>IF(OR(W184="",'4_BENCHMARK'!$C$8=""),"",ABS(W184-'4_BENCHMARK'!$C$8))</f>
        <v>1</v>
      </c>
      <c r="AN184" s="10">
        <f>IF(OR(X184="",'4_BENCHMARK'!$C$9=""),"",ABS(X184-'4_BENCHMARK'!$C$9))</f>
        <v>1</v>
      </c>
      <c r="AO184" s="10">
        <f>IF(OR(Y184="",'4_BENCHMARK'!$C$10=""),"",ABS(Y184-'4_BENCHMARK'!$C$10))</f>
        <v>0.25</v>
      </c>
      <c r="AP184" s="10">
        <f>IF(OR(Z184="",'4_BENCHMARK'!$C$11=""),"",ABS(Z184-'4_BENCHMARK'!$C$11))</f>
        <v>0</v>
      </c>
      <c r="AQ184" s="13">
        <f t="shared" si="87"/>
        <v>0.71875</v>
      </c>
      <c r="AR184" s="10"/>
      <c r="AS184" s="10" t="s">
        <v>149</v>
      </c>
      <c r="AT184" s="13">
        <f t="shared" si="88"/>
        <v>0.958333333333333</v>
      </c>
      <c r="AU184" s="1" t="str">
        <f t="shared" si="89"/>
        <v/>
      </c>
      <c r="AV184" s="1" t="str">
        <f t="shared" si="90"/>
        <v/>
      </c>
      <c r="AW184" s="1" t="str">
        <f t="shared" si="91"/>
        <v/>
      </c>
      <c r="AX184" s="1" t="str">
        <f t="shared" si="92"/>
        <v/>
      </c>
      <c r="AY184" s="1" t="str">
        <f t="shared" si="93"/>
        <v/>
      </c>
      <c r="AZ184" s="1" t="str">
        <f t="shared" si="94"/>
        <v/>
      </c>
      <c r="BA184" s="1" t="str">
        <f t="shared" si="95"/>
        <v/>
      </c>
      <c r="BB184" s="1" t="str">
        <f t="shared" si="96"/>
        <v/>
      </c>
      <c r="BC184" s="1" t="str">
        <f t="shared" si="97"/>
        <v/>
      </c>
      <c r="BD184" s="1" t="str">
        <f t="shared" si="98"/>
        <v/>
      </c>
      <c r="BE184" s="1" t="str">
        <f t="shared" si="99"/>
        <v/>
      </c>
      <c r="BF184" s="1" t="str">
        <f t="shared" si="100"/>
        <v/>
      </c>
      <c r="BG184" s="1" t="str">
        <f t="shared" si="101"/>
        <v/>
      </c>
      <c r="BH184" s="1" t="str">
        <f t="shared" si="102"/>
        <v/>
      </c>
      <c r="BI184" s="1" t="str">
        <f t="shared" si="103"/>
        <v/>
      </c>
      <c r="BJ184" s="1" t="str">
        <f t="shared" si="104"/>
        <v/>
      </c>
    </row>
    <row r="185" ht="14.25" customHeight="1" spans="1:62">
      <c r="A185" s="10">
        <v>181</v>
      </c>
      <c r="B185" s="10" t="s">
        <v>697</v>
      </c>
      <c r="C185" s="10">
        <v>1904</v>
      </c>
      <c r="D185" s="10">
        <f t="shared" si="70"/>
        <v>1900</v>
      </c>
      <c r="E185" s="10" t="s">
        <v>136</v>
      </c>
      <c r="F185" s="35" t="s">
        <v>698</v>
      </c>
      <c r="G185" s="10" t="s">
        <v>699</v>
      </c>
      <c r="H185" s="10" t="s">
        <v>139</v>
      </c>
      <c r="I185" s="10" t="s">
        <v>140</v>
      </c>
      <c r="J185" s="10"/>
      <c r="K185" s="10">
        <v>5</v>
      </c>
      <c r="L185" s="10">
        <v>5</v>
      </c>
      <c r="M185" s="10">
        <v>5</v>
      </c>
      <c r="N185" s="10">
        <v>4</v>
      </c>
      <c r="O185" s="10">
        <v>1</v>
      </c>
      <c r="P185" s="10">
        <v>1</v>
      </c>
      <c r="Q185" s="10">
        <v>2</v>
      </c>
      <c r="R185" s="10">
        <v>5</v>
      </c>
      <c r="S185" s="10">
        <f t="shared" si="71"/>
        <v>1</v>
      </c>
      <c r="T185" s="10">
        <f t="shared" si="72"/>
        <v>1</v>
      </c>
      <c r="U185" s="10">
        <f t="shared" si="73"/>
        <v>1</v>
      </c>
      <c r="V185" s="10">
        <f t="shared" si="74"/>
        <v>0.75</v>
      </c>
      <c r="W185" s="10">
        <f t="shared" si="75"/>
        <v>0</v>
      </c>
      <c r="X185" s="10">
        <f t="shared" si="76"/>
        <v>0</v>
      </c>
      <c r="Y185" s="10">
        <f t="shared" si="77"/>
        <v>0.25</v>
      </c>
      <c r="Z185" s="10">
        <f t="shared" si="78"/>
        <v>1</v>
      </c>
      <c r="AA185" s="10">
        <f t="shared" si="79"/>
        <v>1</v>
      </c>
      <c r="AB185" s="10">
        <f t="shared" si="80"/>
        <v>1</v>
      </c>
      <c r="AC185" s="10">
        <f t="shared" si="81"/>
        <v>1</v>
      </c>
      <c r="AD185" s="10">
        <f t="shared" si="82"/>
        <v>0.75</v>
      </c>
      <c r="AE185" s="10">
        <f t="shared" si="83"/>
        <v>0</v>
      </c>
      <c r="AF185" s="10">
        <f t="shared" si="84"/>
        <v>0</v>
      </c>
      <c r="AG185" s="10">
        <f t="shared" si="85"/>
        <v>0.25</v>
      </c>
      <c r="AH185" s="10">
        <f t="shared" si="86"/>
        <v>1</v>
      </c>
      <c r="AI185" s="10">
        <f>IF(OR(S185="",'4_BENCHMARK'!$C$4=""),"",ABS(S185-'4_BENCHMARK'!$C$4))</f>
        <v>0</v>
      </c>
      <c r="AJ185" s="10">
        <f>IF(OR(T185="",'4_BENCHMARK'!$C$5=""),"",ABS(T185-'4_BENCHMARK'!$C$5))</f>
        <v>0</v>
      </c>
      <c r="AK185" s="10">
        <f>IF(OR(U185="",'4_BENCHMARK'!$C$6=""),"",ABS(U185-'4_BENCHMARK'!$C$6))</f>
        <v>0</v>
      </c>
      <c r="AL185" s="10">
        <f>IF(OR(V185="",'4_BENCHMARK'!$C$7=""),"",ABS(V185-'4_BENCHMARK'!$C$7))</f>
        <v>0.25</v>
      </c>
      <c r="AM185" s="10">
        <f>IF(OR(W185="",'4_BENCHMARK'!$C$8=""),"",ABS(W185-'4_BENCHMARK'!$C$8))</f>
        <v>0</v>
      </c>
      <c r="AN185" s="10">
        <f>IF(OR(X185="",'4_BENCHMARK'!$C$9=""),"",ABS(X185-'4_BENCHMARK'!$C$9))</f>
        <v>0</v>
      </c>
      <c r="AO185" s="10">
        <f>IF(OR(Y185="",'4_BENCHMARK'!$C$10=""),"",ABS(Y185-'4_BENCHMARK'!$C$10))</f>
        <v>0.25</v>
      </c>
      <c r="AP185" s="10">
        <f>IF(OR(Z185="",'4_BENCHMARK'!$C$11=""),"",ABS(Z185-'4_BENCHMARK'!$C$11))</f>
        <v>0</v>
      </c>
      <c r="AQ185" s="13">
        <f t="shared" si="87"/>
        <v>0.9375</v>
      </c>
      <c r="AR185" s="10"/>
      <c r="AS185" s="10" t="s">
        <v>141</v>
      </c>
      <c r="AT185" s="13">
        <f t="shared" si="88"/>
        <v>0.916666666666667</v>
      </c>
      <c r="AU185" s="1">
        <f t="shared" si="89"/>
        <v>5</v>
      </c>
      <c r="AV185" s="1">
        <f t="shared" si="90"/>
        <v>5</v>
      </c>
      <c r="AW185" s="1">
        <f t="shared" si="91"/>
        <v>5</v>
      </c>
      <c r="AX185" s="1">
        <f t="shared" si="92"/>
        <v>4</v>
      </c>
      <c r="AY185" s="1">
        <f t="shared" si="93"/>
        <v>1</v>
      </c>
      <c r="AZ185" s="1">
        <f t="shared" si="94"/>
        <v>1</v>
      </c>
      <c r="BA185" s="1">
        <f t="shared" si="95"/>
        <v>2</v>
      </c>
      <c r="BB185" s="1">
        <f t="shared" si="96"/>
        <v>5</v>
      </c>
      <c r="BC185" s="1" t="str">
        <f t="shared" si="97"/>
        <v/>
      </c>
      <c r="BD185" s="1" t="str">
        <f t="shared" si="98"/>
        <v/>
      </c>
      <c r="BE185" s="1" t="str">
        <f t="shared" si="99"/>
        <v/>
      </c>
      <c r="BF185" s="1" t="str">
        <f t="shared" si="100"/>
        <v/>
      </c>
      <c r="BG185" s="1" t="str">
        <f t="shared" si="101"/>
        <v/>
      </c>
      <c r="BH185" s="1" t="str">
        <f t="shared" si="102"/>
        <v/>
      </c>
      <c r="BI185" s="1" t="str">
        <f t="shared" si="103"/>
        <v/>
      </c>
      <c r="BJ185" s="1" t="str">
        <f t="shared" si="104"/>
        <v/>
      </c>
    </row>
    <row r="186" ht="14.25" customHeight="1" spans="1:62">
      <c r="A186" s="10">
        <v>182</v>
      </c>
      <c r="B186" s="10" t="s">
        <v>700</v>
      </c>
      <c r="C186" s="10">
        <v>1910</v>
      </c>
      <c r="D186" s="10">
        <f t="shared" si="70"/>
        <v>1910</v>
      </c>
      <c r="E186" s="10" t="s">
        <v>136</v>
      </c>
      <c r="F186" s="35" t="s">
        <v>701</v>
      </c>
      <c r="G186" s="10" t="s">
        <v>702</v>
      </c>
      <c r="H186" s="10" t="s">
        <v>139</v>
      </c>
      <c r="I186" s="10" t="s">
        <v>140</v>
      </c>
      <c r="J186" s="10"/>
      <c r="K186" s="10">
        <v>5</v>
      </c>
      <c r="L186" s="10">
        <v>5</v>
      </c>
      <c r="M186" s="10">
        <v>5</v>
      </c>
      <c r="N186" s="10">
        <v>5</v>
      </c>
      <c r="O186" s="10">
        <v>5</v>
      </c>
      <c r="P186" s="10">
        <v>5</v>
      </c>
      <c r="Q186" s="10">
        <v>3</v>
      </c>
      <c r="R186" s="10">
        <v>5</v>
      </c>
      <c r="S186" s="10">
        <f t="shared" si="71"/>
        <v>1</v>
      </c>
      <c r="T186" s="10">
        <f t="shared" si="72"/>
        <v>1</v>
      </c>
      <c r="U186" s="10">
        <f t="shared" si="73"/>
        <v>1</v>
      </c>
      <c r="V186" s="10">
        <f t="shared" si="74"/>
        <v>1</v>
      </c>
      <c r="W186" s="10">
        <f t="shared" si="75"/>
        <v>1</v>
      </c>
      <c r="X186" s="10">
        <f t="shared" si="76"/>
        <v>1</v>
      </c>
      <c r="Y186" s="10">
        <f t="shared" si="77"/>
        <v>0.5</v>
      </c>
      <c r="Z186" s="10">
        <f t="shared" si="78"/>
        <v>1</v>
      </c>
      <c r="AA186" s="10">
        <f t="shared" si="79"/>
        <v>1</v>
      </c>
      <c r="AB186" s="10">
        <f t="shared" si="80"/>
        <v>1</v>
      </c>
      <c r="AC186" s="10">
        <f t="shared" si="81"/>
        <v>1</v>
      </c>
      <c r="AD186" s="10">
        <f t="shared" si="82"/>
        <v>1</v>
      </c>
      <c r="AE186" s="10">
        <f t="shared" si="83"/>
        <v>1</v>
      </c>
      <c r="AF186" s="10">
        <f t="shared" si="84"/>
        <v>1</v>
      </c>
      <c r="AG186" s="10">
        <f t="shared" si="85"/>
        <v>0.5</v>
      </c>
      <c r="AH186" s="10">
        <f t="shared" si="86"/>
        <v>1</v>
      </c>
      <c r="AI186" s="10">
        <f>IF(OR(S186="",'4_BENCHMARK'!$C$4=""),"",ABS(S186-'4_BENCHMARK'!$C$4))</f>
        <v>0</v>
      </c>
      <c r="AJ186" s="10">
        <f>IF(OR(T186="",'4_BENCHMARK'!$C$5=""),"",ABS(T186-'4_BENCHMARK'!$C$5))</f>
        <v>0</v>
      </c>
      <c r="AK186" s="10">
        <f>IF(OR(U186="",'4_BENCHMARK'!$C$6=""),"",ABS(U186-'4_BENCHMARK'!$C$6))</f>
        <v>0</v>
      </c>
      <c r="AL186" s="10">
        <f>IF(OR(V186="",'4_BENCHMARK'!$C$7=""),"",ABS(V186-'4_BENCHMARK'!$C$7))</f>
        <v>0</v>
      </c>
      <c r="AM186" s="10">
        <f>IF(OR(W186="",'4_BENCHMARK'!$C$8=""),"",ABS(W186-'4_BENCHMARK'!$C$8))</f>
        <v>1</v>
      </c>
      <c r="AN186" s="10">
        <f>IF(OR(X186="",'4_BENCHMARK'!$C$9=""),"",ABS(X186-'4_BENCHMARK'!$C$9))</f>
        <v>1</v>
      </c>
      <c r="AO186" s="10">
        <f>IF(OR(Y186="",'4_BENCHMARK'!$C$10=""),"",ABS(Y186-'4_BENCHMARK'!$C$10))</f>
        <v>0</v>
      </c>
      <c r="AP186" s="10">
        <f>IF(OR(Z186="",'4_BENCHMARK'!$C$11=""),"",ABS(Z186-'4_BENCHMARK'!$C$11))</f>
        <v>0</v>
      </c>
      <c r="AQ186" s="13">
        <f t="shared" si="87"/>
        <v>0.75</v>
      </c>
      <c r="AR186" s="10"/>
      <c r="AS186" s="10" t="s">
        <v>141</v>
      </c>
      <c r="AT186" s="13">
        <f t="shared" si="88"/>
        <v>1</v>
      </c>
      <c r="AU186" s="1">
        <f t="shared" si="89"/>
        <v>5</v>
      </c>
      <c r="AV186" s="1">
        <f t="shared" si="90"/>
        <v>5</v>
      </c>
      <c r="AW186" s="1">
        <f t="shared" si="91"/>
        <v>5</v>
      </c>
      <c r="AX186" s="1">
        <f t="shared" si="92"/>
        <v>5</v>
      </c>
      <c r="AY186" s="1">
        <f t="shared" si="93"/>
        <v>5</v>
      </c>
      <c r="AZ186" s="1">
        <f t="shared" si="94"/>
        <v>5</v>
      </c>
      <c r="BA186" s="1">
        <f t="shared" si="95"/>
        <v>3</v>
      </c>
      <c r="BB186" s="1">
        <f t="shared" si="96"/>
        <v>5</v>
      </c>
      <c r="BC186" s="1" t="str">
        <f t="shared" si="97"/>
        <v/>
      </c>
      <c r="BD186" s="1" t="str">
        <f t="shared" si="98"/>
        <v/>
      </c>
      <c r="BE186" s="1" t="str">
        <f t="shared" si="99"/>
        <v/>
      </c>
      <c r="BF186" s="1" t="str">
        <f t="shared" si="100"/>
        <v/>
      </c>
      <c r="BG186" s="1" t="str">
        <f t="shared" si="101"/>
        <v/>
      </c>
      <c r="BH186" s="1" t="str">
        <f t="shared" si="102"/>
        <v/>
      </c>
      <c r="BI186" s="1" t="str">
        <f t="shared" si="103"/>
        <v/>
      </c>
      <c r="BJ186" s="1" t="str">
        <f t="shared" si="104"/>
        <v/>
      </c>
    </row>
    <row r="187" ht="14.25" customHeight="1" spans="1:62">
      <c r="A187" s="10">
        <v>183</v>
      </c>
      <c r="B187" s="10" t="s">
        <v>703</v>
      </c>
      <c r="C187" s="10">
        <v>2025</v>
      </c>
      <c r="D187" s="10">
        <f t="shared" si="70"/>
        <v>2020</v>
      </c>
      <c r="E187" s="10" t="s">
        <v>136</v>
      </c>
      <c r="F187" s="35" t="s">
        <v>704</v>
      </c>
      <c r="G187" s="10" t="s">
        <v>705</v>
      </c>
      <c r="H187" s="10" t="s">
        <v>140</v>
      </c>
      <c r="I187" s="10" t="s">
        <v>140</v>
      </c>
      <c r="J187" s="10"/>
      <c r="K187" s="10">
        <v>4</v>
      </c>
      <c r="L187" s="10">
        <v>4</v>
      </c>
      <c r="M187" s="10">
        <v>4</v>
      </c>
      <c r="N187" s="10">
        <v>3</v>
      </c>
      <c r="O187" s="10">
        <v>5</v>
      </c>
      <c r="P187" s="10">
        <v>5</v>
      </c>
      <c r="Q187" s="10">
        <v>2</v>
      </c>
      <c r="R187" s="10">
        <v>5</v>
      </c>
      <c r="S187" s="10">
        <f t="shared" si="71"/>
        <v>0.75</v>
      </c>
      <c r="T187" s="10">
        <f t="shared" si="72"/>
        <v>0.75</v>
      </c>
      <c r="U187" s="10">
        <f t="shared" si="73"/>
        <v>0.75</v>
      </c>
      <c r="V187" s="10">
        <f t="shared" si="74"/>
        <v>0.5</v>
      </c>
      <c r="W187" s="10">
        <f t="shared" si="75"/>
        <v>1</v>
      </c>
      <c r="X187" s="10">
        <f t="shared" si="76"/>
        <v>1</v>
      </c>
      <c r="Y187" s="10">
        <f t="shared" si="77"/>
        <v>0.25</v>
      </c>
      <c r="Z187" s="10">
        <f t="shared" si="78"/>
        <v>1</v>
      </c>
      <c r="AA187" s="10" t="str">
        <f t="shared" si="79"/>
        <v/>
      </c>
      <c r="AB187" s="10" t="str">
        <f t="shared" si="80"/>
        <v/>
      </c>
      <c r="AC187" s="10" t="str">
        <f t="shared" si="81"/>
        <v/>
      </c>
      <c r="AD187" s="10" t="str">
        <f t="shared" si="82"/>
        <v/>
      </c>
      <c r="AE187" s="10" t="str">
        <f t="shared" si="83"/>
        <v/>
      </c>
      <c r="AF187" s="10" t="str">
        <f t="shared" si="84"/>
        <v/>
      </c>
      <c r="AG187" s="10" t="str">
        <f t="shared" si="85"/>
        <v/>
      </c>
      <c r="AH187" s="10" t="str">
        <f t="shared" si="86"/>
        <v/>
      </c>
      <c r="AI187" s="10">
        <f>IF(OR(S187="",'4_BENCHMARK'!$C$4=""),"",ABS(S187-'4_BENCHMARK'!$C$4))</f>
        <v>0.25</v>
      </c>
      <c r="AJ187" s="10">
        <f>IF(OR(T187="",'4_BENCHMARK'!$C$5=""),"",ABS(T187-'4_BENCHMARK'!$C$5))</f>
        <v>0.25</v>
      </c>
      <c r="AK187" s="10">
        <f>IF(OR(U187="",'4_BENCHMARK'!$C$6=""),"",ABS(U187-'4_BENCHMARK'!$C$6))</f>
        <v>0.25</v>
      </c>
      <c r="AL187" s="10">
        <f>IF(OR(V187="",'4_BENCHMARK'!$C$7=""),"",ABS(V187-'4_BENCHMARK'!$C$7))</f>
        <v>0.5</v>
      </c>
      <c r="AM187" s="10">
        <f>IF(OR(W187="",'4_BENCHMARK'!$C$8=""),"",ABS(W187-'4_BENCHMARK'!$C$8))</f>
        <v>1</v>
      </c>
      <c r="AN187" s="10">
        <f>IF(OR(X187="",'4_BENCHMARK'!$C$9=""),"",ABS(X187-'4_BENCHMARK'!$C$9))</f>
        <v>1</v>
      </c>
      <c r="AO187" s="10">
        <f>IF(OR(Y187="",'4_BENCHMARK'!$C$10=""),"",ABS(Y187-'4_BENCHMARK'!$C$10))</f>
        <v>0.25</v>
      </c>
      <c r="AP187" s="10">
        <f>IF(OR(Z187="",'4_BENCHMARK'!$C$11=""),"",ABS(Z187-'4_BENCHMARK'!$C$11))</f>
        <v>0</v>
      </c>
      <c r="AQ187" s="13">
        <f t="shared" si="87"/>
        <v>0.5625</v>
      </c>
      <c r="AR187" s="10"/>
      <c r="AS187" s="10" t="s">
        <v>145</v>
      </c>
      <c r="AT187" s="13">
        <f t="shared" si="88"/>
        <v>0.75</v>
      </c>
      <c r="AU187" s="1" t="str">
        <f t="shared" si="89"/>
        <v/>
      </c>
      <c r="AV187" s="1" t="str">
        <f t="shared" si="90"/>
        <v/>
      </c>
      <c r="AW187" s="1" t="str">
        <f t="shared" si="91"/>
        <v/>
      </c>
      <c r="AX187" s="1" t="str">
        <f t="shared" si="92"/>
        <v/>
      </c>
      <c r="AY187" s="1" t="str">
        <f t="shared" si="93"/>
        <v/>
      </c>
      <c r="AZ187" s="1" t="str">
        <f t="shared" si="94"/>
        <v/>
      </c>
      <c r="BA187" s="1" t="str">
        <f t="shared" si="95"/>
        <v/>
      </c>
      <c r="BB187" s="1" t="str">
        <f t="shared" si="96"/>
        <v/>
      </c>
      <c r="BC187" s="1">
        <f t="shared" si="97"/>
        <v>4</v>
      </c>
      <c r="BD187" s="1">
        <f t="shared" si="98"/>
        <v>4</v>
      </c>
      <c r="BE187" s="1">
        <f t="shared" si="99"/>
        <v>4</v>
      </c>
      <c r="BF187" s="1">
        <f t="shared" si="100"/>
        <v>3</v>
      </c>
      <c r="BG187" s="1">
        <f t="shared" si="101"/>
        <v>5</v>
      </c>
      <c r="BH187" s="1">
        <f t="shared" si="102"/>
        <v>5</v>
      </c>
      <c r="BI187" s="1">
        <f t="shared" si="103"/>
        <v>2</v>
      </c>
      <c r="BJ187" s="1">
        <f t="shared" si="104"/>
        <v>5</v>
      </c>
    </row>
    <row r="188" ht="14.25" customHeight="1" spans="1:62">
      <c r="A188" s="10">
        <v>184</v>
      </c>
      <c r="B188" s="10" t="s">
        <v>706</v>
      </c>
      <c r="C188" s="10">
        <v>2001</v>
      </c>
      <c r="D188" s="10">
        <f t="shared" si="70"/>
        <v>2000</v>
      </c>
      <c r="E188" s="10" t="s">
        <v>136</v>
      </c>
      <c r="F188" s="35" t="s">
        <v>707</v>
      </c>
      <c r="G188" s="10" t="s">
        <v>708</v>
      </c>
      <c r="H188" s="10" t="s">
        <v>140</v>
      </c>
      <c r="I188" s="10" t="s">
        <v>140</v>
      </c>
      <c r="J188" s="10" t="s">
        <v>709</v>
      </c>
      <c r="K188" s="10">
        <v>4</v>
      </c>
      <c r="L188" s="10">
        <v>2</v>
      </c>
      <c r="M188" s="10">
        <v>4</v>
      </c>
      <c r="N188" s="10">
        <v>3</v>
      </c>
      <c r="O188" s="10">
        <v>5</v>
      </c>
      <c r="P188" s="10">
        <v>3</v>
      </c>
      <c r="Q188" s="10">
        <v>1</v>
      </c>
      <c r="R188" s="10">
        <v>3</v>
      </c>
      <c r="S188" s="10">
        <f t="shared" si="71"/>
        <v>0.75</v>
      </c>
      <c r="T188" s="10">
        <f t="shared" si="72"/>
        <v>0.25</v>
      </c>
      <c r="U188" s="10">
        <f t="shared" si="73"/>
        <v>0.75</v>
      </c>
      <c r="V188" s="10">
        <f t="shared" si="74"/>
        <v>0.5</v>
      </c>
      <c r="W188" s="10">
        <f t="shared" si="75"/>
        <v>1</v>
      </c>
      <c r="X188" s="10">
        <f t="shared" si="76"/>
        <v>0.5</v>
      </c>
      <c r="Y188" s="10">
        <f t="shared" si="77"/>
        <v>0</v>
      </c>
      <c r="Z188" s="10">
        <f t="shared" si="78"/>
        <v>0.5</v>
      </c>
      <c r="AA188" s="10" t="str">
        <f t="shared" si="79"/>
        <v/>
      </c>
      <c r="AB188" s="10" t="str">
        <f t="shared" si="80"/>
        <v/>
      </c>
      <c r="AC188" s="10" t="str">
        <f t="shared" si="81"/>
        <v/>
      </c>
      <c r="AD188" s="10" t="str">
        <f t="shared" si="82"/>
        <v/>
      </c>
      <c r="AE188" s="10" t="str">
        <f t="shared" si="83"/>
        <v/>
      </c>
      <c r="AF188" s="10" t="str">
        <f t="shared" si="84"/>
        <v/>
      </c>
      <c r="AG188" s="10" t="str">
        <f t="shared" si="85"/>
        <v/>
      </c>
      <c r="AH188" s="10" t="str">
        <f t="shared" si="86"/>
        <v/>
      </c>
      <c r="AI188" s="10">
        <f>IF(OR(S188="",'4_BENCHMARK'!$C$4=""),"",ABS(S188-'4_BENCHMARK'!$C$4))</f>
        <v>0.25</v>
      </c>
      <c r="AJ188" s="10">
        <f>IF(OR(T188="",'4_BENCHMARK'!$C$5=""),"",ABS(T188-'4_BENCHMARK'!$C$5))</f>
        <v>0.75</v>
      </c>
      <c r="AK188" s="10">
        <f>IF(OR(U188="",'4_BENCHMARK'!$C$6=""),"",ABS(U188-'4_BENCHMARK'!$C$6))</f>
        <v>0.25</v>
      </c>
      <c r="AL188" s="10">
        <f>IF(OR(V188="",'4_BENCHMARK'!$C$7=""),"",ABS(V188-'4_BENCHMARK'!$C$7))</f>
        <v>0.5</v>
      </c>
      <c r="AM188" s="10">
        <f>IF(OR(W188="",'4_BENCHMARK'!$C$8=""),"",ABS(W188-'4_BENCHMARK'!$C$8))</f>
        <v>1</v>
      </c>
      <c r="AN188" s="10">
        <f>IF(OR(X188="",'4_BENCHMARK'!$C$9=""),"",ABS(X188-'4_BENCHMARK'!$C$9))</f>
        <v>0.5</v>
      </c>
      <c r="AO188" s="10">
        <f>IF(OR(Y188="",'4_BENCHMARK'!$C$10=""),"",ABS(Y188-'4_BENCHMARK'!$C$10))</f>
        <v>0.5</v>
      </c>
      <c r="AP188" s="10">
        <f>IF(OR(Z188="",'4_BENCHMARK'!$C$11=""),"",ABS(Z188-'4_BENCHMARK'!$C$11))</f>
        <v>0.5</v>
      </c>
      <c r="AQ188" s="13">
        <f t="shared" si="87"/>
        <v>0.46875</v>
      </c>
      <c r="AR188" s="10"/>
      <c r="AS188" s="10" t="s">
        <v>145</v>
      </c>
      <c r="AT188" s="13">
        <f t="shared" si="88"/>
        <v>0.541666666666667</v>
      </c>
      <c r="AU188" s="1" t="str">
        <f t="shared" si="89"/>
        <v/>
      </c>
      <c r="AV188" s="1" t="str">
        <f t="shared" si="90"/>
        <v/>
      </c>
      <c r="AW188" s="1" t="str">
        <f t="shared" si="91"/>
        <v/>
      </c>
      <c r="AX188" s="1" t="str">
        <f t="shared" si="92"/>
        <v/>
      </c>
      <c r="AY188" s="1" t="str">
        <f t="shared" si="93"/>
        <v/>
      </c>
      <c r="AZ188" s="1" t="str">
        <f t="shared" si="94"/>
        <v/>
      </c>
      <c r="BA188" s="1" t="str">
        <f t="shared" si="95"/>
        <v/>
      </c>
      <c r="BB188" s="1" t="str">
        <f t="shared" si="96"/>
        <v/>
      </c>
      <c r="BC188" s="1">
        <f t="shared" si="97"/>
        <v>4</v>
      </c>
      <c r="BD188" s="1">
        <f t="shared" si="98"/>
        <v>2</v>
      </c>
      <c r="BE188" s="1">
        <f t="shared" si="99"/>
        <v>4</v>
      </c>
      <c r="BF188" s="1">
        <f t="shared" si="100"/>
        <v>3</v>
      </c>
      <c r="BG188" s="1">
        <f t="shared" si="101"/>
        <v>5</v>
      </c>
      <c r="BH188" s="1">
        <f t="shared" si="102"/>
        <v>3</v>
      </c>
      <c r="BI188" s="1">
        <f t="shared" si="103"/>
        <v>1</v>
      </c>
      <c r="BJ188" s="1">
        <f t="shared" si="104"/>
        <v>3</v>
      </c>
    </row>
    <row r="189" ht="14.25" customHeight="1" spans="1:62">
      <c r="A189" s="10">
        <v>185</v>
      </c>
      <c r="B189" s="10" t="s">
        <v>644</v>
      </c>
      <c r="C189" s="10">
        <v>1925</v>
      </c>
      <c r="D189" s="10">
        <f t="shared" si="70"/>
        <v>1920</v>
      </c>
      <c r="E189" s="10" t="s">
        <v>136</v>
      </c>
      <c r="F189" s="35" t="s">
        <v>710</v>
      </c>
      <c r="G189" s="10" t="s">
        <v>711</v>
      </c>
      <c r="H189" s="10" t="s">
        <v>139</v>
      </c>
      <c r="I189" s="10" t="s">
        <v>140</v>
      </c>
      <c r="J189" s="10"/>
      <c r="K189" s="10">
        <v>5</v>
      </c>
      <c r="L189" s="10">
        <v>5</v>
      </c>
      <c r="M189" s="10">
        <v>5</v>
      </c>
      <c r="N189" s="10">
        <v>5</v>
      </c>
      <c r="O189" s="10">
        <v>5</v>
      </c>
      <c r="P189" s="10">
        <v>5</v>
      </c>
      <c r="Q189" s="10">
        <v>2</v>
      </c>
      <c r="R189" s="10">
        <v>5</v>
      </c>
      <c r="S189" s="10">
        <f t="shared" si="71"/>
        <v>1</v>
      </c>
      <c r="T189" s="10">
        <f t="shared" si="72"/>
        <v>1</v>
      </c>
      <c r="U189" s="10">
        <f t="shared" si="73"/>
        <v>1</v>
      </c>
      <c r="V189" s="10">
        <f t="shared" si="74"/>
        <v>1</v>
      </c>
      <c r="W189" s="10">
        <f t="shared" si="75"/>
        <v>1</v>
      </c>
      <c r="X189" s="10">
        <f t="shared" si="76"/>
        <v>1</v>
      </c>
      <c r="Y189" s="10">
        <f t="shared" si="77"/>
        <v>0.25</v>
      </c>
      <c r="Z189" s="10">
        <f t="shared" si="78"/>
        <v>1</v>
      </c>
      <c r="AA189" s="10">
        <f t="shared" si="79"/>
        <v>1</v>
      </c>
      <c r="AB189" s="10">
        <f t="shared" si="80"/>
        <v>1</v>
      </c>
      <c r="AC189" s="10">
        <f t="shared" si="81"/>
        <v>1</v>
      </c>
      <c r="AD189" s="10">
        <f t="shared" si="82"/>
        <v>1</v>
      </c>
      <c r="AE189" s="10">
        <f t="shared" si="83"/>
        <v>1</v>
      </c>
      <c r="AF189" s="10">
        <f t="shared" si="84"/>
        <v>1</v>
      </c>
      <c r="AG189" s="10">
        <f t="shared" si="85"/>
        <v>0.25</v>
      </c>
      <c r="AH189" s="10">
        <f t="shared" si="86"/>
        <v>1</v>
      </c>
      <c r="AI189" s="10">
        <f>IF(OR(S189="",'4_BENCHMARK'!$C$4=""),"",ABS(S189-'4_BENCHMARK'!$C$4))</f>
        <v>0</v>
      </c>
      <c r="AJ189" s="10">
        <f>IF(OR(T189="",'4_BENCHMARK'!$C$5=""),"",ABS(T189-'4_BENCHMARK'!$C$5))</f>
        <v>0</v>
      </c>
      <c r="AK189" s="10">
        <f>IF(OR(U189="",'4_BENCHMARK'!$C$6=""),"",ABS(U189-'4_BENCHMARK'!$C$6))</f>
        <v>0</v>
      </c>
      <c r="AL189" s="10">
        <f>IF(OR(V189="",'4_BENCHMARK'!$C$7=""),"",ABS(V189-'4_BENCHMARK'!$C$7))</f>
        <v>0</v>
      </c>
      <c r="AM189" s="10">
        <f>IF(OR(W189="",'4_BENCHMARK'!$C$8=""),"",ABS(W189-'4_BENCHMARK'!$C$8))</f>
        <v>1</v>
      </c>
      <c r="AN189" s="10">
        <f>IF(OR(X189="",'4_BENCHMARK'!$C$9=""),"",ABS(X189-'4_BENCHMARK'!$C$9))</f>
        <v>1</v>
      </c>
      <c r="AO189" s="10">
        <f>IF(OR(Y189="",'4_BENCHMARK'!$C$10=""),"",ABS(Y189-'4_BENCHMARK'!$C$10))</f>
        <v>0.25</v>
      </c>
      <c r="AP189" s="10">
        <f>IF(OR(Z189="",'4_BENCHMARK'!$C$11=""),"",ABS(Z189-'4_BENCHMARK'!$C$11))</f>
        <v>0</v>
      </c>
      <c r="AQ189" s="13">
        <f t="shared" si="87"/>
        <v>0.71875</v>
      </c>
      <c r="AR189" s="10"/>
      <c r="AS189" s="10" t="s">
        <v>141</v>
      </c>
      <c r="AT189" s="13">
        <f t="shared" si="88"/>
        <v>0.958333333333333</v>
      </c>
      <c r="AU189" s="1">
        <f t="shared" si="89"/>
        <v>5</v>
      </c>
      <c r="AV189" s="1">
        <f t="shared" si="90"/>
        <v>5</v>
      </c>
      <c r="AW189" s="1">
        <f t="shared" si="91"/>
        <v>5</v>
      </c>
      <c r="AX189" s="1">
        <f t="shared" si="92"/>
        <v>5</v>
      </c>
      <c r="AY189" s="1">
        <f t="shared" si="93"/>
        <v>5</v>
      </c>
      <c r="AZ189" s="1">
        <f t="shared" si="94"/>
        <v>5</v>
      </c>
      <c r="BA189" s="1">
        <f t="shared" si="95"/>
        <v>2</v>
      </c>
      <c r="BB189" s="1">
        <f t="shared" si="96"/>
        <v>5</v>
      </c>
      <c r="BC189" s="1" t="str">
        <f t="shared" si="97"/>
        <v/>
      </c>
      <c r="BD189" s="1" t="str">
        <f t="shared" si="98"/>
        <v/>
      </c>
      <c r="BE189" s="1" t="str">
        <f t="shared" si="99"/>
        <v/>
      </c>
      <c r="BF189" s="1" t="str">
        <f t="shared" si="100"/>
        <v/>
      </c>
      <c r="BG189" s="1" t="str">
        <f t="shared" si="101"/>
        <v/>
      </c>
      <c r="BH189" s="1" t="str">
        <f t="shared" si="102"/>
        <v/>
      </c>
      <c r="BI189" s="1" t="str">
        <f t="shared" si="103"/>
        <v/>
      </c>
      <c r="BJ189" s="1" t="str">
        <f t="shared" si="104"/>
        <v/>
      </c>
    </row>
    <row r="190" ht="14.25" customHeight="1" spans="1:62">
      <c r="A190" s="10">
        <v>186</v>
      </c>
      <c r="B190" s="10" t="s">
        <v>712</v>
      </c>
      <c r="C190" s="10">
        <v>2014</v>
      </c>
      <c r="D190" s="10">
        <f t="shared" si="70"/>
        <v>2010</v>
      </c>
      <c r="E190" s="10" t="s">
        <v>136</v>
      </c>
      <c r="F190" s="35" t="s">
        <v>713</v>
      </c>
      <c r="G190" s="10" t="s">
        <v>714</v>
      </c>
      <c r="H190" s="10" t="s">
        <v>140</v>
      </c>
      <c r="I190" s="10" t="s">
        <v>140</v>
      </c>
      <c r="J190" s="10"/>
      <c r="K190" s="10">
        <v>4</v>
      </c>
      <c r="L190" s="10">
        <v>4</v>
      </c>
      <c r="M190" s="10">
        <v>4</v>
      </c>
      <c r="N190" s="10">
        <v>4</v>
      </c>
      <c r="O190" s="10">
        <v>1</v>
      </c>
      <c r="P190" s="10">
        <v>1</v>
      </c>
      <c r="Q190" s="10">
        <v>2</v>
      </c>
      <c r="R190" s="10">
        <v>4</v>
      </c>
      <c r="S190" s="10">
        <f t="shared" si="71"/>
        <v>0.75</v>
      </c>
      <c r="T190" s="10">
        <f t="shared" si="72"/>
        <v>0.75</v>
      </c>
      <c r="U190" s="10">
        <f t="shared" si="73"/>
        <v>0.75</v>
      </c>
      <c r="V190" s="10">
        <f t="shared" si="74"/>
        <v>0.75</v>
      </c>
      <c r="W190" s="10">
        <f t="shared" si="75"/>
        <v>0</v>
      </c>
      <c r="X190" s="10">
        <f t="shared" si="76"/>
        <v>0</v>
      </c>
      <c r="Y190" s="10">
        <f t="shared" si="77"/>
        <v>0.25</v>
      </c>
      <c r="Z190" s="10">
        <f t="shared" si="78"/>
        <v>0.75</v>
      </c>
      <c r="AA190" s="10" t="str">
        <f t="shared" si="79"/>
        <v/>
      </c>
      <c r="AB190" s="10" t="str">
        <f t="shared" si="80"/>
        <v/>
      </c>
      <c r="AC190" s="10" t="str">
        <f t="shared" si="81"/>
        <v/>
      </c>
      <c r="AD190" s="10" t="str">
        <f t="shared" si="82"/>
        <v/>
      </c>
      <c r="AE190" s="10" t="str">
        <f t="shared" si="83"/>
        <v/>
      </c>
      <c r="AF190" s="10" t="str">
        <f t="shared" si="84"/>
        <v/>
      </c>
      <c r="AG190" s="10" t="str">
        <f t="shared" si="85"/>
        <v/>
      </c>
      <c r="AH190" s="10" t="str">
        <f t="shared" si="86"/>
        <v/>
      </c>
      <c r="AI190" s="10">
        <f>IF(OR(S190="",'4_BENCHMARK'!$C$4=""),"",ABS(S190-'4_BENCHMARK'!$C$4))</f>
        <v>0.25</v>
      </c>
      <c r="AJ190" s="10">
        <f>IF(OR(T190="",'4_BENCHMARK'!$C$5=""),"",ABS(T190-'4_BENCHMARK'!$C$5))</f>
        <v>0.25</v>
      </c>
      <c r="AK190" s="10">
        <f>IF(OR(U190="",'4_BENCHMARK'!$C$6=""),"",ABS(U190-'4_BENCHMARK'!$C$6))</f>
        <v>0.25</v>
      </c>
      <c r="AL190" s="10">
        <f>IF(OR(V190="",'4_BENCHMARK'!$C$7=""),"",ABS(V190-'4_BENCHMARK'!$C$7))</f>
        <v>0.25</v>
      </c>
      <c r="AM190" s="10">
        <f>IF(OR(W190="",'4_BENCHMARK'!$C$8=""),"",ABS(W190-'4_BENCHMARK'!$C$8))</f>
        <v>0</v>
      </c>
      <c r="AN190" s="10">
        <f>IF(OR(X190="",'4_BENCHMARK'!$C$9=""),"",ABS(X190-'4_BENCHMARK'!$C$9))</f>
        <v>0</v>
      </c>
      <c r="AO190" s="10">
        <f>IF(OR(Y190="",'4_BENCHMARK'!$C$10=""),"",ABS(Y190-'4_BENCHMARK'!$C$10))</f>
        <v>0.25</v>
      </c>
      <c r="AP190" s="10">
        <f>IF(OR(Z190="",'4_BENCHMARK'!$C$11=""),"",ABS(Z190-'4_BENCHMARK'!$C$11))</f>
        <v>0.25</v>
      </c>
      <c r="AQ190" s="13">
        <f t="shared" si="87"/>
        <v>0.8125</v>
      </c>
      <c r="AR190" s="10"/>
      <c r="AS190" s="10" t="s">
        <v>145</v>
      </c>
      <c r="AT190" s="13">
        <f t="shared" si="88"/>
        <v>0.75</v>
      </c>
      <c r="AU190" s="1" t="str">
        <f t="shared" si="89"/>
        <v/>
      </c>
      <c r="AV190" s="1" t="str">
        <f t="shared" si="90"/>
        <v/>
      </c>
      <c r="AW190" s="1" t="str">
        <f t="shared" si="91"/>
        <v/>
      </c>
      <c r="AX190" s="1" t="str">
        <f t="shared" si="92"/>
        <v/>
      </c>
      <c r="AY190" s="1" t="str">
        <f t="shared" si="93"/>
        <v/>
      </c>
      <c r="AZ190" s="1" t="str">
        <f t="shared" si="94"/>
        <v/>
      </c>
      <c r="BA190" s="1" t="str">
        <f t="shared" si="95"/>
        <v/>
      </c>
      <c r="BB190" s="1" t="str">
        <f t="shared" si="96"/>
        <v/>
      </c>
      <c r="BC190" s="1">
        <f t="shared" si="97"/>
        <v>4</v>
      </c>
      <c r="BD190" s="1">
        <f t="shared" si="98"/>
        <v>4</v>
      </c>
      <c r="BE190" s="1">
        <f t="shared" si="99"/>
        <v>4</v>
      </c>
      <c r="BF190" s="1">
        <f t="shared" si="100"/>
        <v>4</v>
      </c>
      <c r="BG190" s="1">
        <f t="shared" si="101"/>
        <v>1</v>
      </c>
      <c r="BH190" s="1">
        <f t="shared" si="102"/>
        <v>1</v>
      </c>
      <c r="BI190" s="1">
        <f t="shared" si="103"/>
        <v>2</v>
      </c>
      <c r="BJ190" s="1">
        <f t="shared" si="104"/>
        <v>4</v>
      </c>
    </row>
    <row r="191" ht="14.25" customHeight="1" spans="1:62">
      <c r="A191" s="10">
        <v>187</v>
      </c>
      <c r="B191" s="10" t="s">
        <v>715</v>
      </c>
      <c r="C191" s="10">
        <v>2008</v>
      </c>
      <c r="D191" s="10">
        <f t="shared" si="70"/>
        <v>2000</v>
      </c>
      <c r="E191" s="10" t="s">
        <v>136</v>
      </c>
      <c r="F191" s="35" t="s">
        <v>716</v>
      </c>
      <c r="G191" s="10" t="s">
        <v>717</v>
      </c>
      <c r="H191" s="10" t="s">
        <v>140</v>
      </c>
      <c r="I191" s="10" t="s">
        <v>140</v>
      </c>
      <c r="J191" s="10"/>
      <c r="K191" s="10">
        <v>4</v>
      </c>
      <c r="L191" s="10">
        <v>4</v>
      </c>
      <c r="M191" s="10">
        <v>4</v>
      </c>
      <c r="N191" s="10">
        <v>4</v>
      </c>
      <c r="O191" s="10">
        <v>5</v>
      </c>
      <c r="P191" s="10">
        <v>5</v>
      </c>
      <c r="Q191" s="10">
        <v>2</v>
      </c>
      <c r="R191" s="10">
        <v>5</v>
      </c>
      <c r="S191" s="10">
        <f t="shared" si="71"/>
        <v>0.75</v>
      </c>
      <c r="T191" s="10">
        <f t="shared" si="72"/>
        <v>0.75</v>
      </c>
      <c r="U191" s="10">
        <f t="shared" si="73"/>
        <v>0.75</v>
      </c>
      <c r="V191" s="10">
        <f t="shared" si="74"/>
        <v>0.75</v>
      </c>
      <c r="W191" s="10">
        <f t="shared" si="75"/>
        <v>1</v>
      </c>
      <c r="X191" s="10">
        <f t="shared" si="76"/>
        <v>1</v>
      </c>
      <c r="Y191" s="10">
        <f t="shared" si="77"/>
        <v>0.25</v>
      </c>
      <c r="Z191" s="10">
        <f t="shared" si="78"/>
        <v>1</v>
      </c>
      <c r="AA191" s="10" t="str">
        <f t="shared" si="79"/>
        <v/>
      </c>
      <c r="AB191" s="10" t="str">
        <f t="shared" si="80"/>
        <v/>
      </c>
      <c r="AC191" s="10" t="str">
        <f t="shared" si="81"/>
        <v/>
      </c>
      <c r="AD191" s="10" t="str">
        <f t="shared" si="82"/>
        <v/>
      </c>
      <c r="AE191" s="10" t="str">
        <f t="shared" si="83"/>
        <v/>
      </c>
      <c r="AF191" s="10" t="str">
        <f t="shared" si="84"/>
        <v/>
      </c>
      <c r="AG191" s="10" t="str">
        <f t="shared" si="85"/>
        <v/>
      </c>
      <c r="AH191" s="10" t="str">
        <f t="shared" si="86"/>
        <v/>
      </c>
      <c r="AI191" s="10">
        <f>IF(OR(S191="",'4_BENCHMARK'!$C$4=""),"",ABS(S191-'4_BENCHMARK'!$C$4))</f>
        <v>0.25</v>
      </c>
      <c r="AJ191" s="10">
        <f>IF(OR(T191="",'4_BENCHMARK'!$C$5=""),"",ABS(T191-'4_BENCHMARK'!$C$5))</f>
        <v>0.25</v>
      </c>
      <c r="AK191" s="10">
        <f>IF(OR(U191="",'4_BENCHMARK'!$C$6=""),"",ABS(U191-'4_BENCHMARK'!$C$6))</f>
        <v>0.25</v>
      </c>
      <c r="AL191" s="10">
        <f>IF(OR(V191="",'4_BENCHMARK'!$C$7=""),"",ABS(V191-'4_BENCHMARK'!$C$7))</f>
        <v>0.25</v>
      </c>
      <c r="AM191" s="10">
        <f>IF(OR(W191="",'4_BENCHMARK'!$C$8=""),"",ABS(W191-'4_BENCHMARK'!$C$8))</f>
        <v>1</v>
      </c>
      <c r="AN191" s="10">
        <f>IF(OR(X191="",'4_BENCHMARK'!$C$9=""),"",ABS(X191-'4_BENCHMARK'!$C$9))</f>
        <v>1</v>
      </c>
      <c r="AO191" s="10">
        <f>IF(OR(Y191="",'4_BENCHMARK'!$C$10=""),"",ABS(Y191-'4_BENCHMARK'!$C$10))</f>
        <v>0.25</v>
      </c>
      <c r="AP191" s="10">
        <f>IF(OR(Z191="",'4_BENCHMARK'!$C$11=""),"",ABS(Z191-'4_BENCHMARK'!$C$11))</f>
        <v>0</v>
      </c>
      <c r="AQ191" s="13">
        <f t="shared" si="87"/>
        <v>0.59375</v>
      </c>
      <c r="AR191" s="10"/>
      <c r="AS191" s="10" t="s">
        <v>145</v>
      </c>
      <c r="AT191" s="13">
        <f t="shared" si="88"/>
        <v>0.791666666666667</v>
      </c>
      <c r="AU191" s="1" t="str">
        <f t="shared" si="89"/>
        <v/>
      </c>
      <c r="AV191" s="1" t="str">
        <f t="shared" si="90"/>
        <v/>
      </c>
      <c r="AW191" s="1" t="str">
        <f t="shared" si="91"/>
        <v/>
      </c>
      <c r="AX191" s="1" t="str">
        <f t="shared" si="92"/>
        <v/>
      </c>
      <c r="AY191" s="1" t="str">
        <f t="shared" si="93"/>
        <v/>
      </c>
      <c r="AZ191" s="1" t="str">
        <f t="shared" si="94"/>
        <v/>
      </c>
      <c r="BA191" s="1" t="str">
        <f t="shared" si="95"/>
        <v/>
      </c>
      <c r="BB191" s="1" t="str">
        <f t="shared" si="96"/>
        <v/>
      </c>
      <c r="BC191" s="1">
        <f t="shared" si="97"/>
        <v>4</v>
      </c>
      <c r="BD191" s="1">
        <f t="shared" si="98"/>
        <v>4</v>
      </c>
      <c r="BE191" s="1">
        <f t="shared" si="99"/>
        <v>4</v>
      </c>
      <c r="BF191" s="1">
        <f t="shared" si="100"/>
        <v>4</v>
      </c>
      <c r="BG191" s="1">
        <f t="shared" si="101"/>
        <v>5</v>
      </c>
      <c r="BH191" s="1">
        <f t="shared" si="102"/>
        <v>5</v>
      </c>
      <c r="BI191" s="1">
        <f t="shared" si="103"/>
        <v>2</v>
      </c>
      <c r="BJ191" s="1">
        <f t="shared" si="104"/>
        <v>5</v>
      </c>
    </row>
    <row r="192" ht="14.25" customHeight="1" spans="1:62">
      <c r="A192" s="10">
        <v>188</v>
      </c>
      <c r="B192" s="10" t="s">
        <v>718</v>
      </c>
      <c r="C192" s="10">
        <v>1920</v>
      </c>
      <c r="D192" s="10">
        <f t="shared" si="70"/>
        <v>1920</v>
      </c>
      <c r="E192" s="10" t="s">
        <v>136</v>
      </c>
      <c r="F192" s="35" t="s">
        <v>719</v>
      </c>
      <c r="G192" s="10" t="s">
        <v>720</v>
      </c>
      <c r="H192" s="10" t="s">
        <v>140</v>
      </c>
      <c r="I192" s="10" t="s">
        <v>140</v>
      </c>
      <c r="J192" s="10"/>
      <c r="K192" s="10">
        <v>5</v>
      </c>
      <c r="L192" s="10">
        <v>5</v>
      </c>
      <c r="M192" s="10">
        <v>5</v>
      </c>
      <c r="N192" s="10">
        <v>5</v>
      </c>
      <c r="O192" s="10">
        <v>5</v>
      </c>
      <c r="P192" s="10">
        <v>5</v>
      </c>
      <c r="Q192" s="10">
        <v>3</v>
      </c>
      <c r="R192" s="10">
        <v>5</v>
      </c>
      <c r="S192" s="10">
        <f t="shared" si="71"/>
        <v>1</v>
      </c>
      <c r="T192" s="10">
        <f t="shared" si="72"/>
        <v>1</v>
      </c>
      <c r="U192" s="10">
        <f t="shared" si="73"/>
        <v>1</v>
      </c>
      <c r="V192" s="10">
        <f t="shared" si="74"/>
        <v>1</v>
      </c>
      <c r="W192" s="10">
        <f t="shared" si="75"/>
        <v>1</v>
      </c>
      <c r="X192" s="10">
        <f t="shared" si="76"/>
        <v>1</v>
      </c>
      <c r="Y192" s="10">
        <f t="shared" si="77"/>
        <v>0.5</v>
      </c>
      <c r="Z192" s="10">
        <f t="shared" si="78"/>
        <v>1</v>
      </c>
      <c r="AA192" s="10">
        <f t="shared" si="79"/>
        <v>1</v>
      </c>
      <c r="AB192" s="10">
        <f t="shared" si="80"/>
        <v>1</v>
      </c>
      <c r="AC192" s="10">
        <f t="shared" si="81"/>
        <v>1</v>
      </c>
      <c r="AD192" s="10">
        <f t="shared" si="82"/>
        <v>1</v>
      </c>
      <c r="AE192" s="10">
        <f t="shared" si="83"/>
        <v>1</v>
      </c>
      <c r="AF192" s="10">
        <f t="shared" si="84"/>
        <v>1</v>
      </c>
      <c r="AG192" s="10">
        <f t="shared" si="85"/>
        <v>0.5</v>
      </c>
      <c r="AH192" s="10">
        <f t="shared" si="86"/>
        <v>1</v>
      </c>
      <c r="AI192" s="10">
        <f>IF(OR(S192="",'4_BENCHMARK'!$C$4=""),"",ABS(S192-'4_BENCHMARK'!$C$4))</f>
        <v>0</v>
      </c>
      <c r="AJ192" s="10">
        <f>IF(OR(T192="",'4_BENCHMARK'!$C$5=""),"",ABS(T192-'4_BENCHMARK'!$C$5))</f>
        <v>0</v>
      </c>
      <c r="AK192" s="10">
        <f>IF(OR(U192="",'4_BENCHMARK'!$C$6=""),"",ABS(U192-'4_BENCHMARK'!$C$6))</f>
        <v>0</v>
      </c>
      <c r="AL192" s="10">
        <f>IF(OR(V192="",'4_BENCHMARK'!$C$7=""),"",ABS(V192-'4_BENCHMARK'!$C$7))</f>
        <v>0</v>
      </c>
      <c r="AM192" s="10">
        <f>IF(OR(W192="",'4_BENCHMARK'!$C$8=""),"",ABS(W192-'4_BENCHMARK'!$C$8))</f>
        <v>1</v>
      </c>
      <c r="AN192" s="10">
        <f>IF(OR(X192="",'4_BENCHMARK'!$C$9=""),"",ABS(X192-'4_BENCHMARK'!$C$9))</f>
        <v>1</v>
      </c>
      <c r="AO192" s="10">
        <f>IF(OR(Y192="",'4_BENCHMARK'!$C$10=""),"",ABS(Y192-'4_BENCHMARK'!$C$10))</f>
        <v>0</v>
      </c>
      <c r="AP192" s="10">
        <f>IF(OR(Z192="",'4_BENCHMARK'!$C$11=""),"",ABS(Z192-'4_BENCHMARK'!$C$11))</f>
        <v>0</v>
      </c>
      <c r="AQ192" s="13">
        <f t="shared" si="87"/>
        <v>0.75</v>
      </c>
      <c r="AR192" s="10"/>
      <c r="AS192" s="10" t="s">
        <v>141</v>
      </c>
      <c r="AT192" s="13">
        <f t="shared" si="88"/>
        <v>1</v>
      </c>
      <c r="AU192" s="1">
        <f t="shared" si="89"/>
        <v>5</v>
      </c>
      <c r="AV192" s="1">
        <f t="shared" si="90"/>
        <v>5</v>
      </c>
      <c r="AW192" s="1">
        <f t="shared" si="91"/>
        <v>5</v>
      </c>
      <c r="AX192" s="1">
        <f t="shared" si="92"/>
        <v>5</v>
      </c>
      <c r="AY192" s="1">
        <f t="shared" si="93"/>
        <v>5</v>
      </c>
      <c r="AZ192" s="1">
        <f t="shared" si="94"/>
        <v>5</v>
      </c>
      <c r="BA192" s="1">
        <f t="shared" si="95"/>
        <v>3</v>
      </c>
      <c r="BB192" s="1">
        <f t="shared" si="96"/>
        <v>5</v>
      </c>
      <c r="BC192" s="1" t="str">
        <f t="shared" si="97"/>
        <v/>
      </c>
      <c r="BD192" s="1" t="str">
        <f t="shared" si="98"/>
        <v/>
      </c>
      <c r="BE192" s="1" t="str">
        <f t="shared" si="99"/>
        <v/>
      </c>
      <c r="BF192" s="1" t="str">
        <f t="shared" si="100"/>
        <v/>
      </c>
      <c r="BG192" s="1" t="str">
        <f t="shared" si="101"/>
        <v/>
      </c>
      <c r="BH192" s="1" t="str">
        <f t="shared" si="102"/>
        <v/>
      </c>
      <c r="BI192" s="1" t="str">
        <f t="shared" si="103"/>
        <v/>
      </c>
      <c r="BJ192" s="1" t="str">
        <f t="shared" si="104"/>
        <v/>
      </c>
    </row>
    <row r="193" ht="14.25" customHeight="1" spans="1:62">
      <c r="A193" s="10">
        <v>189</v>
      </c>
      <c r="B193" s="10" t="s">
        <v>721</v>
      </c>
      <c r="C193" s="10">
        <v>2022</v>
      </c>
      <c r="D193" s="10">
        <f t="shared" si="70"/>
        <v>2020</v>
      </c>
      <c r="E193" s="10" t="s">
        <v>136</v>
      </c>
      <c r="F193" s="35" t="s">
        <v>722</v>
      </c>
      <c r="G193" s="10" t="s">
        <v>723</v>
      </c>
      <c r="H193" s="10" t="s">
        <v>139</v>
      </c>
      <c r="I193" s="10" t="s">
        <v>140</v>
      </c>
      <c r="J193" s="10"/>
      <c r="K193" s="10">
        <v>4</v>
      </c>
      <c r="L193" s="10">
        <v>4</v>
      </c>
      <c r="M193" s="10">
        <v>4</v>
      </c>
      <c r="N193" s="10">
        <v>4</v>
      </c>
      <c r="O193" s="10">
        <v>3</v>
      </c>
      <c r="P193" s="10">
        <v>1</v>
      </c>
      <c r="Q193" s="10">
        <v>2</v>
      </c>
      <c r="R193" s="10">
        <v>4</v>
      </c>
      <c r="S193" s="10">
        <f t="shared" si="71"/>
        <v>0.75</v>
      </c>
      <c r="T193" s="10">
        <f t="shared" si="72"/>
        <v>0.75</v>
      </c>
      <c r="U193" s="10">
        <f t="shared" si="73"/>
        <v>0.75</v>
      </c>
      <c r="V193" s="10">
        <f t="shared" si="74"/>
        <v>0.75</v>
      </c>
      <c r="W193" s="10">
        <f t="shared" si="75"/>
        <v>0.5</v>
      </c>
      <c r="X193" s="10">
        <f t="shared" si="76"/>
        <v>0</v>
      </c>
      <c r="Y193" s="10">
        <f t="shared" si="77"/>
        <v>0.25</v>
      </c>
      <c r="Z193" s="10">
        <f t="shared" si="78"/>
        <v>0.75</v>
      </c>
      <c r="AA193" s="10" t="str">
        <f t="shared" si="79"/>
        <v/>
      </c>
      <c r="AB193" s="10" t="str">
        <f t="shared" si="80"/>
        <v/>
      </c>
      <c r="AC193" s="10" t="str">
        <f t="shared" si="81"/>
        <v/>
      </c>
      <c r="AD193" s="10" t="str">
        <f t="shared" si="82"/>
        <v/>
      </c>
      <c r="AE193" s="10" t="str">
        <f t="shared" si="83"/>
        <v/>
      </c>
      <c r="AF193" s="10" t="str">
        <f t="shared" si="84"/>
        <v/>
      </c>
      <c r="AG193" s="10" t="str">
        <f t="shared" si="85"/>
        <v/>
      </c>
      <c r="AH193" s="10" t="str">
        <f t="shared" si="86"/>
        <v/>
      </c>
      <c r="AI193" s="10">
        <f>IF(OR(S193="",'4_BENCHMARK'!$C$4=""),"",ABS(S193-'4_BENCHMARK'!$C$4))</f>
        <v>0.25</v>
      </c>
      <c r="AJ193" s="10">
        <f>IF(OR(T193="",'4_BENCHMARK'!$C$5=""),"",ABS(T193-'4_BENCHMARK'!$C$5))</f>
        <v>0.25</v>
      </c>
      <c r="AK193" s="10">
        <f>IF(OR(U193="",'4_BENCHMARK'!$C$6=""),"",ABS(U193-'4_BENCHMARK'!$C$6))</f>
        <v>0.25</v>
      </c>
      <c r="AL193" s="10">
        <f>IF(OR(V193="",'4_BENCHMARK'!$C$7=""),"",ABS(V193-'4_BENCHMARK'!$C$7))</f>
        <v>0.25</v>
      </c>
      <c r="AM193" s="10">
        <f>IF(OR(W193="",'4_BENCHMARK'!$C$8=""),"",ABS(W193-'4_BENCHMARK'!$C$8))</f>
        <v>0.5</v>
      </c>
      <c r="AN193" s="10">
        <f>IF(OR(X193="",'4_BENCHMARK'!$C$9=""),"",ABS(X193-'4_BENCHMARK'!$C$9))</f>
        <v>0</v>
      </c>
      <c r="AO193" s="10">
        <f>IF(OR(Y193="",'4_BENCHMARK'!$C$10=""),"",ABS(Y193-'4_BENCHMARK'!$C$10))</f>
        <v>0.25</v>
      </c>
      <c r="AP193" s="10">
        <f>IF(OR(Z193="",'4_BENCHMARK'!$C$11=""),"",ABS(Z193-'4_BENCHMARK'!$C$11))</f>
        <v>0.25</v>
      </c>
      <c r="AQ193" s="13">
        <f t="shared" si="87"/>
        <v>0.75</v>
      </c>
      <c r="AR193" s="10"/>
      <c r="AS193" s="10" t="s">
        <v>145</v>
      </c>
      <c r="AT193" s="13">
        <f t="shared" si="88"/>
        <v>0.75</v>
      </c>
      <c r="AU193" s="1" t="str">
        <f t="shared" si="89"/>
        <v/>
      </c>
      <c r="AV193" s="1" t="str">
        <f t="shared" si="90"/>
        <v/>
      </c>
      <c r="AW193" s="1" t="str">
        <f t="shared" si="91"/>
        <v/>
      </c>
      <c r="AX193" s="1" t="str">
        <f t="shared" si="92"/>
        <v/>
      </c>
      <c r="AY193" s="1" t="str">
        <f t="shared" si="93"/>
        <v/>
      </c>
      <c r="AZ193" s="1" t="str">
        <f t="shared" si="94"/>
        <v/>
      </c>
      <c r="BA193" s="1" t="str">
        <f t="shared" si="95"/>
        <v/>
      </c>
      <c r="BB193" s="1" t="str">
        <f t="shared" si="96"/>
        <v/>
      </c>
      <c r="BC193" s="1">
        <f t="shared" si="97"/>
        <v>4</v>
      </c>
      <c r="BD193" s="1">
        <f t="shared" si="98"/>
        <v>4</v>
      </c>
      <c r="BE193" s="1">
        <f t="shared" si="99"/>
        <v>4</v>
      </c>
      <c r="BF193" s="1">
        <f t="shared" si="100"/>
        <v>4</v>
      </c>
      <c r="BG193" s="1">
        <f t="shared" si="101"/>
        <v>3</v>
      </c>
      <c r="BH193" s="1">
        <f t="shared" si="102"/>
        <v>1</v>
      </c>
      <c r="BI193" s="1">
        <f t="shared" si="103"/>
        <v>2</v>
      </c>
      <c r="BJ193" s="1">
        <f t="shared" si="104"/>
        <v>4</v>
      </c>
    </row>
    <row r="194" ht="14.25" customHeight="1" spans="1:62">
      <c r="A194" s="10">
        <v>190</v>
      </c>
      <c r="B194" s="10" t="s">
        <v>724</v>
      </c>
      <c r="C194" s="10">
        <v>2012</v>
      </c>
      <c r="D194" s="10">
        <f t="shared" si="70"/>
        <v>2010</v>
      </c>
      <c r="E194" s="10" t="s">
        <v>136</v>
      </c>
      <c r="F194" s="35" t="s">
        <v>725</v>
      </c>
      <c r="G194" s="10" t="s">
        <v>726</v>
      </c>
      <c r="H194" s="10" t="s">
        <v>139</v>
      </c>
      <c r="I194" s="10" t="s">
        <v>140</v>
      </c>
      <c r="J194" s="10"/>
      <c r="K194" s="10">
        <v>3</v>
      </c>
      <c r="L194" s="10">
        <v>2</v>
      </c>
      <c r="M194" s="10">
        <v>2</v>
      </c>
      <c r="N194" s="10">
        <v>3</v>
      </c>
      <c r="O194" s="10">
        <v>1</v>
      </c>
      <c r="P194" s="10">
        <v>1</v>
      </c>
      <c r="Q194" s="10">
        <v>2</v>
      </c>
      <c r="R194" s="10">
        <v>4</v>
      </c>
      <c r="S194" s="10">
        <f t="shared" si="71"/>
        <v>0.5</v>
      </c>
      <c r="T194" s="10">
        <f t="shared" si="72"/>
        <v>0.25</v>
      </c>
      <c r="U194" s="10">
        <f t="shared" si="73"/>
        <v>0.25</v>
      </c>
      <c r="V194" s="10">
        <f t="shared" si="74"/>
        <v>0.5</v>
      </c>
      <c r="W194" s="10">
        <f t="shared" si="75"/>
        <v>0</v>
      </c>
      <c r="X194" s="10">
        <f t="shared" si="76"/>
        <v>0</v>
      </c>
      <c r="Y194" s="10">
        <f t="shared" si="77"/>
        <v>0.25</v>
      </c>
      <c r="Z194" s="10">
        <f t="shared" si="78"/>
        <v>0.75</v>
      </c>
      <c r="AA194" s="10" t="str">
        <f t="shared" si="79"/>
        <v/>
      </c>
      <c r="AB194" s="10" t="str">
        <f t="shared" si="80"/>
        <v/>
      </c>
      <c r="AC194" s="10" t="str">
        <f t="shared" si="81"/>
        <v/>
      </c>
      <c r="AD194" s="10" t="str">
        <f t="shared" si="82"/>
        <v/>
      </c>
      <c r="AE194" s="10" t="str">
        <f t="shared" si="83"/>
        <v/>
      </c>
      <c r="AF194" s="10" t="str">
        <f t="shared" si="84"/>
        <v/>
      </c>
      <c r="AG194" s="10" t="str">
        <f t="shared" si="85"/>
        <v/>
      </c>
      <c r="AH194" s="10" t="str">
        <f t="shared" si="86"/>
        <v/>
      </c>
      <c r="AI194" s="10">
        <f>IF(OR(S194="",'4_BENCHMARK'!$C$4=""),"",ABS(S194-'4_BENCHMARK'!$C$4))</f>
        <v>0.5</v>
      </c>
      <c r="AJ194" s="10">
        <f>IF(OR(T194="",'4_BENCHMARK'!$C$5=""),"",ABS(T194-'4_BENCHMARK'!$C$5))</f>
        <v>0.75</v>
      </c>
      <c r="AK194" s="10">
        <f>IF(OR(U194="",'4_BENCHMARK'!$C$6=""),"",ABS(U194-'4_BENCHMARK'!$C$6))</f>
        <v>0.75</v>
      </c>
      <c r="AL194" s="10">
        <f>IF(OR(V194="",'4_BENCHMARK'!$C$7=""),"",ABS(V194-'4_BENCHMARK'!$C$7))</f>
        <v>0.5</v>
      </c>
      <c r="AM194" s="10">
        <f>IF(OR(W194="",'4_BENCHMARK'!$C$8=""),"",ABS(W194-'4_BENCHMARK'!$C$8))</f>
        <v>0</v>
      </c>
      <c r="AN194" s="10">
        <f>IF(OR(X194="",'4_BENCHMARK'!$C$9=""),"",ABS(X194-'4_BENCHMARK'!$C$9))</f>
        <v>0</v>
      </c>
      <c r="AO194" s="10">
        <f>IF(OR(Y194="",'4_BENCHMARK'!$C$10=""),"",ABS(Y194-'4_BENCHMARK'!$C$10))</f>
        <v>0.25</v>
      </c>
      <c r="AP194" s="10">
        <f>IF(OR(Z194="",'4_BENCHMARK'!$C$11=""),"",ABS(Z194-'4_BENCHMARK'!$C$11))</f>
        <v>0.25</v>
      </c>
      <c r="AQ194" s="13">
        <f t="shared" si="87"/>
        <v>0.625</v>
      </c>
      <c r="AR194" s="10" t="s">
        <v>140</v>
      </c>
      <c r="AS194" s="10" t="s">
        <v>145</v>
      </c>
      <c r="AT194" s="13">
        <f t="shared" si="88"/>
        <v>0.5</v>
      </c>
      <c r="AU194" s="1" t="str">
        <f t="shared" si="89"/>
        <v/>
      </c>
      <c r="AV194" s="1" t="str">
        <f t="shared" si="90"/>
        <v/>
      </c>
      <c r="AW194" s="1" t="str">
        <f t="shared" si="91"/>
        <v/>
      </c>
      <c r="AX194" s="1" t="str">
        <f t="shared" si="92"/>
        <v/>
      </c>
      <c r="AY194" s="1" t="str">
        <f t="shared" si="93"/>
        <v/>
      </c>
      <c r="AZ194" s="1" t="str">
        <f t="shared" si="94"/>
        <v/>
      </c>
      <c r="BA194" s="1" t="str">
        <f t="shared" si="95"/>
        <v/>
      </c>
      <c r="BB194" s="1" t="str">
        <f t="shared" si="96"/>
        <v/>
      </c>
      <c r="BC194" s="1">
        <f t="shared" si="97"/>
        <v>3</v>
      </c>
      <c r="BD194" s="1">
        <f t="shared" si="98"/>
        <v>2</v>
      </c>
      <c r="BE194" s="1">
        <f t="shared" si="99"/>
        <v>2</v>
      </c>
      <c r="BF194" s="1">
        <f t="shared" si="100"/>
        <v>3</v>
      </c>
      <c r="BG194" s="1">
        <f t="shared" si="101"/>
        <v>1</v>
      </c>
      <c r="BH194" s="1">
        <f t="shared" si="102"/>
        <v>1</v>
      </c>
      <c r="BI194" s="1">
        <f t="shared" si="103"/>
        <v>2</v>
      </c>
      <c r="BJ194" s="1">
        <f t="shared" si="104"/>
        <v>4</v>
      </c>
    </row>
    <row r="195" ht="14.25" customHeight="1" spans="1:62">
      <c r="A195" s="10">
        <v>191</v>
      </c>
      <c r="B195" s="10" t="s">
        <v>727</v>
      </c>
      <c r="C195" s="10">
        <v>1870</v>
      </c>
      <c r="D195" s="10">
        <f t="shared" si="70"/>
        <v>1870</v>
      </c>
      <c r="E195" s="10" t="s">
        <v>136</v>
      </c>
      <c r="F195" s="35" t="s">
        <v>728</v>
      </c>
      <c r="G195" s="10" t="s">
        <v>729</v>
      </c>
      <c r="H195" s="10" t="s">
        <v>139</v>
      </c>
      <c r="I195" s="10" t="s">
        <v>140</v>
      </c>
      <c r="J195" s="10"/>
      <c r="K195" s="10">
        <v>5</v>
      </c>
      <c r="L195" s="10">
        <v>4</v>
      </c>
      <c r="M195" s="10">
        <v>5</v>
      </c>
      <c r="N195" s="10">
        <v>5</v>
      </c>
      <c r="O195" s="10">
        <v>1</v>
      </c>
      <c r="P195" s="10">
        <v>1</v>
      </c>
      <c r="Q195" s="10">
        <v>2</v>
      </c>
      <c r="R195" s="10">
        <v>5</v>
      </c>
      <c r="S195" s="10">
        <f t="shared" si="71"/>
        <v>1</v>
      </c>
      <c r="T195" s="10">
        <f t="shared" si="72"/>
        <v>0.75</v>
      </c>
      <c r="U195" s="10">
        <f t="shared" si="73"/>
        <v>1</v>
      </c>
      <c r="V195" s="10">
        <f t="shared" si="74"/>
        <v>1</v>
      </c>
      <c r="W195" s="10">
        <f t="shared" si="75"/>
        <v>0</v>
      </c>
      <c r="X195" s="10">
        <f t="shared" si="76"/>
        <v>0</v>
      </c>
      <c r="Y195" s="10">
        <f t="shared" si="77"/>
        <v>0.25</v>
      </c>
      <c r="Z195" s="10">
        <f t="shared" si="78"/>
        <v>1</v>
      </c>
      <c r="AA195" s="10">
        <f t="shared" si="79"/>
        <v>1</v>
      </c>
      <c r="AB195" s="10">
        <f t="shared" si="80"/>
        <v>0.75</v>
      </c>
      <c r="AC195" s="10">
        <f t="shared" si="81"/>
        <v>1</v>
      </c>
      <c r="AD195" s="10">
        <f t="shared" si="82"/>
        <v>1</v>
      </c>
      <c r="AE195" s="10">
        <f t="shared" si="83"/>
        <v>0</v>
      </c>
      <c r="AF195" s="10">
        <f t="shared" si="84"/>
        <v>0</v>
      </c>
      <c r="AG195" s="10">
        <f t="shared" si="85"/>
        <v>0.25</v>
      </c>
      <c r="AH195" s="10">
        <f t="shared" si="86"/>
        <v>1</v>
      </c>
      <c r="AI195" s="10">
        <f>IF(OR(S195="",'4_BENCHMARK'!$C$4=""),"",ABS(S195-'4_BENCHMARK'!$C$4))</f>
        <v>0</v>
      </c>
      <c r="AJ195" s="10">
        <f>IF(OR(T195="",'4_BENCHMARK'!$C$5=""),"",ABS(T195-'4_BENCHMARK'!$C$5))</f>
        <v>0.25</v>
      </c>
      <c r="AK195" s="10">
        <f>IF(OR(U195="",'4_BENCHMARK'!$C$6=""),"",ABS(U195-'4_BENCHMARK'!$C$6))</f>
        <v>0</v>
      </c>
      <c r="AL195" s="10">
        <f>IF(OR(V195="",'4_BENCHMARK'!$C$7=""),"",ABS(V195-'4_BENCHMARK'!$C$7))</f>
        <v>0</v>
      </c>
      <c r="AM195" s="10">
        <f>IF(OR(W195="",'4_BENCHMARK'!$C$8=""),"",ABS(W195-'4_BENCHMARK'!$C$8))</f>
        <v>0</v>
      </c>
      <c r="AN195" s="10">
        <f>IF(OR(X195="",'4_BENCHMARK'!$C$9=""),"",ABS(X195-'4_BENCHMARK'!$C$9))</f>
        <v>0</v>
      </c>
      <c r="AO195" s="10">
        <f>IF(OR(Y195="",'4_BENCHMARK'!$C$10=""),"",ABS(Y195-'4_BENCHMARK'!$C$10))</f>
        <v>0.25</v>
      </c>
      <c r="AP195" s="10">
        <f>IF(OR(Z195="",'4_BENCHMARK'!$C$11=""),"",ABS(Z195-'4_BENCHMARK'!$C$11))</f>
        <v>0</v>
      </c>
      <c r="AQ195" s="13">
        <f t="shared" si="87"/>
        <v>0.9375</v>
      </c>
      <c r="AR195" s="10"/>
      <c r="AS195" s="10" t="s">
        <v>141</v>
      </c>
      <c r="AT195" s="13">
        <f t="shared" si="88"/>
        <v>0.916666666666667</v>
      </c>
      <c r="AU195" s="1">
        <f t="shared" si="89"/>
        <v>5</v>
      </c>
      <c r="AV195" s="1">
        <f t="shared" si="90"/>
        <v>4</v>
      </c>
      <c r="AW195" s="1">
        <f t="shared" si="91"/>
        <v>5</v>
      </c>
      <c r="AX195" s="1">
        <f t="shared" si="92"/>
        <v>5</v>
      </c>
      <c r="AY195" s="1">
        <f t="shared" si="93"/>
        <v>1</v>
      </c>
      <c r="AZ195" s="1">
        <f t="shared" si="94"/>
        <v>1</v>
      </c>
      <c r="BA195" s="1">
        <f t="shared" si="95"/>
        <v>2</v>
      </c>
      <c r="BB195" s="1">
        <f t="shared" si="96"/>
        <v>5</v>
      </c>
      <c r="BC195" s="1" t="str">
        <f t="shared" si="97"/>
        <v/>
      </c>
      <c r="BD195" s="1" t="str">
        <f t="shared" si="98"/>
        <v/>
      </c>
      <c r="BE195" s="1" t="str">
        <f t="shared" si="99"/>
        <v/>
      </c>
      <c r="BF195" s="1" t="str">
        <f t="shared" si="100"/>
        <v/>
      </c>
      <c r="BG195" s="1" t="str">
        <f t="shared" si="101"/>
        <v/>
      </c>
      <c r="BH195" s="1" t="str">
        <f t="shared" si="102"/>
        <v/>
      </c>
      <c r="BI195" s="1" t="str">
        <f t="shared" si="103"/>
        <v/>
      </c>
      <c r="BJ195" s="1" t="str">
        <f t="shared" si="104"/>
        <v/>
      </c>
    </row>
    <row r="196" ht="14.25" customHeight="1" spans="1:62">
      <c r="A196" s="10">
        <v>192</v>
      </c>
      <c r="B196" s="10" t="s">
        <v>730</v>
      </c>
      <c r="C196" s="10">
        <v>2016</v>
      </c>
      <c r="D196" s="10">
        <f t="shared" si="70"/>
        <v>2010</v>
      </c>
      <c r="E196" s="10" t="s">
        <v>136</v>
      </c>
      <c r="F196" s="35" t="s">
        <v>731</v>
      </c>
      <c r="G196" s="10" t="s">
        <v>732</v>
      </c>
      <c r="H196" s="10" t="s">
        <v>140</v>
      </c>
      <c r="I196" s="10" t="s">
        <v>140</v>
      </c>
      <c r="J196" s="10"/>
      <c r="K196" s="10">
        <v>5</v>
      </c>
      <c r="L196" s="10">
        <v>5</v>
      </c>
      <c r="M196" s="10">
        <v>5</v>
      </c>
      <c r="N196" s="10">
        <v>5</v>
      </c>
      <c r="O196" s="10">
        <v>5</v>
      </c>
      <c r="P196" s="10">
        <v>5</v>
      </c>
      <c r="Q196" s="10">
        <v>2</v>
      </c>
      <c r="R196" s="10">
        <v>5</v>
      </c>
      <c r="S196" s="10">
        <f t="shared" si="71"/>
        <v>1</v>
      </c>
      <c r="T196" s="10">
        <f t="shared" si="72"/>
        <v>1</v>
      </c>
      <c r="U196" s="10">
        <f t="shared" si="73"/>
        <v>1</v>
      </c>
      <c r="V196" s="10">
        <f t="shared" si="74"/>
        <v>1</v>
      </c>
      <c r="W196" s="10">
        <f t="shared" si="75"/>
        <v>1</v>
      </c>
      <c r="X196" s="10">
        <f t="shared" si="76"/>
        <v>1</v>
      </c>
      <c r="Y196" s="10">
        <f t="shared" si="77"/>
        <v>0.25</v>
      </c>
      <c r="Z196" s="10">
        <f t="shared" si="78"/>
        <v>1</v>
      </c>
      <c r="AA196" s="10" t="str">
        <f t="shared" si="79"/>
        <v/>
      </c>
      <c r="AB196" s="10" t="str">
        <f t="shared" si="80"/>
        <v/>
      </c>
      <c r="AC196" s="10" t="str">
        <f t="shared" si="81"/>
        <v/>
      </c>
      <c r="AD196" s="10" t="str">
        <f t="shared" si="82"/>
        <v/>
      </c>
      <c r="AE196" s="10" t="str">
        <f t="shared" si="83"/>
        <v/>
      </c>
      <c r="AF196" s="10" t="str">
        <f t="shared" si="84"/>
        <v/>
      </c>
      <c r="AG196" s="10" t="str">
        <f t="shared" si="85"/>
        <v/>
      </c>
      <c r="AH196" s="10" t="str">
        <f t="shared" si="86"/>
        <v/>
      </c>
      <c r="AI196" s="10">
        <f>IF(OR(S196="",'4_BENCHMARK'!$C$4=""),"",ABS(S196-'4_BENCHMARK'!$C$4))</f>
        <v>0</v>
      </c>
      <c r="AJ196" s="10">
        <f>IF(OR(T196="",'4_BENCHMARK'!$C$5=""),"",ABS(T196-'4_BENCHMARK'!$C$5))</f>
        <v>0</v>
      </c>
      <c r="AK196" s="10">
        <f>IF(OR(U196="",'4_BENCHMARK'!$C$6=""),"",ABS(U196-'4_BENCHMARK'!$C$6))</f>
        <v>0</v>
      </c>
      <c r="AL196" s="10">
        <f>IF(OR(V196="",'4_BENCHMARK'!$C$7=""),"",ABS(V196-'4_BENCHMARK'!$C$7))</f>
        <v>0</v>
      </c>
      <c r="AM196" s="10">
        <f>IF(OR(W196="",'4_BENCHMARK'!$C$8=""),"",ABS(W196-'4_BENCHMARK'!$C$8))</f>
        <v>1</v>
      </c>
      <c r="AN196" s="10">
        <f>IF(OR(X196="",'4_BENCHMARK'!$C$9=""),"",ABS(X196-'4_BENCHMARK'!$C$9))</f>
        <v>1</v>
      </c>
      <c r="AO196" s="10">
        <f>IF(OR(Y196="",'4_BENCHMARK'!$C$10=""),"",ABS(Y196-'4_BENCHMARK'!$C$10))</f>
        <v>0.25</v>
      </c>
      <c r="AP196" s="10">
        <f>IF(OR(Z196="",'4_BENCHMARK'!$C$11=""),"",ABS(Z196-'4_BENCHMARK'!$C$11))</f>
        <v>0</v>
      </c>
      <c r="AQ196" s="13">
        <f t="shared" si="87"/>
        <v>0.71875</v>
      </c>
      <c r="AR196" s="10"/>
      <c r="AS196" s="10" t="s">
        <v>230</v>
      </c>
      <c r="AT196" s="13">
        <f t="shared" si="88"/>
        <v>0.958333333333333</v>
      </c>
      <c r="AU196" s="1" t="str">
        <f t="shared" si="89"/>
        <v/>
      </c>
      <c r="AV196" s="1" t="str">
        <f t="shared" si="90"/>
        <v/>
      </c>
      <c r="AW196" s="1" t="str">
        <f t="shared" si="91"/>
        <v/>
      </c>
      <c r="AX196" s="1" t="str">
        <f t="shared" si="92"/>
        <v/>
      </c>
      <c r="AY196" s="1" t="str">
        <f t="shared" si="93"/>
        <v/>
      </c>
      <c r="AZ196" s="1" t="str">
        <f t="shared" si="94"/>
        <v/>
      </c>
      <c r="BA196" s="1" t="str">
        <f t="shared" si="95"/>
        <v/>
      </c>
      <c r="BB196" s="1" t="str">
        <f t="shared" si="96"/>
        <v/>
      </c>
      <c r="BC196" s="1">
        <f t="shared" si="97"/>
        <v>5</v>
      </c>
      <c r="BD196" s="1">
        <f t="shared" si="98"/>
        <v>5</v>
      </c>
      <c r="BE196" s="1">
        <f t="shared" si="99"/>
        <v>5</v>
      </c>
      <c r="BF196" s="1">
        <f t="shared" si="100"/>
        <v>5</v>
      </c>
      <c r="BG196" s="1">
        <f t="shared" si="101"/>
        <v>5</v>
      </c>
      <c r="BH196" s="1">
        <f t="shared" si="102"/>
        <v>5</v>
      </c>
      <c r="BI196" s="1">
        <f t="shared" si="103"/>
        <v>2</v>
      </c>
      <c r="BJ196" s="1">
        <f t="shared" si="104"/>
        <v>5</v>
      </c>
    </row>
    <row r="197" ht="14.25" customHeight="1" spans="1:62">
      <c r="A197" s="10">
        <v>193</v>
      </c>
      <c r="B197" s="10" t="s">
        <v>733</v>
      </c>
      <c r="C197" s="10">
        <v>2015</v>
      </c>
      <c r="D197" s="10">
        <f t="shared" ref="D197:D260" si="105">IF(C197="","",FLOOR(C197,10))</f>
        <v>2010</v>
      </c>
      <c r="E197" s="10" t="s">
        <v>136</v>
      </c>
      <c r="F197" s="35" t="s">
        <v>734</v>
      </c>
      <c r="G197" s="10" t="s">
        <v>735</v>
      </c>
      <c r="H197" s="10" t="s">
        <v>140</v>
      </c>
      <c r="I197" s="10" t="s">
        <v>140</v>
      </c>
      <c r="J197" s="10"/>
      <c r="K197" s="10">
        <v>5</v>
      </c>
      <c r="L197" s="10">
        <v>5</v>
      </c>
      <c r="M197" s="10">
        <v>5</v>
      </c>
      <c r="N197" s="10">
        <v>5</v>
      </c>
      <c r="O197" s="10">
        <v>5</v>
      </c>
      <c r="P197" s="10">
        <v>5</v>
      </c>
      <c r="Q197" s="10">
        <v>2</v>
      </c>
      <c r="R197" s="10">
        <v>5</v>
      </c>
      <c r="S197" s="10">
        <f t="shared" ref="S197:S260" si="106">IF(K197="","",(K197-1)/4)</f>
        <v>1</v>
      </c>
      <c r="T197" s="10">
        <f t="shared" ref="T197:T260" si="107">IF(L197="","",(L197-1)/4)</f>
        <v>1</v>
      </c>
      <c r="U197" s="10">
        <f t="shared" ref="U197:U260" si="108">IF(M197="","",(M197-1)/4)</f>
        <v>1</v>
      </c>
      <c r="V197" s="10">
        <f t="shared" ref="V197:V260" si="109">IF(N197="","",(N197-1)/4)</f>
        <v>1</v>
      </c>
      <c r="W197" s="10">
        <f t="shared" ref="W197:W260" si="110">IF(O197="","",(O197-1)/4)</f>
        <v>1</v>
      </c>
      <c r="X197" s="10">
        <f t="shared" ref="X197:X260" si="111">IF(P197="","",(P197-1)/4)</f>
        <v>1</v>
      </c>
      <c r="Y197" s="10">
        <f t="shared" ref="Y197:Y260" si="112">IF(Q197="","",(Q197-1)/4)</f>
        <v>0.25</v>
      </c>
      <c r="Z197" s="10">
        <f t="shared" ref="Z197:Z260" si="113">IF(R197="","",(R197-1)/4)</f>
        <v>1</v>
      </c>
      <c r="AA197" s="10" t="str">
        <f t="shared" ref="AA197:AA260" si="114">IF(AND(S197&lt;&gt;"",C197&lt;=1949,I197="yes"),S197,"")</f>
        <v/>
      </c>
      <c r="AB197" s="10" t="str">
        <f t="shared" ref="AB197:AB260" si="115">IF(AND(T197&lt;&gt;"",C197&lt;=1949,I197="yes"),T197,"")</f>
        <v/>
      </c>
      <c r="AC197" s="10" t="str">
        <f t="shared" ref="AC197:AC260" si="116">IF(AND(U197&lt;&gt;"",C197&lt;=1949,I197="yes"),U197,"")</f>
        <v/>
      </c>
      <c r="AD197" s="10" t="str">
        <f t="shared" ref="AD197:AD260" si="117">IF(AND(V197&lt;&gt;"",C197&lt;=1949,I197="yes"),V197,"")</f>
        <v/>
      </c>
      <c r="AE197" s="10" t="str">
        <f t="shared" ref="AE197:AE260" si="118">IF(AND(W197&lt;&gt;"",C197&lt;=1949,I197="yes"),W197,"")</f>
        <v/>
      </c>
      <c r="AF197" s="10" t="str">
        <f t="shared" ref="AF197:AF260" si="119">IF(AND(X197&lt;&gt;"",C197&lt;=1949,I197="yes"),X197,"")</f>
        <v/>
      </c>
      <c r="AG197" s="10" t="str">
        <f t="shared" ref="AG197:AG260" si="120">IF(AND(Y197&lt;&gt;"",C197&lt;=1949,I197="yes"),Y197,"")</f>
        <v/>
      </c>
      <c r="AH197" s="10" t="str">
        <f t="shared" ref="AH197:AH260" si="121">IF(AND(Z197&lt;&gt;"",C197&lt;=1949,I197="yes"),Z197,"")</f>
        <v/>
      </c>
      <c r="AI197" s="10">
        <f>IF(OR(S197="",'4_BENCHMARK'!$C$4=""),"",ABS(S197-'4_BENCHMARK'!$C$4))</f>
        <v>0</v>
      </c>
      <c r="AJ197" s="10">
        <f>IF(OR(T197="",'4_BENCHMARK'!$C$5=""),"",ABS(T197-'4_BENCHMARK'!$C$5))</f>
        <v>0</v>
      </c>
      <c r="AK197" s="10">
        <f>IF(OR(U197="",'4_BENCHMARK'!$C$6=""),"",ABS(U197-'4_BENCHMARK'!$C$6))</f>
        <v>0</v>
      </c>
      <c r="AL197" s="10">
        <f>IF(OR(V197="",'4_BENCHMARK'!$C$7=""),"",ABS(V197-'4_BENCHMARK'!$C$7))</f>
        <v>0</v>
      </c>
      <c r="AM197" s="10">
        <f>IF(OR(W197="",'4_BENCHMARK'!$C$8=""),"",ABS(W197-'4_BENCHMARK'!$C$8))</f>
        <v>1</v>
      </c>
      <c r="AN197" s="10">
        <f>IF(OR(X197="",'4_BENCHMARK'!$C$9=""),"",ABS(X197-'4_BENCHMARK'!$C$9))</f>
        <v>1</v>
      </c>
      <c r="AO197" s="10">
        <f>IF(OR(Y197="",'4_BENCHMARK'!$C$10=""),"",ABS(Y197-'4_BENCHMARK'!$C$10))</f>
        <v>0.25</v>
      </c>
      <c r="AP197" s="10">
        <f>IF(OR(Z197="",'4_BENCHMARK'!$C$11=""),"",ABS(Z197-'4_BENCHMARK'!$C$11))</f>
        <v>0</v>
      </c>
      <c r="AQ197" s="13">
        <f t="shared" ref="AQ197:AQ260" si="122">IF(COUNT(AI197:AP197)&lt;8,"",1-AVERAGE(AI197:AP197))</f>
        <v>0.71875</v>
      </c>
      <c r="AR197" s="10"/>
      <c r="AS197" s="10" t="s">
        <v>230</v>
      </c>
      <c r="AT197" s="13">
        <f t="shared" ref="AT197:AT260" si="123">IF(COUNT(AI197:AL197,AO197:AP197)&lt;6,"",1-AVERAGE(AI197:AL197,AO197:AP197))</f>
        <v>0.958333333333333</v>
      </c>
      <c r="AU197" s="1" t="str">
        <f t="shared" ref="AU197:AU260" si="124">IF(AND($I197="yes",$C197&lt;=1949,K197&lt;&gt;""),K197,"")</f>
        <v/>
      </c>
      <c r="AV197" s="1" t="str">
        <f t="shared" ref="AV197:AV260" si="125">IF(AND($I197="yes",$C197&lt;=1949,L197&lt;&gt;""),L197,"")</f>
        <v/>
      </c>
      <c r="AW197" s="1" t="str">
        <f t="shared" ref="AW197:AW260" si="126">IF(AND($I197="yes",$C197&lt;=1949,M197&lt;&gt;""),M197,"")</f>
        <v/>
      </c>
      <c r="AX197" s="1" t="str">
        <f t="shared" ref="AX197:AX260" si="127">IF(AND($I197="yes",$C197&lt;=1949,N197&lt;&gt;""),N197,"")</f>
        <v/>
      </c>
      <c r="AY197" s="1" t="str">
        <f t="shared" ref="AY197:AY260" si="128">IF(AND($I197="yes",$C197&lt;=1949,O197&lt;&gt;""),O197,"")</f>
        <v/>
      </c>
      <c r="AZ197" s="1" t="str">
        <f t="shared" ref="AZ197:AZ260" si="129">IF(AND($I197="yes",$C197&lt;=1949,P197&lt;&gt;""),P197,"")</f>
        <v/>
      </c>
      <c r="BA197" s="1" t="str">
        <f t="shared" ref="BA197:BA260" si="130">IF(AND($I197="yes",$C197&lt;=1949,Q197&lt;&gt;""),Q197,"")</f>
        <v/>
      </c>
      <c r="BB197" s="1" t="str">
        <f t="shared" ref="BB197:BB260" si="131">IF(AND($I197="yes",$C197&lt;=1949,R197&lt;&gt;""),R197,"")</f>
        <v/>
      </c>
      <c r="BC197" s="1">
        <f t="shared" ref="BC197:BC260" si="132">IF(AND($I197="yes",$C197&gt;=2000,K197&lt;&gt;""),K197,"")</f>
        <v>5</v>
      </c>
      <c r="BD197" s="1">
        <f t="shared" ref="BD197:BD260" si="133">IF(AND($I197="yes",$C197&gt;=2000,L197&lt;&gt;""),L197,"")</f>
        <v>5</v>
      </c>
      <c r="BE197" s="1">
        <f t="shared" ref="BE197:BE260" si="134">IF(AND($I197="yes",$C197&gt;=2000,M197&lt;&gt;""),M197,"")</f>
        <v>5</v>
      </c>
      <c r="BF197" s="1">
        <f t="shared" ref="BF197:BF260" si="135">IF(AND($I197="yes",$C197&gt;=2000,N197&lt;&gt;""),N197,"")</f>
        <v>5</v>
      </c>
      <c r="BG197" s="1">
        <f t="shared" ref="BG197:BG260" si="136">IF(AND($I197="yes",$C197&gt;=2000,O197&lt;&gt;""),O197,"")</f>
        <v>5</v>
      </c>
      <c r="BH197" s="1">
        <f t="shared" ref="BH197:BH260" si="137">IF(AND($I197="yes",$C197&gt;=2000,P197&lt;&gt;""),P197,"")</f>
        <v>5</v>
      </c>
      <c r="BI197" s="1">
        <f t="shared" ref="BI197:BI260" si="138">IF(AND($I197="yes",$C197&gt;=2000,Q197&lt;&gt;""),Q197,"")</f>
        <v>2</v>
      </c>
      <c r="BJ197" s="1">
        <f t="shared" ref="BJ197:BJ260" si="139">IF(AND($I197="yes",$C197&gt;=2000,R197&lt;&gt;""),R197,"")</f>
        <v>5</v>
      </c>
    </row>
    <row r="198" ht="14.25" customHeight="1" spans="1:62">
      <c r="A198" s="10">
        <v>194</v>
      </c>
      <c r="B198" s="10" t="s">
        <v>736</v>
      </c>
      <c r="C198" s="10">
        <v>1990</v>
      </c>
      <c r="D198" s="10">
        <f t="shared" si="105"/>
        <v>1990</v>
      </c>
      <c r="E198" s="10" t="s">
        <v>136</v>
      </c>
      <c r="F198" s="35" t="s">
        <v>737</v>
      </c>
      <c r="G198" s="10" t="s">
        <v>738</v>
      </c>
      <c r="H198" s="10" t="s">
        <v>139</v>
      </c>
      <c r="I198" s="10" t="s">
        <v>140</v>
      </c>
      <c r="J198" s="10" t="s">
        <v>739</v>
      </c>
      <c r="K198" s="10">
        <v>5</v>
      </c>
      <c r="L198" s="10">
        <v>5</v>
      </c>
      <c r="M198" s="10">
        <v>5</v>
      </c>
      <c r="N198" s="10">
        <v>5</v>
      </c>
      <c r="O198" s="10">
        <v>1</v>
      </c>
      <c r="P198" s="10">
        <v>1</v>
      </c>
      <c r="Q198" s="10">
        <v>2</v>
      </c>
      <c r="R198" s="10">
        <v>5</v>
      </c>
      <c r="S198" s="10">
        <f t="shared" si="106"/>
        <v>1</v>
      </c>
      <c r="T198" s="10">
        <f t="shared" si="107"/>
        <v>1</v>
      </c>
      <c r="U198" s="10">
        <f t="shared" si="108"/>
        <v>1</v>
      </c>
      <c r="V198" s="10">
        <f t="shared" si="109"/>
        <v>1</v>
      </c>
      <c r="W198" s="10">
        <f t="shared" si="110"/>
        <v>0</v>
      </c>
      <c r="X198" s="10">
        <f t="shared" si="111"/>
        <v>0</v>
      </c>
      <c r="Y198" s="10">
        <f t="shared" si="112"/>
        <v>0.25</v>
      </c>
      <c r="Z198" s="10">
        <f t="shared" si="113"/>
        <v>1</v>
      </c>
      <c r="AA198" s="10" t="str">
        <f t="shared" si="114"/>
        <v/>
      </c>
      <c r="AB198" s="10" t="str">
        <f t="shared" si="115"/>
        <v/>
      </c>
      <c r="AC198" s="10" t="str">
        <f t="shared" si="116"/>
        <v/>
      </c>
      <c r="AD198" s="10" t="str">
        <f t="shared" si="117"/>
        <v/>
      </c>
      <c r="AE198" s="10" t="str">
        <f t="shared" si="118"/>
        <v/>
      </c>
      <c r="AF198" s="10" t="str">
        <f t="shared" si="119"/>
        <v/>
      </c>
      <c r="AG198" s="10" t="str">
        <f t="shared" si="120"/>
        <v/>
      </c>
      <c r="AH198" s="10" t="str">
        <f t="shared" si="121"/>
        <v/>
      </c>
      <c r="AI198" s="10">
        <f>IF(OR(S198="",'4_BENCHMARK'!$C$4=""),"",ABS(S198-'4_BENCHMARK'!$C$4))</f>
        <v>0</v>
      </c>
      <c r="AJ198" s="10">
        <f>IF(OR(T198="",'4_BENCHMARK'!$C$5=""),"",ABS(T198-'4_BENCHMARK'!$C$5))</f>
        <v>0</v>
      </c>
      <c r="AK198" s="10">
        <f>IF(OR(U198="",'4_BENCHMARK'!$C$6=""),"",ABS(U198-'4_BENCHMARK'!$C$6))</f>
        <v>0</v>
      </c>
      <c r="AL198" s="10">
        <f>IF(OR(V198="",'4_BENCHMARK'!$C$7=""),"",ABS(V198-'4_BENCHMARK'!$C$7))</f>
        <v>0</v>
      </c>
      <c r="AM198" s="10">
        <f>IF(OR(W198="",'4_BENCHMARK'!$C$8=""),"",ABS(W198-'4_BENCHMARK'!$C$8))</f>
        <v>0</v>
      </c>
      <c r="AN198" s="10">
        <f>IF(OR(X198="",'4_BENCHMARK'!$C$9=""),"",ABS(X198-'4_BENCHMARK'!$C$9))</f>
        <v>0</v>
      </c>
      <c r="AO198" s="10">
        <f>IF(OR(Y198="",'4_BENCHMARK'!$C$10=""),"",ABS(Y198-'4_BENCHMARK'!$C$10))</f>
        <v>0.25</v>
      </c>
      <c r="AP198" s="10">
        <f>IF(OR(Z198="",'4_BENCHMARK'!$C$11=""),"",ABS(Z198-'4_BENCHMARK'!$C$11))</f>
        <v>0</v>
      </c>
      <c r="AQ198" s="13">
        <f t="shared" si="122"/>
        <v>0.96875</v>
      </c>
      <c r="AR198" s="10"/>
      <c r="AS198" s="10" t="s">
        <v>149</v>
      </c>
      <c r="AT198" s="13">
        <f t="shared" si="123"/>
        <v>0.958333333333333</v>
      </c>
      <c r="AU198" s="1" t="str">
        <f t="shared" si="124"/>
        <v/>
      </c>
      <c r="AV198" s="1" t="str">
        <f t="shared" si="125"/>
        <v/>
      </c>
      <c r="AW198" s="1" t="str">
        <f t="shared" si="126"/>
        <v/>
      </c>
      <c r="AX198" s="1" t="str">
        <f t="shared" si="127"/>
        <v/>
      </c>
      <c r="AY198" s="1" t="str">
        <f t="shared" si="128"/>
        <v/>
      </c>
      <c r="AZ198" s="1" t="str">
        <f t="shared" si="129"/>
        <v/>
      </c>
      <c r="BA198" s="1" t="str">
        <f t="shared" si="130"/>
        <v/>
      </c>
      <c r="BB198" s="1" t="str">
        <f t="shared" si="131"/>
        <v/>
      </c>
      <c r="BC198" s="1" t="str">
        <f t="shared" si="132"/>
        <v/>
      </c>
      <c r="BD198" s="1" t="str">
        <f t="shared" si="133"/>
        <v/>
      </c>
      <c r="BE198" s="1" t="str">
        <f t="shared" si="134"/>
        <v/>
      </c>
      <c r="BF198" s="1" t="str">
        <f t="shared" si="135"/>
        <v/>
      </c>
      <c r="BG198" s="1" t="str">
        <f t="shared" si="136"/>
        <v/>
      </c>
      <c r="BH198" s="1" t="str">
        <f t="shared" si="137"/>
        <v/>
      </c>
      <c r="BI198" s="1" t="str">
        <f t="shared" si="138"/>
        <v/>
      </c>
      <c r="BJ198" s="1" t="str">
        <f t="shared" si="139"/>
        <v/>
      </c>
    </row>
    <row r="199" ht="14.25" customHeight="1" spans="1:62">
      <c r="A199" s="10">
        <v>195</v>
      </c>
      <c r="B199" s="10" t="s">
        <v>740</v>
      </c>
      <c r="C199" s="10">
        <v>2012</v>
      </c>
      <c r="D199" s="10">
        <f t="shared" si="105"/>
        <v>2010</v>
      </c>
      <c r="E199" s="10" t="s">
        <v>136</v>
      </c>
      <c r="F199" s="35" t="s">
        <v>741</v>
      </c>
      <c r="G199" s="10" t="s">
        <v>742</v>
      </c>
      <c r="H199" s="10" t="s">
        <v>140</v>
      </c>
      <c r="I199" s="10" t="s">
        <v>140</v>
      </c>
      <c r="J199" s="10"/>
      <c r="K199" s="10">
        <v>4</v>
      </c>
      <c r="L199" s="10">
        <v>4</v>
      </c>
      <c r="M199" s="10">
        <v>4</v>
      </c>
      <c r="N199" s="10">
        <v>4</v>
      </c>
      <c r="O199" s="10">
        <v>1</v>
      </c>
      <c r="P199" s="10">
        <v>1</v>
      </c>
      <c r="Q199" s="10">
        <v>2</v>
      </c>
      <c r="R199" s="10">
        <v>4</v>
      </c>
      <c r="S199" s="10">
        <f t="shared" si="106"/>
        <v>0.75</v>
      </c>
      <c r="T199" s="10">
        <f t="shared" si="107"/>
        <v>0.75</v>
      </c>
      <c r="U199" s="10">
        <f t="shared" si="108"/>
        <v>0.75</v>
      </c>
      <c r="V199" s="10">
        <f t="shared" si="109"/>
        <v>0.75</v>
      </c>
      <c r="W199" s="10">
        <f t="shared" si="110"/>
        <v>0</v>
      </c>
      <c r="X199" s="10">
        <f t="shared" si="111"/>
        <v>0</v>
      </c>
      <c r="Y199" s="10">
        <f t="shared" si="112"/>
        <v>0.25</v>
      </c>
      <c r="Z199" s="10">
        <f t="shared" si="113"/>
        <v>0.75</v>
      </c>
      <c r="AA199" s="10" t="str">
        <f t="shared" si="114"/>
        <v/>
      </c>
      <c r="AB199" s="10" t="str">
        <f t="shared" si="115"/>
        <v/>
      </c>
      <c r="AC199" s="10" t="str">
        <f t="shared" si="116"/>
        <v/>
      </c>
      <c r="AD199" s="10" t="str">
        <f t="shared" si="117"/>
        <v/>
      </c>
      <c r="AE199" s="10" t="str">
        <f t="shared" si="118"/>
        <v/>
      </c>
      <c r="AF199" s="10" t="str">
        <f t="shared" si="119"/>
        <v/>
      </c>
      <c r="AG199" s="10" t="str">
        <f t="shared" si="120"/>
        <v/>
      </c>
      <c r="AH199" s="10" t="str">
        <f t="shared" si="121"/>
        <v/>
      </c>
      <c r="AI199" s="10">
        <f>IF(OR(S199="",'4_BENCHMARK'!$C$4=""),"",ABS(S199-'4_BENCHMARK'!$C$4))</f>
        <v>0.25</v>
      </c>
      <c r="AJ199" s="10">
        <f>IF(OR(T199="",'4_BENCHMARK'!$C$5=""),"",ABS(T199-'4_BENCHMARK'!$C$5))</f>
        <v>0.25</v>
      </c>
      <c r="AK199" s="10">
        <f>IF(OR(U199="",'4_BENCHMARK'!$C$6=""),"",ABS(U199-'4_BENCHMARK'!$C$6))</f>
        <v>0.25</v>
      </c>
      <c r="AL199" s="10">
        <f>IF(OR(V199="",'4_BENCHMARK'!$C$7=""),"",ABS(V199-'4_BENCHMARK'!$C$7))</f>
        <v>0.25</v>
      </c>
      <c r="AM199" s="10">
        <f>IF(OR(W199="",'4_BENCHMARK'!$C$8=""),"",ABS(W199-'4_BENCHMARK'!$C$8))</f>
        <v>0</v>
      </c>
      <c r="AN199" s="10">
        <f>IF(OR(X199="",'4_BENCHMARK'!$C$9=""),"",ABS(X199-'4_BENCHMARK'!$C$9))</f>
        <v>0</v>
      </c>
      <c r="AO199" s="10">
        <f>IF(OR(Y199="",'4_BENCHMARK'!$C$10=""),"",ABS(Y199-'4_BENCHMARK'!$C$10))</f>
        <v>0.25</v>
      </c>
      <c r="AP199" s="10">
        <f>IF(OR(Z199="",'4_BENCHMARK'!$C$11=""),"",ABS(Z199-'4_BENCHMARK'!$C$11))</f>
        <v>0.25</v>
      </c>
      <c r="AQ199" s="13">
        <f t="shared" si="122"/>
        <v>0.8125</v>
      </c>
      <c r="AR199" s="10"/>
      <c r="AS199" s="10" t="s">
        <v>145</v>
      </c>
      <c r="AT199" s="13">
        <f t="shared" si="123"/>
        <v>0.75</v>
      </c>
      <c r="AU199" s="1" t="str">
        <f t="shared" si="124"/>
        <v/>
      </c>
      <c r="AV199" s="1" t="str">
        <f t="shared" si="125"/>
        <v/>
      </c>
      <c r="AW199" s="1" t="str">
        <f t="shared" si="126"/>
        <v/>
      </c>
      <c r="AX199" s="1" t="str">
        <f t="shared" si="127"/>
        <v/>
      </c>
      <c r="AY199" s="1" t="str">
        <f t="shared" si="128"/>
        <v/>
      </c>
      <c r="AZ199" s="1" t="str">
        <f t="shared" si="129"/>
        <v/>
      </c>
      <c r="BA199" s="1" t="str">
        <f t="shared" si="130"/>
        <v/>
      </c>
      <c r="BB199" s="1" t="str">
        <f t="shared" si="131"/>
        <v/>
      </c>
      <c r="BC199" s="1">
        <f t="shared" si="132"/>
        <v>4</v>
      </c>
      <c r="BD199" s="1">
        <f t="shared" si="133"/>
        <v>4</v>
      </c>
      <c r="BE199" s="1">
        <f t="shared" si="134"/>
        <v>4</v>
      </c>
      <c r="BF199" s="1">
        <f t="shared" si="135"/>
        <v>4</v>
      </c>
      <c r="BG199" s="1">
        <f t="shared" si="136"/>
        <v>1</v>
      </c>
      <c r="BH199" s="1">
        <f t="shared" si="137"/>
        <v>1</v>
      </c>
      <c r="BI199" s="1">
        <f t="shared" si="138"/>
        <v>2</v>
      </c>
      <c r="BJ199" s="1">
        <f t="shared" si="139"/>
        <v>4</v>
      </c>
    </row>
    <row r="200" ht="15" customHeight="1" spans="1:62">
      <c r="A200" s="10">
        <v>196</v>
      </c>
      <c r="B200" s="10" t="s">
        <v>743</v>
      </c>
      <c r="C200" s="10">
        <v>2022</v>
      </c>
      <c r="D200" s="10">
        <f t="shared" si="105"/>
        <v>2020</v>
      </c>
      <c r="E200" s="10" t="s">
        <v>136</v>
      </c>
      <c r="F200" s="35" t="s">
        <v>744</v>
      </c>
      <c r="G200" s="10" t="s">
        <v>745</v>
      </c>
      <c r="H200" s="10" t="s">
        <v>140</v>
      </c>
      <c r="I200" s="10" t="s">
        <v>140</v>
      </c>
      <c r="J200" s="10"/>
      <c r="K200" s="10">
        <v>5</v>
      </c>
      <c r="L200" s="10">
        <v>5</v>
      </c>
      <c r="M200" s="10">
        <v>5</v>
      </c>
      <c r="N200" s="10">
        <v>5</v>
      </c>
      <c r="O200" s="10">
        <v>5</v>
      </c>
      <c r="P200" s="10">
        <v>5</v>
      </c>
      <c r="Q200" s="10">
        <v>3</v>
      </c>
      <c r="R200" s="10">
        <v>4</v>
      </c>
      <c r="S200" s="10">
        <f t="shared" si="106"/>
        <v>1</v>
      </c>
      <c r="T200" s="10">
        <f t="shared" si="107"/>
        <v>1</v>
      </c>
      <c r="U200" s="10">
        <f t="shared" si="108"/>
        <v>1</v>
      </c>
      <c r="V200" s="10">
        <f t="shared" si="109"/>
        <v>1</v>
      </c>
      <c r="W200" s="10">
        <f t="shared" si="110"/>
        <v>1</v>
      </c>
      <c r="X200" s="10">
        <f t="shared" si="111"/>
        <v>1</v>
      </c>
      <c r="Y200" s="10">
        <f t="shared" si="112"/>
        <v>0.5</v>
      </c>
      <c r="Z200" s="10">
        <f t="shared" si="113"/>
        <v>0.75</v>
      </c>
      <c r="AA200" s="10" t="str">
        <f t="shared" si="114"/>
        <v/>
      </c>
      <c r="AB200" s="10" t="str">
        <f t="shared" si="115"/>
        <v/>
      </c>
      <c r="AC200" s="10" t="str">
        <f t="shared" si="116"/>
        <v/>
      </c>
      <c r="AD200" s="10" t="str">
        <f t="shared" si="117"/>
        <v/>
      </c>
      <c r="AE200" s="10" t="str">
        <f t="shared" si="118"/>
        <v/>
      </c>
      <c r="AF200" s="10" t="str">
        <f t="shared" si="119"/>
        <v/>
      </c>
      <c r="AG200" s="10" t="str">
        <f t="shared" si="120"/>
        <v/>
      </c>
      <c r="AH200" s="10" t="str">
        <f t="shared" si="121"/>
        <v/>
      </c>
      <c r="AI200" s="10">
        <f>IF(OR(S200="",'4_BENCHMARK'!$C$4=""),"",ABS(S200-'4_BENCHMARK'!$C$4))</f>
        <v>0</v>
      </c>
      <c r="AJ200" s="10">
        <f>IF(OR(T200="",'4_BENCHMARK'!$C$5=""),"",ABS(T200-'4_BENCHMARK'!$C$5))</f>
        <v>0</v>
      </c>
      <c r="AK200" s="10">
        <f>IF(OR(U200="",'4_BENCHMARK'!$C$6=""),"",ABS(U200-'4_BENCHMARK'!$C$6))</f>
        <v>0</v>
      </c>
      <c r="AL200" s="10">
        <f>IF(OR(V200="",'4_BENCHMARK'!$C$7=""),"",ABS(V200-'4_BENCHMARK'!$C$7))</f>
        <v>0</v>
      </c>
      <c r="AM200" s="10">
        <f>IF(OR(W200="",'4_BENCHMARK'!$C$8=""),"",ABS(W200-'4_BENCHMARK'!$C$8))</f>
        <v>1</v>
      </c>
      <c r="AN200" s="10">
        <f>IF(OR(X200="",'4_BENCHMARK'!$C$9=""),"",ABS(X200-'4_BENCHMARK'!$C$9))</f>
        <v>1</v>
      </c>
      <c r="AO200" s="10">
        <f>IF(OR(Y200="",'4_BENCHMARK'!$C$10=""),"",ABS(Y200-'4_BENCHMARK'!$C$10))</f>
        <v>0</v>
      </c>
      <c r="AP200" s="10">
        <f>IF(OR(Z200="",'4_BENCHMARK'!$C$11=""),"",ABS(Z200-'4_BENCHMARK'!$C$11))</f>
        <v>0.25</v>
      </c>
      <c r="AQ200" s="13">
        <f t="shared" si="122"/>
        <v>0.71875</v>
      </c>
      <c r="AR200" s="10"/>
      <c r="AS200" s="10" t="s">
        <v>230</v>
      </c>
      <c r="AT200" s="13">
        <f t="shared" si="123"/>
        <v>0.958333333333333</v>
      </c>
      <c r="AU200" s="1" t="str">
        <f t="shared" si="124"/>
        <v/>
      </c>
      <c r="AV200" s="1" t="str">
        <f t="shared" si="125"/>
        <v/>
      </c>
      <c r="AW200" s="1" t="str">
        <f t="shared" si="126"/>
        <v/>
      </c>
      <c r="AX200" s="1" t="str">
        <f t="shared" si="127"/>
        <v/>
      </c>
      <c r="AY200" s="1" t="str">
        <f t="shared" si="128"/>
        <v/>
      </c>
      <c r="AZ200" s="1" t="str">
        <f t="shared" si="129"/>
        <v/>
      </c>
      <c r="BA200" s="1" t="str">
        <f t="shared" si="130"/>
        <v/>
      </c>
      <c r="BB200" s="1" t="str">
        <f t="shared" si="131"/>
        <v/>
      </c>
      <c r="BC200" s="1">
        <f t="shared" si="132"/>
        <v>5</v>
      </c>
      <c r="BD200" s="1">
        <f t="shared" si="133"/>
        <v>5</v>
      </c>
      <c r="BE200" s="1">
        <f t="shared" si="134"/>
        <v>5</v>
      </c>
      <c r="BF200" s="1">
        <f t="shared" si="135"/>
        <v>5</v>
      </c>
      <c r="BG200" s="1">
        <f t="shared" si="136"/>
        <v>5</v>
      </c>
      <c r="BH200" s="1">
        <f t="shared" si="137"/>
        <v>5</v>
      </c>
      <c r="BI200" s="1">
        <f t="shared" si="138"/>
        <v>3</v>
      </c>
      <c r="BJ200" s="1">
        <f t="shared" si="139"/>
        <v>4</v>
      </c>
    </row>
    <row r="201" ht="14.25" customHeight="1" spans="1:62">
      <c r="A201" s="10">
        <v>197</v>
      </c>
      <c r="B201" s="41" t="s">
        <v>746</v>
      </c>
      <c r="C201" s="10">
        <v>2020</v>
      </c>
      <c r="D201" s="10">
        <f t="shared" si="105"/>
        <v>2020</v>
      </c>
      <c r="E201" s="10" t="s">
        <v>136</v>
      </c>
      <c r="F201" s="35" t="s">
        <v>747</v>
      </c>
      <c r="G201" s="10" t="s">
        <v>748</v>
      </c>
      <c r="H201" s="10" t="s">
        <v>140</v>
      </c>
      <c r="I201" s="10" t="s">
        <v>140</v>
      </c>
      <c r="J201" s="10"/>
      <c r="K201" s="10">
        <v>5</v>
      </c>
      <c r="L201" s="10">
        <v>5</v>
      </c>
      <c r="M201" s="10">
        <v>5</v>
      </c>
      <c r="N201" s="10">
        <v>5</v>
      </c>
      <c r="O201" s="10">
        <v>5</v>
      </c>
      <c r="P201" s="10">
        <v>3</v>
      </c>
      <c r="Q201" s="10">
        <v>2</v>
      </c>
      <c r="R201" s="10">
        <v>4</v>
      </c>
      <c r="S201" s="10">
        <f t="shared" si="106"/>
        <v>1</v>
      </c>
      <c r="T201" s="10">
        <f t="shared" si="107"/>
        <v>1</v>
      </c>
      <c r="U201" s="10">
        <f t="shared" si="108"/>
        <v>1</v>
      </c>
      <c r="V201" s="10">
        <f t="shared" si="109"/>
        <v>1</v>
      </c>
      <c r="W201" s="10">
        <f t="shared" si="110"/>
        <v>1</v>
      </c>
      <c r="X201" s="10">
        <f t="shared" si="111"/>
        <v>0.5</v>
      </c>
      <c r="Y201" s="10">
        <f t="shared" si="112"/>
        <v>0.25</v>
      </c>
      <c r="Z201" s="10">
        <f t="shared" si="113"/>
        <v>0.75</v>
      </c>
      <c r="AA201" s="10" t="str">
        <f t="shared" si="114"/>
        <v/>
      </c>
      <c r="AB201" s="10" t="str">
        <f t="shared" si="115"/>
        <v/>
      </c>
      <c r="AC201" s="10" t="str">
        <f t="shared" si="116"/>
        <v/>
      </c>
      <c r="AD201" s="10" t="str">
        <f t="shared" si="117"/>
        <v/>
      </c>
      <c r="AE201" s="10" t="str">
        <f t="shared" si="118"/>
        <v/>
      </c>
      <c r="AF201" s="10" t="str">
        <f t="shared" si="119"/>
        <v/>
      </c>
      <c r="AG201" s="10" t="str">
        <f t="shared" si="120"/>
        <v/>
      </c>
      <c r="AH201" s="10" t="str">
        <f t="shared" si="121"/>
        <v/>
      </c>
      <c r="AI201" s="10">
        <f>IF(OR(S201="",'4_BENCHMARK'!$C$4=""),"",ABS(S201-'4_BENCHMARK'!$C$4))</f>
        <v>0</v>
      </c>
      <c r="AJ201" s="10">
        <f>IF(OR(T201="",'4_BENCHMARK'!$C$5=""),"",ABS(T201-'4_BENCHMARK'!$C$5))</f>
        <v>0</v>
      </c>
      <c r="AK201" s="10">
        <f>IF(OR(U201="",'4_BENCHMARK'!$C$6=""),"",ABS(U201-'4_BENCHMARK'!$C$6))</f>
        <v>0</v>
      </c>
      <c r="AL201" s="10">
        <f>IF(OR(V201="",'4_BENCHMARK'!$C$7=""),"",ABS(V201-'4_BENCHMARK'!$C$7))</f>
        <v>0</v>
      </c>
      <c r="AM201" s="10">
        <f>IF(OR(W201="",'4_BENCHMARK'!$C$8=""),"",ABS(W201-'4_BENCHMARK'!$C$8))</f>
        <v>1</v>
      </c>
      <c r="AN201" s="10">
        <f>IF(OR(X201="",'4_BENCHMARK'!$C$9=""),"",ABS(X201-'4_BENCHMARK'!$C$9))</f>
        <v>0.5</v>
      </c>
      <c r="AO201" s="10">
        <f>IF(OR(Y201="",'4_BENCHMARK'!$C$10=""),"",ABS(Y201-'4_BENCHMARK'!$C$10))</f>
        <v>0.25</v>
      </c>
      <c r="AP201" s="10">
        <f>IF(OR(Z201="",'4_BENCHMARK'!$C$11=""),"",ABS(Z201-'4_BENCHMARK'!$C$11))</f>
        <v>0.25</v>
      </c>
      <c r="AQ201" s="13">
        <f t="shared" si="122"/>
        <v>0.75</v>
      </c>
      <c r="AR201" s="10"/>
      <c r="AS201" s="10" t="s">
        <v>230</v>
      </c>
      <c r="AT201" s="13">
        <f t="shared" si="123"/>
        <v>0.916666666666667</v>
      </c>
      <c r="AU201" s="1" t="str">
        <f t="shared" si="124"/>
        <v/>
      </c>
      <c r="AV201" s="1" t="str">
        <f t="shared" si="125"/>
        <v/>
      </c>
      <c r="AW201" s="1" t="str">
        <f t="shared" si="126"/>
        <v/>
      </c>
      <c r="AX201" s="1" t="str">
        <f t="shared" si="127"/>
        <v/>
      </c>
      <c r="AY201" s="1" t="str">
        <f t="shared" si="128"/>
        <v/>
      </c>
      <c r="AZ201" s="1" t="str">
        <f t="shared" si="129"/>
        <v/>
      </c>
      <c r="BA201" s="1" t="str">
        <f t="shared" si="130"/>
        <v/>
      </c>
      <c r="BB201" s="1" t="str">
        <f t="shared" si="131"/>
        <v/>
      </c>
      <c r="BC201" s="1">
        <f t="shared" si="132"/>
        <v>5</v>
      </c>
      <c r="BD201" s="1">
        <f t="shared" si="133"/>
        <v>5</v>
      </c>
      <c r="BE201" s="1">
        <f t="shared" si="134"/>
        <v>5</v>
      </c>
      <c r="BF201" s="1">
        <f t="shared" si="135"/>
        <v>5</v>
      </c>
      <c r="BG201" s="1">
        <f t="shared" si="136"/>
        <v>5</v>
      </c>
      <c r="BH201" s="1">
        <f t="shared" si="137"/>
        <v>3</v>
      </c>
      <c r="BI201" s="1">
        <f t="shared" si="138"/>
        <v>2</v>
      </c>
      <c r="BJ201" s="1">
        <f t="shared" si="139"/>
        <v>4</v>
      </c>
    </row>
    <row r="202" ht="14.25" customHeight="1" spans="1:62">
      <c r="A202" s="10">
        <v>198</v>
      </c>
      <c r="B202" s="10" t="s">
        <v>749</v>
      </c>
      <c r="C202" s="10">
        <v>2005</v>
      </c>
      <c r="D202" s="10">
        <f t="shared" si="105"/>
        <v>2000</v>
      </c>
      <c r="E202" s="10" t="s">
        <v>136</v>
      </c>
      <c r="F202" s="35" t="s">
        <v>750</v>
      </c>
      <c r="G202" s="10" t="s">
        <v>751</v>
      </c>
      <c r="H202" s="10" t="s">
        <v>140</v>
      </c>
      <c r="I202" s="10" t="s">
        <v>140</v>
      </c>
      <c r="J202" s="10"/>
      <c r="K202" s="10">
        <v>4</v>
      </c>
      <c r="L202" s="10">
        <v>4</v>
      </c>
      <c r="M202" s="10">
        <v>4</v>
      </c>
      <c r="N202" s="10">
        <v>4</v>
      </c>
      <c r="O202" s="10">
        <v>5</v>
      </c>
      <c r="P202" s="10">
        <v>4</v>
      </c>
      <c r="Q202" s="10">
        <v>1</v>
      </c>
      <c r="R202" s="10">
        <v>5</v>
      </c>
      <c r="S202" s="10">
        <f t="shared" si="106"/>
        <v>0.75</v>
      </c>
      <c r="T202" s="10">
        <f t="shared" si="107"/>
        <v>0.75</v>
      </c>
      <c r="U202" s="10">
        <f t="shared" si="108"/>
        <v>0.75</v>
      </c>
      <c r="V202" s="10">
        <f t="shared" si="109"/>
        <v>0.75</v>
      </c>
      <c r="W202" s="10">
        <f t="shared" si="110"/>
        <v>1</v>
      </c>
      <c r="X202" s="10">
        <f t="shared" si="111"/>
        <v>0.75</v>
      </c>
      <c r="Y202" s="10">
        <f t="shared" si="112"/>
        <v>0</v>
      </c>
      <c r="Z202" s="10">
        <f t="shared" si="113"/>
        <v>1</v>
      </c>
      <c r="AA202" s="10" t="str">
        <f t="shared" si="114"/>
        <v/>
      </c>
      <c r="AB202" s="10" t="str">
        <f t="shared" si="115"/>
        <v/>
      </c>
      <c r="AC202" s="10" t="str">
        <f t="shared" si="116"/>
        <v/>
      </c>
      <c r="AD202" s="10" t="str">
        <f t="shared" si="117"/>
        <v/>
      </c>
      <c r="AE202" s="10" t="str">
        <f t="shared" si="118"/>
        <v/>
      </c>
      <c r="AF202" s="10" t="str">
        <f t="shared" si="119"/>
        <v/>
      </c>
      <c r="AG202" s="10" t="str">
        <f t="shared" si="120"/>
        <v/>
      </c>
      <c r="AH202" s="10" t="str">
        <f t="shared" si="121"/>
        <v/>
      </c>
      <c r="AI202" s="10">
        <f>IF(OR(S202="",'4_BENCHMARK'!$C$4=""),"",ABS(S202-'4_BENCHMARK'!$C$4))</f>
        <v>0.25</v>
      </c>
      <c r="AJ202" s="10">
        <f>IF(OR(T202="",'4_BENCHMARK'!$C$5=""),"",ABS(T202-'4_BENCHMARK'!$C$5))</f>
        <v>0.25</v>
      </c>
      <c r="AK202" s="10">
        <f>IF(OR(U202="",'4_BENCHMARK'!$C$6=""),"",ABS(U202-'4_BENCHMARK'!$C$6))</f>
        <v>0.25</v>
      </c>
      <c r="AL202" s="10">
        <f>IF(OR(V202="",'4_BENCHMARK'!$C$7=""),"",ABS(V202-'4_BENCHMARK'!$C$7))</f>
        <v>0.25</v>
      </c>
      <c r="AM202" s="10">
        <f>IF(OR(W202="",'4_BENCHMARK'!$C$8=""),"",ABS(W202-'4_BENCHMARK'!$C$8))</f>
        <v>1</v>
      </c>
      <c r="AN202" s="10">
        <f>IF(OR(X202="",'4_BENCHMARK'!$C$9=""),"",ABS(X202-'4_BENCHMARK'!$C$9))</f>
        <v>0.75</v>
      </c>
      <c r="AO202" s="10">
        <f>IF(OR(Y202="",'4_BENCHMARK'!$C$10=""),"",ABS(Y202-'4_BENCHMARK'!$C$10))</f>
        <v>0.5</v>
      </c>
      <c r="AP202" s="10">
        <f>IF(OR(Z202="",'4_BENCHMARK'!$C$11=""),"",ABS(Z202-'4_BENCHMARK'!$C$11))</f>
        <v>0</v>
      </c>
      <c r="AQ202" s="13">
        <f t="shared" si="122"/>
        <v>0.59375</v>
      </c>
      <c r="AR202" s="10"/>
      <c r="AS202" s="10" t="s">
        <v>145</v>
      </c>
      <c r="AT202" s="13">
        <f t="shared" si="123"/>
        <v>0.75</v>
      </c>
      <c r="AU202" s="1" t="str">
        <f t="shared" si="124"/>
        <v/>
      </c>
      <c r="AV202" s="1" t="str">
        <f t="shared" si="125"/>
        <v/>
      </c>
      <c r="AW202" s="1" t="str">
        <f t="shared" si="126"/>
        <v/>
      </c>
      <c r="AX202" s="1" t="str">
        <f t="shared" si="127"/>
        <v/>
      </c>
      <c r="AY202" s="1" t="str">
        <f t="shared" si="128"/>
        <v/>
      </c>
      <c r="AZ202" s="1" t="str">
        <f t="shared" si="129"/>
        <v/>
      </c>
      <c r="BA202" s="1" t="str">
        <f t="shared" si="130"/>
        <v/>
      </c>
      <c r="BB202" s="1" t="str">
        <f t="shared" si="131"/>
        <v/>
      </c>
      <c r="BC202" s="1">
        <f t="shared" si="132"/>
        <v>4</v>
      </c>
      <c r="BD202" s="1">
        <f t="shared" si="133"/>
        <v>4</v>
      </c>
      <c r="BE202" s="1">
        <f t="shared" si="134"/>
        <v>4</v>
      </c>
      <c r="BF202" s="1">
        <f t="shared" si="135"/>
        <v>4</v>
      </c>
      <c r="BG202" s="1">
        <f t="shared" si="136"/>
        <v>5</v>
      </c>
      <c r="BH202" s="1">
        <f t="shared" si="137"/>
        <v>4</v>
      </c>
      <c r="BI202" s="1">
        <f t="shared" si="138"/>
        <v>1</v>
      </c>
      <c r="BJ202" s="1">
        <f t="shared" si="139"/>
        <v>5</v>
      </c>
    </row>
    <row r="203" ht="14.25" customHeight="1" spans="1:62">
      <c r="A203" s="10">
        <v>199</v>
      </c>
      <c r="B203" s="10" t="s">
        <v>752</v>
      </c>
      <c r="C203" s="10">
        <v>2023</v>
      </c>
      <c r="D203" s="10">
        <f t="shared" si="105"/>
        <v>2020</v>
      </c>
      <c r="E203" s="10" t="s">
        <v>136</v>
      </c>
      <c r="F203" s="35" t="s">
        <v>753</v>
      </c>
      <c r="G203" s="10" t="s">
        <v>754</v>
      </c>
      <c r="H203" s="10" t="s">
        <v>140</v>
      </c>
      <c r="I203" s="10" t="s">
        <v>140</v>
      </c>
      <c r="J203" s="10"/>
      <c r="K203" s="10">
        <v>4</v>
      </c>
      <c r="L203" s="10">
        <v>4</v>
      </c>
      <c r="M203" s="10">
        <v>4</v>
      </c>
      <c r="N203" s="10">
        <v>4</v>
      </c>
      <c r="O203" s="10">
        <v>5</v>
      </c>
      <c r="P203" s="10">
        <v>3</v>
      </c>
      <c r="Q203" s="10">
        <v>1</v>
      </c>
      <c r="R203" s="10">
        <v>5</v>
      </c>
      <c r="S203" s="10">
        <f t="shared" si="106"/>
        <v>0.75</v>
      </c>
      <c r="T203" s="10">
        <f t="shared" si="107"/>
        <v>0.75</v>
      </c>
      <c r="U203" s="10">
        <f t="shared" si="108"/>
        <v>0.75</v>
      </c>
      <c r="V203" s="10">
        <f t="shared" si="109"/>
        <v>0.75</v>
      </c>
      <c r="W203" s="10">
        <f t="shared" si="110"/>
        <v>1</v>
      </c>
      <c r="X203" s="10">
        <f t="shared" si="111"/>
        <v>0.5</v>
      </c>
      <c r="Y203" s="10">
        <f t="shared" si="112"/>
        <v>0</v>
      </c>
      <c r="Z203" s="10">
        <f t="shared" si="113"/>
        <v>1</v>
      </c>
      <c r="AA203" s="10" t="str">
        <f t="shared" si="114"/>
        <v/>
      </c>
      <c r="AB203" s="10" t="str">
        <f t="shared" si="115"/>
        <v/>
      </c>
      <c r="AC203" s="10" t="str">
        <f t="shared" si="116"/>
        <v/>
      </c>
      <c r="AD203" s="10" t="str">
        <f t="shared" si="117"/>
        <v/>
      </c>
      <c r="AE203" s="10" t="str">
        <f t="shared" si="118"/>
        <v/>
      </c>
      <c r="AF203" s="10" t="str">
        <f t="shared" si="119"/>
        <v/>
      </c>
      <c r="AG203" s="10" t="str">
        <f t="shared" si="120"/>
        <v/>
      </c>
      <c r="AH203" s="10" t="str">
        <f t="shared" si="121"/>
        <v/>
      </c>
      <c r="AI203" s="10">
        <f>IF(OR(S203="",'4_BENCHMARK'!$C$4=""),"",ABS(S203-'4_BENCHMARK'!$C$4))</f>
        <v>0.25</v>
      </c>
      <c r="AJ203" s="10">
        <f>IF(OR(T203="",'4_BENCHMARK'!$C$5=""),"",ABS(T203-'4_BENCHMARK'!$C$5))</f>
        <v>0.25</v>
      </c>
      <c r="AK203" s="10">
        <f>IF(OR(U203="",'4_BENCHMARK'!$C$6=""),"",ABS(U203-'4_BENCHMARK'!$C$6))</f>
        <v>0.25</v>
      </c>
      <c r="AL203" s="10">
        <f>IF(OR(V203="",'4_BENCHMARK'!$C$7=""),"",ABS(V203-'4_BENCHMARK'!$C$7))</f>
        <v>0.25</v>
      </c>
      <c r="AM203" s="10">
        <f>IF(OR(W203="",'4_BENCHMARK'!$C$8=""),"",ABS(W203-'4_BENCHMARK'!$C$8))</f>
        <v>1</v>
      </c>
      <c r="AN203" s="10">
        <f>IF(OR(X203="",'4_BENCHMARK'!$C$9=""),"",ABS(X203-'4_BENCHMARK'!$C$9))</f>
        <v>0.5</v>
      </c>
      <c r="AO203" s="10">
        <f>IF(OR(Y203="",'4_BENCHMARK'!$C$10=""),"",ABS(Y203-'4_BENCHMARK'!$C$10))</f>
        <v>0.5</v>
      </c>
      <c r="AP203" s="10">
        <f>IF(OR(Z203="",'4_BENCHMARK'!$C$11=""),"",ABS(Z203-'4_BENCHMARK'!$C$11))</f>
        <v>0</v>
      </c>
      <c r="AQ203" s="13">
        <f t="shared" si="122"/>
        <v>0.625</v>
      </c>
      <c r="AR203" s="10"/>
      <c r="AS203" s="10" t="s">
        <v>145</v>
      </c>
      <c r="AT203" s="13">
        <f t="shared" si="123"/>
        <v>0.75</v>
      </c>
      <c r="AU203" s="1" t="str">
        <f t="shared" si="124"/>
        <v/>
      </c>
      <c r="AV203" s="1" t="str">
        <f t="shared" si="125"/>
        <v/>
      </c>
      <c r="AW203" s="1" t="str">
        <f t="shared" si="126"/>
        <v/>
      </c>
      <c r="AX203" s="1" t="str">
        <f t="shared" si="127"/>
        <v/>
      </c>
      <c r="AY203" s="1" t="str">
        <f t="shared" si="128"/>
        <v/>
      </c>
      <c r="AZ203" s="1" t="str">
        <f t="shared" si="129"/>
        <v/>
      </c>
      <c r="BA203" s="1" t="str">
        <f t="shared" si="130"/>
        <v/>
      </c>
      <c r="BB203" s="1" t="str">
        <f t="shared" si="131"/>
        <v/>
      </c>
      <c r="BC203" s="1">
        <f t="shared" si="132"/>
        <v>4</v>
      </c>
      <c r="BD203" s="1">
        <f t="shared" si="133"/>
        <v>4</v>
      </c>
      <c r="BE203" s="1">
        <f t="shared" si="134"/>
        <v>4</v>
      </c>
      <c r="BF203" s="1">
        <f t="shared" si="135"/>
        <v>4</v>
      </c>
      <c r="BG203" s="1">
        <f t="shared" si="136"/>
        <v>5</v>
      </c>
      <c r="BH203" s="1">
        <f t="shared" si="137"/>
        <v>3</v>
      </c>
      <c r="BI203" s="1">
        <f t="shared" si="138"/>
        <v>1</v>
      </c>
      <c r="BJ203" s="1">
        <f t="shared" si="139"/>
        <v>5</v>
      </c>
    </row>
    <row r="204" ht="14.25" customHeight="1" spans="1:62">
      <c r="A204" s="10">
        <v>200</v>
      </c>
      <c r="B204" s="10" t="s">
        <v>755</v>
      </c>
      <c r="C204" s="10">
        <v>1890</v>
      </c>
      <c r="D204" s="10">
        <f t="shared" si="105"/>
        <v>1890</v>
      </c>
      <c r="E204" s="10" t="s">
        <v>136</v>
      </c>
      <c r="F204" s="35" t="s">
        <v>756</v>
      </c>
      <c r="G204" s="10" t="s">
        <v>757</v>
      </c>
      <c r="H204" s="10" t="s">
        <v>139</v>
      </c>
      <c r="I204" s="10" t="s">
        <v>140</v>
      </c>
      <c r="J204" s="10" t="s">
        <v>256</v>
      </c>
      <c r="K204" s="10">
        <v>5</v>
      </c>
      <c r="L204" s="10">
        <v>5</v>
      </c>
      <c r="M204" s="10">
        <v>5</v>
      </c>
      <c r="N204" s="10">
        <v>5</v>
      </c>
      <c r="O204" s="10">
        <v>1</v>
      </c>
      <c r="P204" s="10">
        <v>1</v>
      </c>
      <c r="Q204" s="10">
        <v>2</v>
      </c>
      <c r="R204" s="10">
        <v>5</v>
      </c>
      <c r="S204" s="10">
        <f t="shared" si="106"/>
        <v>1</v>
      </c>
      <c r="T204" s="10">
        <f t="shared" si="107"/>
        <v>1</v>
      </c>
      <c r="U204" s="10">
        <f t="shared" si="108"/>
        <v>1</v>
      </c>
      <c r="V204" s="10">
        <f t="shared" si="109"/>
        <v>1</v>
      </c>
      <c r="W204" s="10">
        <f t="shared" si="110"/>
        <v>0</v>
      </c>
      <c r="X204" s="10">
        <f t="shared" si="111"/>
        <v>0</v>
      </c>
      <c r="Y204" s="10">
        <f t="shared" si="112"/>
        <v>0.25</v>
      </c>
      <c r="Z204" s="10">
        <f t="shared" si="113"/>
        <v>1</v>
      </c>
      <c r="AA204" s="10">
        <f t="shared" si="114"/>
        <v>1</v>
      </c>
      <c r="AB204" s="10">
        <f t="shared" si="115"/>
        <v>1</v>
      </c>
      <c r="AC204" s="10">
        <f t="shared" si="116"/>
        <v>1</v>
      </c>
      <c r="AD204" s="10">
        <f t="shared" si="117"/>
        <v>1</v>
      </c>
      <c r="AE204" s="10">
        <f t="shared" si="118"/>
        <v>0</v>
      </c>
      <c r="AF204" s="10">
        <f t="shared" si="119"/>
        <v>0</v>
      </c>
      <c r="AG204" s="10">
        <f t="shared" si="120"/>
        <v>0.25</v>
      </c>
      <c r="AH204" s="10">
        <f t="shared" si="121"/>
        <v>1</v>
      </c>
      <c r="AI204" s="10">
        <f>IF(OR(S204="",'4_BENCHMARK'!$C$4=""),"",ABS(S204-'4_BENCHMARK'!$C$4))</f>
        <v>0</v>
      </c>
      <c r="AJ204" s="10">
        <f>IF(OR(T204="",'4_BENCHMARK'!$C$5=""),"",ABS(T204-'4_BENCHMARK'!$C$5))</f>
        <v>0</v>
      </c>
      <c r="AK204" s="10">
        <f>IF(OR(U204="",'4_BENCHMARK'!$C$6=""),"",ABS(U204-'4_BENCHMARK'!$C$6))</f>
        <v>0</v>
      </c>
      <c r="AL204" s="10">
        <f>IF(OR(V204="",'4_BENCHMARK'!$C$7=""),"",ABS(V204-'4_BENCHMARK'!$C$7))</f>
        <v>0</v>
      </c>
      <c r="AM204" s="10">
        <f>IF(OR(W204="",'4_BENCHMARK'!$C$8=""),"",ABS(W204-'4_BENCHMARK'!$C$8))</f>
        <v>0</v>
      </c>
      <c r="AN204" s="10">
        <f>IF(OR(X204="",'4_BENCHMARK'!$C$9=""),"",ABS(X204-'4_BENCHMARK'!$C$9))</f>
        <v>0</v>
      </c>
      <c r="AO204" s="10">
        <f>IF(OR(Y204="",'4_BENCHMARK'!$C$10=""),"",ABS(Y204-'4_BENCHMARK'!$C$10))</f>
        <v>0.25</v>
      </c>
      <c r="AP204" s="10">
        <f>IF(OR(Z204="",'4_BENCHMARK'!$C$11=""),"",ABS(Z204-'4_BENCHMARK'!$C$11))</f>
        <v>0</v>
      </c>
      <c r="AQ204" s="13">
        <f t="shared" si="122"/>
        <v>0.96875</v>
      </c>
      <c r="AR204" s="10"/>
      <c r="AS204" s="10" t="s">
        <v>141</v>
      </c>
      <c r="AT204" s="13">
        <f t="shared" si="123"/>
        <v>0.958333333333333</v>
      </c>
      <c r="AU204" s="1">
        <f t="shared" si="124"/>
        <v>5</v>
      </c>
      <c r="AV204" s="1">
        <f t="shared" si="125"/>
        <v>5</v>
      </c>
      <c r="AW204" s="1">
        <f t="shared" si="126"/>
        <v>5</v>
      </c>
      <c r="AX204" s="1">
        <f t="shared" si="127"/>
        <v>5</v>
      </c>
      <c r="AY204" s="1">
        <f t="shared" si="128"/>
        <v>1</v>
      </c>
      <c r="AZ204" s="1">
        <f t="shared" si="129"/>
        <v>1</v>
      </c>
      <c r="BA204" s="1">
        <f t="shared" si="130"/>
        <v>2</v>
      </c>
      <c r="BB204" s="1">
        <f t="shared" si="131"/>
        <v>5</v>
      </c>
      <c r="BC204" s="1" t="str">
        <f t="shared" si="132"/>
        <v/>
      </c>
      <c r="BD204" s="1" t="str">
        <f t="shared" si="133"/>
        <v/>
      </c>
      <c r="BE204" s="1" t="str">
        <f t="shared" si="134"/>
        <v/>
      </c>
      <c r="BF204" s="1" t="str">
        <f t="shared" si="135"/>
        <v/>
      </c>
      <c r="BG204" s="1" t="str">
        <f t="shared" si="136"/>
        <v/>
      </c>
      <c r="BH204" s="1" t="str">
        <f t="shared" si="137"/>
        <v/>
      </c>
      <c r="BI204" s="1" t="str">
        <f t="shared" si="138"/>
        <v/>
      </c>
      <c r="BJ204" s="1" t="str">
        <f t="shared" si="139"/>
        <v/>
      </c>
    </row>
    <row r="205" ht="14.25" customHeight="1" spans="1:62">
      <c r="A205" s="10">
        <v>201</v>
      </c>
      <c r="B205" s="36" t="s">
        <v>758</v>
      </c>
      <c r="C205" s="10">
        <v>1990</v>
      </c>
      <c r="D205" s="10">
        <f t="shared" si="105"/>
        <v>1990</v>
      </c>
      <c r="E205" s="36" t="s">
        <v>759</v>
      </c>
      <c r="F205" s="35" t="s">
        <v>760</v>
      </c>
      <c r="G205" s="36" t="s">
        <v>761</v>
      </c>
      <c r="H205" s="10" t="s">
        <v>140</v>
      </c>
      <c r="I205" s="10" t="s">
        <v>140</v>
      </c>
      <c r="J205" s="36" t="s">
        <v>762</v>
      </c>
      <c r="K205" s="10">
        <v>5</v>
      </c>
      <c r="L205" s="10">
        <v>5</v>
      </c>
      <c r="M205" s="10">
        <v>5</v>
      </c>
      <c r="N205" s="10">
        <v>5</v>
      </c>
      <c r="O205" s="10">
        <v>5</v>
      </c>
      <c r="P205" s="10">
        <v>5</v>
      </c>
      <c r="Q205" s="10">
        <v>2</v>
      </c>
      <c r="R205" s="10">
        <v>5</v>
      </c>
      <c r="S205" s="10">
        <f t="shared" si="106"/>
        <v>1</v>
      </c>
      <c r="T205" s="10">
        <f t="shared" si="107"/>
        <v>1</v>
      </c>
      <c r="U205" s="10">
        <f t="shared" si="108"/>
        <v>1</v>
      </c>
      <c r="V205" s="10">
        <f t="shared" si="109"/>
        <v>1</v>
      </c>
      <c r="W205" s="10">
        <f t="shared" si="110"/>
        <v>1</v>
      </c>
      <c r="X205" s="10">
        <f t="shared" si="111"/>
        <v>1</v>
      </c>
      <c r="Y205" s="10">
        <f t="shared" si="112"/>
        <v>0.25</v>
      </c>
      <c r="Z205" s="10">
        <f t="shared" si="113"/>
        <v>1</v>
      </c>
      <c r="AA205" s="10" t="str">
        <f t="shared" si="114"/>
        <v/>
      </c>
      <c r="AB205" s="10" t="str">
        <f t="shared" si="115"/>
        <v/>
      </c>
      <c r="AC205" s="10" t="str">
        <f t="shared" si="116"/>
        <v/>
      </c>
      <c r="AD205" s="10" t="str">
        <f t="shared" si="117"/>
        <v/>
      </c>
      <c r="AE205" s="10" t="str">
        <f t="shared" si="118"/>
        <v/>
      </c>
      <c r="AF205" s="10" t="str">
        <f t="shared" si="119"/>
        <v/>
      </c>
      <c r="AG205" s="10" t="str">
        <f t="shared" si="120"/>
        <v/>
      </c>
      <c r="AH205" s="10" t="str">
        <f t="shared" si="121"/>
        <v/>
      </c>
      <c r="AI205" s="10">
        <f>IF(OR(S205="",'4_BENCHMARK'!$C$4=""),"",ABS(S205-'4_BENCHMARK'!$C$4))</f>
        <v>0</v>
      </c>
      <c r="AJ205" s="10">
        <f>IF(OR(T205="",'4_BENCHMARK'!$C$5=""),"",ABS(T205-'4_BENCHMARK'!$C$5))</f>
        <v>0</v>
      </c>
      <c r="AK205" s="10">
        <f>IF(OR(U205="",'4_BENCHMARK'!$C$6=""),"",ABS(U205-'4_BENCHMARK'!$C$6))</f>
        <v>0</v>
      </c>
      <c r="AL205" s="10">
        <f>IF(OR(V205="",'4_BENCHMARK'!$C$7=""),"",ABS(V205-'4_BENCHMARK'!$C$7))</f>
        <v>0</v>
      </c>
      <c r="AM205" s="10">
        <f>IF(OR(W205="",'4_BENCHMARK'!$C$8=""),"",ABS(W205-'4_BENCHMARK'!$C$8))</f>
        <v>1</v>
      </c>
      <c r="AN205" s="10">
        <f>IF(OR(X205="",'4_BENCHMARK'!$C$9=""),"",ABS(X205-'4_BENCHMARK'!$C$9))</f>
        <v>1</v>
      </c>
      <c r="AO205" s="10">
        <f>IF(OR(Y205="",'4_BENCHMARK'!$C$10=""),"",ABS(Y205-'4_BENCHMARK'!$C$10))</f>
        <v>0.25</v>
      </c>
      <c r="AP205" s="10">
        <f>IF(OR(Z205="",'4_BENCHMARK'!$C$11=""),"",ABS(Z205-'4_BENCHMARK'!$C$11))</f>
        <v>0</v>
      </c>
      <c r="AQ205" s="13">
        <f t="shared" si="122"/>
        <v>0.71875</v>
      </c>
      <c r="AR205" s="10"/>
      <c r="AS205" s="36" t="s">
        <v>149</v>
      </c>
      <c r="AT205" s="13">
        <f t="shared" si="123"/>
        <v>0.958333333333333</v>
      </c>
      <c r="AU205" s="1" t="str">
        <f t="shared" si="124"/>
        <v/>
      </c>
      <c r="AV205" s="1" t="str">
        <f t="shared" si="125"/>
        <v/>
      </c>
      <c r="AW205" s="1" t="str">
        <f t="shared" si="126"/>
        <v/>
      </c>
      <c r="AX205" s="1" t="str">
        <f t="shared" si="127"/>
        <v/>
      </c>
      <c r="AY205" s="1" t="str">
        <f t="shared" si="128"/>
        <v/>
      </c>
      <c r="AZ205" s="1" t="str">
        <f t="shared" si="129"/>
        <v/>
      </c>
      <c r="BA205" s="1" t="str">
        <f t="shared" si="130"/>
        <v/>
      </c>
      <c r="BB205" s="1" t="str">
        <f t="shared" si="131"/>
        <v/>
      </c>
      <c r="BC205" s="1" t="str">
        <f t="shared" si="132"/>
        <v/>
      </c>
      <c r="BD205" s="1" t="str">
        <f t="shared" si="133"/>
        <v/>
      </c>
      <c r="BE205" s="1" t="str">
        <f t="shared" si="134"/>
        <v/>
      </c>
      <c r="BF205" s="1" t="str">
        <f t="shared" si="135"/>
        <v/>
      </c>
      <c r="BG205" s="1" t="str">
        <f t="shared" si="136"/>
        <v/>
      </c>
      <c r="BH205" s="1" t="str">
        <f t="shared" si="137"/>
        <v/>
      </c>
      <c r="BI205" s="1" t="str">
        <f t="shared" si="138"/>
        <v/>
      </c>
      <c r="BJ205" s="1" t="str">
        <f t="shared" si="139"/>
        <v/>
      </c>
    </row>
    <row r="206" ht="14.25" customHeight="1" spans="1:62">
      <c r="A206" s="10">
        <v>202</v>
      </c>
      <c r="B206" s="10" t="s">
        <v>763</v>
      </c>
      <c r="C206" s="10">
        <v>1980</v>
      </c>
      <c r="D206" s="10">
        <f t="shared" si="105"/>
        <v>1980</v>
      </c>
      <c r="E206" s="10" t="s">
        <v>764</v>
      </c>
      <c r="F206" s="35" t="s">
        <v>765</v>
      </c>
      <c r="G206" s="10" t="s">
        <v>766</v>
      </c>
      <c r="H206" s="10" t="s">
        <v>139</v>
      </c>
      <c r="I206" s="10" t="s">
        <v>140</v>
      </c>
      <c r="J206" s="10" t="s">
        <v>767</v>
      </c>
      <c r="K206" s="10">
        <v>4</v>
      </c>
      <c r="L206" s="10">
        <v>4</v>
      </c>
      <c r="M206" s="10">
        <v>4</v>
      </c>
      <c r="N206" s="10">
        <v>5</v>
      </c>
      <c r="O206" s="10">
        <v>5</v>
      </c>
      <c r="P206" s="10">
        <v>5</v>
      </c>
      <c r="Q206" s="10">
        <v>2</v>
      </c>
      <c r="R206" s="10">
        <v>3</v>
      </c>
      <c r="S206" s="10">
        <f t="shared" si="106"/>
        <v>0.75</v>
      </c>
      <c r="T206" s="10">
        <f t="shared" si="107"/>
        <v>0.75</v>
      </c>
      <c r="U206" s="10">
        <f t="shared" si="108"/>
        <v>0.75</v>
      </c>
      <c r="V206" s="10">
        <f t="shared" si="109"/>
        <v>1</v>
      </c>
      <c r="W206" s="10">
        <f t="shared" si="110"/>
        <v>1</v>
      </c>
      <c r="X206" s="10">
        <f t="shared" si="111"/>
        <v>1</v>
      </c>
      <c r="Y206" s="10">
        <f t="shared" si="112"/>
        <v>0.25</v>
      </c>
      <c r="Z206" s="10">
        <f t="shared" si="113"/>
        <v>0.5</v>
      </c>
      <c r="AA206" s="10" t="str">
        <f t="shared" si="114"/>
        <v/>
      </c>
      <c r="AB206" s="10" t="str">
        <f t="shared" si="115"/>
        <v/>
      </c>
      <c r="AC206" s="10" t="str">
        <f t="shared" si="116"/>
        <v/>
      </c>
      <c r="AD206" s="10" t="str">
        <f t="shared" si="117"/>
        <v/>
      </c>
      <c r="AE206" s="10" t="str">
        <f t="shared" si="118"/>
        <v/>
      </c>
      <c r="AF206" s="10" t="str">
        <f t="shared" si="119"/>
        <v/>
      </c>
      <c r="AG206" s="10" t="str">
        <f t="shared" si="120"/>
        <v/>
      </c>
      <c r="AH206" s="10" t="str">
        <f t="shared" si="121"/>
        <v/>
      </c>
      <c r="AI206" s="10">
        <f>IF(OR(S206="",'4_BENCHMARK'!$C$4=""),"",ABS(S206-'4_BENCHMARK'!$C$4))</f>
        <v>0.25</v>
      </c>
      <c r="AJ206" s="10">
        <f>IF(OR(T206="",'4_BENCHMARK'!$C$5=""),"",ABS(T206-'4_BENCHMARK'!$C$5))</f>
        <v>0.25</v>
      </c>
      <c r="AK206" s="10">
        <f>IF(OR(U206="",'4_BENCHMARK'!$C$6=""),"",ABS(U206-'4_BENCHMARK'!$C$6))</f>
        <v>0.25</v>
      </c>
      <c r="AL206" s="10">
        <f>IF(OR(V206="",'4_BENCHMARK'!$C$7=""),"",ABS(V206-'4_BENCHMARK'!$C$7))</f>
        <v>0</v>
      </c>
      <c r="AM206" s="10">
        <f>IF(OR(W206="",'4_BENCHMARK'!$C$8=""),"",ABS(W206-'4_BENCHMARK'!$C$8))</f>
        <v>1</v>
      </c>
      <c r="AN206" s="10">
        <f>IF(OR(X206="",'4_BENCHMARK'!$C$9=""),"",ABS(X206-'4_BENCHMARK'!$C$9))</f>
        <v>1</v>
      </c>
      <c r="AO206" s="10">
        <f>IF(OR(Y206="",'4_BENCHMARK'!$C$10=""),"",ABS(Y206-'4_BENCHMARK'!$C$10))</f>
        <v>0.25</v>
      </c>
      <c r="AP206" s="10">
        <f>IF(OR(Z206="",'4_BENCHMARK'!$C$11=""),"",ABS(Z206-'4_BENCHMARK'!$C$11))</f>
        <v>0.5</v>
      </c>
      <c r="AQ206" s="13">
        <f t="shared" si="122"/>
        <v>0.5625</v>
      </c>
      <c r="AR206" s="10"/>
      <c r="AS206" s="36" t="s">
        <v>145</v>
      </c>
      <c r="AT206" s="13">
        <f t="shared" si="123"/>
        <v>0.75</v>
      </c>
      <c r="AU206" s="1" t="str">
        <f t="shared" si="124"/>
        <v/>
      </c>
      <c r="AV206" s="1" t="str">
        <f t="shared" si="125"/>
        <v/>
      </c>
      <c r="AW206" s="1" t="str">
        <f t="shared" si="126"/>
        <v/>
      </c>
      <c r="AX206" s="1" t="str">
        <f t="shared" si="127"/>
        <v/>
      </c>
      <c r="AY206" s="1" t="str">
        <f t="shared" si="128"/>
        <v/>
      </c>
      <c r="AZ206" s="1" t="str">
        <f t="shared" si="129"/>
        <v/>
      </c>
      <c r="BA206" s="1" t="str">
        <f t="shared" si="130"/>
        <v/>
      </c>
      <c r="BB206" s="1" t="str">
        <f t="shared" si="131"/>
        <v/>
      </c>
      <c r="BC206" s="1" t="str">
        <f t="shared" si="132"/>
        <v/>
      </c>
      <c r="BD206" s="1" t="str">
        <f t="shared" si="133"/>
        <v/>
      </c>
      <c r="BE206" s="1" t="str">
        <f t="shared" si="134"/>
        <v/>
      </c>
      <c r="BF206" s="1" t="str">
        <f t="shared" si="135"/>
        <v/>
      </c>
      <c r="BG206" s="1" t="str">
        <f t="shared" si="136"/>
        <v/>
      </c>
      <c r="BH206" s="1" t="str">
        <f t="shared" si="137"/>
        <v/>
      </c>
      <c r="BI206" s="1" t="str">
        <f t="shared" si="138"/>
        <v/>
      </c>
      <c r="BJ206" s="1" t="str">
        <f t="shared" si="139"/>
        <v/>
      </c>
    </row>
    <row r="207" ht="14.25" customHeight="1" spans="1:62">
      <c r="A207" s="10">
        <v>203</v>
      </c>
      <c r="B207" s="10" t="s">
        <v>768</v>
      </c>
      <c r="C207" s="10">
        <v>1998</v>
      </c>
      <c r="D207" s="10">
        <f t="shared" si="105"/>
        <v>1990</v>
      </c>
      <c r="E207" s="10" t="s">
        <v>764</v>
      </c>
      <c r="F207" s="35" t="s">
        <v>769</v>
      </c>
      <c r="G207" s="10" t="s">
        <v>770</v>
      </c>
      <c r="H207" s="10" t="s">
        <v>140</v>
      </c>
      <c r="I207" s="10" t="s">
        <v>140</v>
      </c>
      <c r="J207" s="10"/>
      <c r="K207" s="10">
        <v>4</v>
      </c>
      <c r="L207" s="10">
        <v>4</v>
      </c>
      <c r="M207" s="10">
        <v>4</v>
      </c>
      <c r="N207" s="10">
        <v>5</v>
      </c>
      <c r="O207" s="10">
        <v>5</v>
      </c>
      <c r="P207" s="10">
        <v>5</v>
      </c>
      <c r="Q207" s="10">
        <v>1</v>
      </c>
      <c r="R207" s="10">
        <v>5</v>
      </c>
      <c r="S207" s="10">
        <f t="shared" si="106"/>
        <v>0.75</v>
      </c>
      <c r="T207" s="10">
        <f t="shared" si="107"/>
        <v>0.75</v>
      </c>
      <c r="U207" s="10">
        <f t="shared" si="108"/>
        <v>0.75</v>
      </c>
      <c r="V207" s="10">
        <f t="shared" si="109"/>
        <v>1</v>
      </c>
      <c r="W207" s="10">
        <f t="shared" si="110"/>
        <v>1</v>
      </c>
      <c r="X207" s="10">
        <f t="shared" si="111"/>
        <v>1</v>
      </c>
      <c r="Y207" s="10">
        <f t="shared" si="112"/>
        <v>0</v>
      </c>
      <c r="Z207" s="10">
        <f t="shared" si="113"/>
        <v>1</v>
      </c>
      <c r="AA207" s="10" t="str">
        <f t="shared" si="114"/>
        <v/>
      </c>
      <c r="AB207" s="10" t="str">
        <f t="shared" si="115"/>
        <v/>
      </c>
      <c r="AC207" s="10" t="str">
        <f t="shared" si="116"/>
        <v/>
      </c>
      <c r="AD207" s="10" t="str">
        <f t="shared" si="117"/>
        <v/>
      </c>
      <c r="AE207" s="10" t="str">
        <f t="shared" si="118"/>
        <v/>
      </c>
      <c r="AF207" s="10" t="str">
        <f t="shared" si="119"/>
        <v/>
      </c>
      <c r="AG207" s="10" t="str">
        <f t="shared" si="120"/>
        <v/>
      </c>
      <c r="AH207" s="10" t="str">
        <f t="shared" si="121"/>
        <v/>
      </c>
      <c r="AI207" s="10">
        <f>IF(OR(S207="",'4_BENCHMARK'!$C$4=""),"",ABS(S207-'4_BENCHMARK'!$C$4))</f>
        <v>0.25</v>
      </c>
      <c r="AJ207" s="10">
        <f>IF(OR(T207="",'4_BENCHMARK'!$C$5=""),"",ABS(T207-'4_BENCHMARK'!$C$5))</f>
        <v>0.25</v>
      </c>
      <c r="AK207" s="10">
        <f>IF(OR(U207="",'4_BENCHMARK'!$C$6=""),"",ABS(U207-'4_BENCHMARK'!$C$6))</f>
        <v>0.25</v>
      </c>
      <c r="AL207" s="10">
        <f>IF(OR(V207="",'4_BENCHMARK'!$C$7=""),"",ABS(V207-'4_BENCHMARK'!$C$7))</f>
        <v>0</v>
      </c>
      <c r="AM207" s="10">
        <f>IF(OR(W207="",'4_BENCHMARK'!$C$8=""),"",ABS(W207-'4_BENCHMARK'!$C$8))</f>
        <v>1</v>
      </c>
      <c r="AN207" s="10">
        <f>IF(OR(X207="",'4_BENCHMARK'!$C$9=""),"",ABS(X207-'4_BENCHMARK'!$C$9))</f>
        <v>1</v>
      </c>
      <c r="AO207" s="10">
        <f>IF(OR(Y207="",'4_BENCHMARK'!$C$10=""),"",ABS(Y207-'4_BENCHMARK'!$C$10))</f>
        <v>0.5</v>
      </c>
      <c r="AP207" s="10">
        <f>IF(OR(Z207="",'4_BENCHMARK'!$C$11=""),"",ABS(Z207-'4_BENCHMARK'!$C$11))</f>
        <v>0</v>
      </c>
      <c r="AQ207" s="13">
        <f t="shared" si="122"/>
        <v>0.59375</v>
      </c>
      <c r="AR207" s="10"/>
      <c r="AS207" s="36" t="s">
        <v>145</v>
      </c>
      <c r="AT207" s="13">
        <f t="shared" si="123"/>
        <v>0.791666666666667</v>
      </c>
      <c r="AU207" s="1" t="str">
        <f t="shared" si="124"/>
        <v/>
      </c>
      <c r="AV207" s="1" t="str">
        <f t="shared" si="125"/>
        <v/>
      </c>
      <c r="AW207" s="1" t="str">
        <f t="shared" si="126"/>
        <v/>
      </c>
      <c r="AX207" s="1" t="str">
        <f t="shared" si="127"/>
        <v/>
      </c>
      <c r="AY207" s="1" t="str">
        <f t="shared" si="128"/>
        <v/>
      </c>
      <c r="AZ207" s="1" t="str">
        <f t="shared" si="129"/>
        <v/>
      </c>
      <c r="BA207" s="1" t="str">
        <f t="shared" si="130"/>
        <v/>
      </c>
      <c r="BB207" s="1" t="str">
        <f t="shared" si="131"/>
        <v/>
      </c>
      <c r="BC207" s="1" t="str">
        <f t="shared" si="132"/>
        <v/>
      </c>
      <c r="BD207" s="1" t="str">
        <f t="shared" si="133"/>
        <v/>
      </c>
      <c r="BE207" s="1" t="str">
        <f t="shared" si="134"/>
        <v/>
      </c>
      <c r="BF207" s="1" t="str">
        <f t="shared" si="135"/>
        <v/>
      </c>
      <c r="BG207" s="1" t="str">
        <f t="shared" si="136"/>
        <v/>
      </c>
      <c r="BH207" s="1" t="str">
        <f t="shared" si="137"/>
        <v/>
      </c>
      <c r="BI207" s="1" t="str">
        <f t="shared" si="138"/>
        <v/>
      </c>
      <c r="BJ207" s="1" t="str">
        <f t="shared" si="139"/>
        <v/>
      </c>
    </row>
    <row r="208" ht="14.25" customHeight="1" spans="1:62">
      <c r="A208" s="10">
        <v>204</v>
      </c>
      <c r="B208" s="10" t="s">
        <v>771</v>
      </c>
      <c r="C208" s="10">
        <v>1998</v>
      </c>
      <c r="D208" s="10">
        <f t="shared" si="105"/>
        <v>1990</v>
      </c>
      <c r="E208" s="10" t="s">
        <v>764</v>
      </c>
      <c r="F208" s="35" t="s">
        <v>769</v>
      </c>
      <c r="G208" s="10" t="s">
        <v>772</v>
      </c>
      <c r="H208" s="10" t="s">
        <v>140</v>
      </c>
      <c r="I208" s="10" t="s">
        <v>140</v>
      </c>
      <c r="J208" s="10"/>
      <c r="K208" s="10">
        <v>3</v>
      </c>
      <c r="L208" s="10">
        <v>3</v>
      </c>
      <c r="M208" s="10">
        <v>4</v>
      </c>
      <c r="N208" s="10">
        <v>5</v>
      </c>
      <c r="O208" s="10">
        <v>5</v>
      </c>
      <c r="P208" s="10">
        <v>5</v>
      </c>
      <c r="Q208" s="10">
        <v>1</v>
      </c>
      <c r="R208" s="10">
        <v>5</v>
      </c>
      <c r="S208" s="10">
        <f t="shared" si="106"/>
        <v>0.5</v>
      </c>
      <c r="T208" s="10">
        <f t="shared" si="107"/>
        <v>0.5</v>
      </c>
      <c r="U208" s="10">
        <f t="shared" si="108"/>
        <v>0.75</v>
      </c>
      <c r="V208" s="10">
        <f t="shared" si="109"/>
        <v>1</v>
      </c>
      <c r="W208" s="10">
        <f t="shared" si="110"/>
        <v>1</v>
      </c>
      <c r="X208" s="10">
        <f t="shared" si="111"/>
        <v>1</v>
      </c>
      <c r="Y208" s="10">
        <f t="shared" si="112"/>
        <v>0</v>
      </c>
      <c r="Z208" s="10">
        <f t="shared" si="113"/>
        <v>1</v>
      </c>
      <c r="AA208" s="10" t="str">
        <f t="shared" si="114"/>
        <v/>
      </c>
      <c r="AB208" s="10" t="str">
        <f t="shared" si="115"/>
        <v/>
      </c>
      <c r="AC208" s="10" t="str">
        <f t="shared" si="116"/>
        <v/>
      </c>
      <c r="AD208" s="10" t="str">
        <f t="shared" si="117"/>
        <v/>
      </c>
      <c r="AE208" s="10" t="str">
        <f t="shared" si="118"/>
        <v/>
      </c>
      <c r="AF208" s="10" t="str">
        <f t="shared" si="119"/>
        <v/>
      </c>
      <c r="AG208" s="10" t="str">
        <f t="shared" si="120"/>
        <v/>
      </c>
      <c r="AH208" s="10" t="str">
        <f t="shared" si="121"/>
        <v/>
      </c>
      <c r="AI208" s="10">
        <f>IF(OR(S208="",'4_BENCHMARK'!$C$4=""),"",ABS(S208-'4_BENCHMARK'!$C$4))</f>
        <v>0.5</v>
      </c>
      <c r="AJ208" s="10">
        <f>IF(OR(T208="",'4_BENCHMARK'!$C$5=""),"",ABS(T208-'4_BENCHMARK'!$C$5))</f>
        <v>0.5</v>
      </c>
      <c r="AK208" s="10">
        <f>IF(OR(U208="",'4_BENCHMARK'!$C$6=""),"",ABS(U208-'4_BENCHMARK'!$C$6))</f>
        <v>0.25</v>
      </c>
      <c r="AL208" s="10">
        <f>IF(OR(V208="",'4_BENCHMARK'!$C$7=""),"",ABS(V208-'4_BENCHMARK'!$C$7))</f>
        <v>0</v>
      </c>
      <c r="AM208" s="10">
        <f>IF(OR(W208="",'4_BENCHMARK'!$C$8=""),"",ABS(W208-'4_BENCHMARK'!$C$8))</f>
        <v>1</v>
      </c>
      <c r="AN208" s="10">
        <f>IF(OR(X208="",'4_BENCHMARK'!$C$9=""),"",ABS(X208-'4_BENCHMARK'!$C$9))</f>
        <v>1</v>
      </c>
      <c r="AO208" s="10">
        <f>IF(OR(Y208="",'4_BENCHMARK'!$C$10=""),"",ABS(Y208-'4_BENCHMARK'!$C$10))</f>
        <v>0.5</v>
      </c>
      <c r="AP208" s="10">
        <f>IF(OR(Z208="",'4_BENCHMARK'!$C$11=""),"",ABS(Z208-'4_BENCHMARK'!$C$11))</f>
        <v>0</v>
      </c>
      <c r="AQ208" s="13">
        <f t="shared" si="122"/>
        <v>0.53125</v>
      </c>
      <c r="AR208" s="10"/>
      <c r="AS208" s="36" t="s">
        <v>145</v>
      </c>
      <c r="AT208" s="13">
        <f t="shared" si="123"/>
        <v>0.708333333333333</v>
      </c>
      <c r="AU208" s="1" t="str">
        <f t="shared" si="124"/>
        <v/>
      </c>
      <c r="AV208" s="1" t="str">
        <f t="shared" si="125"/>
        <v/>
      </c>
      <c r="AW208" s="1" t="str">
        <f t="shared" si="126"/>
        <v/>
      </c>
      <c r="AX208" s="1" t="str">
        <f t="shared" si="127"/>
        <v/>
      </c>
      <c r="AY208" s="1" t="str">
        <f t="shared" si="128"/>
        <v/>
      </c>
      <c r="AZ208" s="1" t="str">
        <f t="shared" si="129"/>
        <v/>
      </c>
      <c r="BA208" s="1" t="str">
        <f t="shared" si="130"/>
        <v/>
      </c>
      <c r="BB208" s="1" t="str">
        <f t="shared" si="131"/>
        <v/>
      </c>
      <c r="BC208" s="1" t="str">
        <f t="shared" si="132"/>
        <v/>
      </c>
      <c r="BD208" s="1" t="str">
        <f t="shared" si="133"/>
        <v/>
      </c>
      <c r="BE208" s="1" t="str">
        <f t="shared" si="134"/>
        <v/>
      </c>
      <c r="BF208" s="1" t="str">
        <f t="shared" si="135"/>
        <v/>
      </c>
      <c r="BG208" s="1" t="str">
        <f t="shared" si="136"/>
        <v/>
      </c>
      <c r="BH208" s="1" t="str">
        <f t="shared" si="137"/>
        <v/>
      </c>
      <c r="BI208" s="1" t="str">
        <f t="shared" si="138"/>
        <v/>
      </c>
      <c r="BJ208" s="1" t="str">
        <f t="shared" si="139"/>
        <v/>
      </c>
    </row>
    <row r="209" ht="14.25" customHeight="1" spans="1:62">
      <c r="A209" s="10">
        <v>205</v>
      </c>
      <c r="B209" s="10" t="s">
        <v>773</v>
      </c>
      <c r="C209" s="10">
        <v>1998</v>
      </c>
      <c r="D209" s="10">
        <f t="shared" si="105"/>
        <v>1990</v>
      </c>
      <c r="E209" s="10" t="s">
        <v>764</v>
      </c>
      <c r="F209" s="35" t="s">
        <v>769</v>
      </c>
      <c r="G209" s="10" t="s">
        <v>774</v>
      </c>
      <c r="H209" s="10" t="s">
        <v>140</v>
      </c>
      <c r="I209" s="10" t="s">
        <v>140</v>
      </c>
      <c r="J209" s="10"/>
      <c r="K209" s="10">
        <v>4</v>
      </c>
      <c r="L209" s="10">
        <v>4</v>
      </c>
      <c r="M209" s="10">
        <v>4</v>
      </c>
      <c r="N209" s="10">
        <v>5</v>
      </c>
      <c r="O209" s="10">
        <v>5</v>
      </c>
      <c r="P209" s="10">
        <v>5</v>
      </c>
      <c r="Q209" s="10">
        <v>1</v>
      </c>
      <c r="R209" s="10">
        <v>5</v>
      </c>
      <c r="S209" s="10">
        <f t="shared" si="106"/>
        <v>0.75</v>
      </c>
      <c r="T209" s="10">
        <f t="shared" si="107"/>
        <v>0.75</v>
      </c>
      <c r="U209" s="10">
        <f t="shared" si="108"/>
        <v>0.75</v>
      </c>
      <c r="V209" s="10">
        <f t="shared" si="109"/>
        <v>1</v>
      </c>
      <c r="W209" s="10">
        <f t="shared" si="110"/>
        <v>1</v>
      </c>
      <c r="X209" s="10">
        <f t="shared" si="111"/>
        <v>1</v>
      </c>
      <c r="Y209" s="10">
        <f t="shared" si="112"/>
        <v>0</v>
      </c>
      <c r="Z209" s="10">
        <f t="shared" si="113"/>
        <v>1</v>
      </c>
      <c r="AA209" s="10" t="str">
        <f t="shared" si="114"/>
        <v/>
      </c>
      <c r="AB209" s="10" t="str">
        <f t="shared" si="115"/>
        <v/>
      </c>
      <c r="AC209" s="10" t="str">
        <f t="shared" si="116"/>
        <v/>
      </c>
      <c r="AD209" s="10" t="str">
        <f t="shared" si="117"/>
        <v/>
      </c>
      <c r="AE209" s="10" t="str">
        <f t="shared" si="118"/>
        <v/>
      </c>
      <c r="AF209" s="10" t="str">
        <f t="shared" si="119"/>
        <v/>
      </c>
      <c r="AG209" s="10" t="str">
        <f t="shared" si="120"/>
        <v/>
      </c>
      <c r="AH209" s="10" t="str">
        <f t="shared" si="121"/>
        <v/>
      </c>
      <c r="AI209" s="10">
        <f>IF(OR(S209="",'4_BENCHMARK'!$C$4=""),"",ABS(S209-'4_BENCHMARK'!$C$4))</f>
        <v>0.25</v>
      </c>
      <c r="AJ209" s="10">
        <f>IF(OR(T209="",'4_BENCHMARK'!$C$5=""),"",ABS(T209-'4_BENCHMARK'!$C$5))</f>
        <v>0.25</v>
      </c>
      <c r="AK209" s="10">
        <f>IF(OR(U209="",'4_BENCHMARK'!$C$6=""),"",ABS(U209-'4_BENCHMARK'!$C$6))</f>
        <v>0.25</v>
      </c>
      <c r="AL209" s="10">
        <f>IF(OR(V209="",'4_BENCHMARK'!$C$7=""),"",ABS(V209-'4_BENCHMARK'!$C$7))</f>
        <v>0</v>
      </c>
      <c r="AM209" s="10">
        <f>IF(OR(W209="",'4_BENCHMARK'!$C$8=""),"",ABS(W209-'4_BENCHMARK'!$C$8))</f>
        <v>1</v>
      </c>
      <c r="AN209" s="10">
        <f>IF(OR(X209="",'4_BENCHMARK'!$C$9=""),"",ABS(X209-'4_BENCHMARK'!$C$9))</f>
        <v>1</v>
      </c>
      <c r="AO209" s="10">
        <f>IF(OR(Y209="",'4_BENCHMARK'!$C$10=""),"",ABS(Y209-'4_BENCHMARK'!$C$10))</f>
        <v>0.5</v>
      </c>
      <c r="AP209" s="10">
        <f>IF(OR(Z209="",'4_BENCHMARK'!$C$11=""),"",ABS(Z209-'4_BENCHMARK'!$C$11))</f>
        <v>0</v>
      </c>
      <c r="AQ209" s="13">
        <f t="shared" si="122"/>
        <v>0.59375</v>
      </c>
      <c r="AR209" s="10"/>
      <c r="AS209" s="36" t="s">
        <v>145</v>
      </c>
      <c r="AT209" s="13">
        <f t="shared" si="123"/>
        <v>0.791666666666667</v>
      </c>
      <c r="AU209" s="1" t="str">
        <f t="shared" si="124"/>
        <v/>
      </c>
      <c r="AV209" s="1" t="str">
        <f t="shared" si="125"/>
        <v/>
      </c>
      <c r="AW209" s="1" t="str">
        <f t="shared" si="126"/>
        <v/>
      </c>
      <c r="AX209" s="1" t="str">
        <f t="shared" si="127"/>
        <v/>
      </c>
      <c r="AY209" s="1" t="str">
        <f t="shared" si="128"/>
        <v/>
      </c>
      <c r="AZ209" s="1" t="str">
        <f t="shared" si="129"/>
        <v/>
      </c>
      <c r="BA209" s="1" t="str">
        <f t="shared" si="130"/>
        <v/>
      </c>
      <c r="BB209" s="1" t="str">
        <f t="shared" si="131"/>
        <v/>
      </c>
      <c r="BC209" s="1" t="str">
        <f t="shared" si="132"/>
        <v/>
      </c>
      <c r="BD209" s="1" t="str">
        <f t="shared" si="133"/>
        <v/>
      </c>
      <c r="BE209" s="1" t="str">
        <f t="shared" si="134"/>
        <v/>
      </c>
      <c r="BF209" s="1" t="str">
        <f t="shared" si="135"/>
        <v/>
      </c>
      <c r="BG209" s="1" t="str">
        <f t="shared" si="136"/>
        <v/>
      </c>
      <c r="BH209" s="1" t="str">
        <f t="shared" si="137"/>
        <v/>
      </c>
      <c r="BI209" s="1" t="str">
        <f t="shared" si="138"/>
        <v/>
      </c>
      <c r="BJ209" s="1" t="str">
        <f t="shared" si="139"/>
        <v/>
      </c>
    </row>
    <row r="210" ht="14.25" customHeight="1" spans="1:62">
      <c r="A210" s="10">
        <v>206</v>
      </c>
      <c r="B210" s="10" t="s">
        <v>775</v>
      </c>
      <c r="C210" s="10">
        <v>1996</v>
      </c>
      <c r="D210" s="10">
        <f t="shared" si="105"/>
        <v>1990</v>
      </c>
      <c r="E210" s="10" t="s">
        <v>759</v>
      </c>
      <c r="F210" s="35" t="s">
        <v>776</v>
      </c>
      <c r="G210" s="10" t="s">
        <v>777</v>
      </c>
      <c r="H210" s="10" t="s">
        <v>139</v>
      </c>
      <c r="I210" s="10" t="s">
        <v>140</v>
      </c>
      <c r="J210" s="10"/>
      <c r="K210" s="10">
        <v>5</v>
      </c>
      <c r="L210" s="10">
        <v>4</v>
      </c>
      <c r="M210" s="10">
        <v>5</v>
      </c>
      <c r="N210" s="10">
        <v>5</v>
      </c>
      <c r="O210" s="10">
        <v>5</v>
      </c>
      <c r="P210" s="10">
        <v>5</v>
      </c>
      <c r="Q210" s="10">
        <v>1</v>
      </c>
      <c r="R210" s="10">
        <v>5</v>
      </c>
      <c r="S210" s="10">
        <f t="shared" si="106"/>
        <v>1</v>
      </c>
      <c r="T210" s="10">
        <f t="shared" si="107"/>
        <v>0.75</v>
      </c>
      <c r="U210" s="10">
        <f t="shared" si="108"/>
        <v>1</v>
      </c>
      <c r="V210" s="10">
        <f t="shared" si="109"/>
        <v>1</v>
      </c>
      <c r="W210" s="10">
        <f t="shared" si="110"/>
        <v>1</v>
      </c>
      <c r="X210" s="10">
        <f t="shared" si="111"/>
        <v>1</v>
      </c>
      <c r="Y210" s="10">
        <f t="shared" si="112"/>
        <v>0</v>
      </c>
      <c r="Z210" s="10">
        <f t="shared" si="113"/>
        <v>1</v>
      </c>
      <c r="AA210" s="10" t="str">
        <f t="shared" si="114"/>
        <v/>
      </c>
      <c r="AB210" s="10" t="str">
        <f t="shared" si="115"/>
        <v/>
      </c>
      <c r="AC210" s="10" t="str">
        <f t="shared" si="116"/>
        <v/>
      </c>
      <c r="AD210" s="10" t="str">
        <f t="shared" si="117"/>
        <v/>
      </c>
      <c r="AE210" s="10" t="str">
        <f t="shared" si="118"/>
        <v/>
      </c>
      <c r="AF210" s="10" t="str">
        <f t="shared" si="119"/>
        <v/>
      </c>
      <c r="AG210" s="10" t="str">
        <f t="shared" si="120"/>
        <v/>
      </c>
      <c r="AH210" s="10" t="str">
        <f t="shared" si="121"/>
        <v/>
      </c>
      <c r="AI210" s="10">
        <f>IF(OR(S210="",'4_BENCHMARK'!$C$4=""),"",ABS(S210-'4_BENCHMARK'!$C$4))</f>
        <v>0</v>
      </c>
      <c r="AJ210" s="10">
        <f>IF(OR(T210="",'4_BENCHMARK'!$C$5=""),"",ABS(T210-'4_BENCHMARK'!$C$5))</f>
        <v>0.25</v>
      </c>
      <c r="AK210" s="10">
        <f>IF(OR(U210="",'4_BENCHMARK'!$C$6=""),"",ABS(U210-'4_BENCHMARK'!$C$6))</f>
        <v>0</v>
      </c>
      <c r="AL210" s="10">
        <f>IF(OR(V210="",'4_BENCHMARK'!$C$7=""),"",ABS(V210-'4_BENCHMARK'!$C$7))</f>
        <v>0</v>
      </c>
      <c r="AM210" s="10">
        <f>IF(OR(W210="",'4_BENCHMARK'!$C$8=""),"",ABS(W210-'4_BENCHMARK'!$C$8))</f>
        <v>1</v>
      </c>
      <c r="AN210" s="10">
        <f>IF(OR(X210="",'4_BENCHMARK'!$C$9=""),"",ABS(X210-'4_BENCHMARK'!$C$9))</f>
        <v>1</v>
      </c>
      <c r="AO210" s="10">
        <f>IF(OR(Y210="",'4_BENCHMARK'!$C$10=""),"",ABS(Y210-'4_BENCHMARK'!$C$10))</f>
        <v>0.5</v>
      </c>
      <c r="AP210" s="10">
        <f>IF(OR(Z210="",'4_BENCHMARK'!$C$11=""),"",ABS(Z210-'4_BENCHMARK'!$C$11))</f>
        <v>0</v>
      </c>
      <c r="AQ210" s="13">
        <f t="shared" si="122"/>
        <v>0.65625</v>
      </c>
      <c r="AR210" s="10"/>
      <c r="AS210" s="36" t="s">
        <v>149</v>
      </c>
      <c r="AT210" s="13">
        <f t="shared" si="123"/>
        <v>0.875</v>
      </c>
      <c r="AU210" s="1" t="str">
        <f t="shared" si="124"/>
        <v/>
      </c>
      <c r="AV210" s="1" t="str">
        <f t="shared" si="125"/>
        <v/>
      </c>
      <c r="AW210" s="1" t="str">
        <f t="shared" si="126"/>
        <v/>
      </c>
      <c r="AX210" s="1" t="str">
        <f t="shared" si="127"/>
        <v/>
      </c>
      <c r="AY210" s="1" t="str">
        <f t="shared" si="128"/>
        <v/>
      </c>
      <c r="AZ210" s="1" t="str">
        <f t="shared" si="129"/>
        <v/>
      </c>
      <c r="BA210" s="1" t="str">
        <f t="shared" si="130"/>
        <v/>
      </c>
      <c r="BB210" s="1" t="str">
        <f t="shared" si="131"/>
        <v/>
      </c>
      <c r="BC210" s="1" t="str">
        <f t="shared" si="132"/>
        <v/>
      </c>
      <c r="BD210" s="1" t="str">
        <f t="shared" si="133"/>
        <v/>
      </c>
      <c r="BE210" s="1" t="str">
        <f t="shared" si="134"/>
        <v/>
      </c>
      <c r="BF210" s="1" t="str">
        <f t="shared" si="135"/>
        <v/>
      </c>
      <c r="BG210" s="1" t="str">
        <f t="shared" si="136"/>
        <v/>
      </c>
      <c r="BH210" s="1" t="str">
        <f t="shared" si="137"/>
        <v/>
      </c>
      <c r="BI210" s="1" t="str">
        <f t="shared" si="138"/>
        <v/>
      </c>
      <c r="BJ210" s="1" t="str">
        <f t="shared" si="139"/>
        <v/>
      </c>
    </row>
    <row r="211" ht="14.25" customHeight="1" spans="1:62">
      <c r="A211" s="10">
        <v>207</v>
      </c>
      <c r="B211" s="10" t="s">
        <v>778</v>
      </c>
      <c r="C211" s="10">
        <v>1990</v>
      </c>
      <c r="D211" s="10">
        <f t="shared" si="105"/>
        <v>1990</v>
      </c>
      <c r="E211" s="10" t="s">
        <v>759</v>
      </c>
      <c r="F211" s="35" t="s">
        <v>779</v>
      </c>
      <c r="G211" s="10" t="s">
        <v>780</v>
      </c>
      <c r="H211" s="10" t="s">
        <v>139</v>
      </c>
      <c r="I211" s="10" t="s">
        <v>140</v>
      </c>
      <c r="J211" s="10" t="s">
        <v>762</v>
      </c>
      <c r="K211" s="10">
        <v>5</v>
      </c>
      <c r="L211" s="10">
        <v>5</v>
      </c>
      <c r="M211" s="10">
        <v>5</v>
      </c>
      <c r="N211" s="10">
        <v>5</v>
      </c>
      <c r="O211" s="10">
        <v>5</v>
      </c>
      <c r="P211" s="10">
        <v>5</v>
      </c>
      <c r="Q211" s="10">
        <v>2</v>
      </c>
      <c r="R211" s="10">
        <v>5</v>
      </c>
      <c r="S211" s="10">
        <f t="shared" si="106"/>
        <v>1</v>
      </c>
      <c r="T211" s="10">
        <f t="shared" si="107"/>
        <v>1</v>
      </c>
      <c r="U211" s="10">
        <f t="shared" si="108"/>
        <v>1</v>
      </c>
      <c r="V211" s="10">
        <f t="shared" si="109"/>
        <v>1</v>
      </c>
      <c r="W211" s="10">
        <f t="shared" si="110"/>
        <v>1</v>
      </c>
      <c r="X211" s="10">
        <f t="shared" si="111"/>
        <v>1</v>
      </c>
      <c r="Y211" s="10">
        <f t="shared" si="112"/>
        <v>0.25</v>
      </c>
      <c r="Z211" s="10">
        <f t="shared" si="113"/>
        <v>1</v>
      </c>
      <c r="AA211" s="10" t="str">
        <f t="shared" si="114"/>
        <v/>
      </c>
      <c r="AB211" s="10" t="str">
        <f t="shared" si="115"/>
        <v/>
      </c>
      <c r="AC211" s="10" t="str">
        <f t="shared" si="116"/>
        <v/>
      </c>
      <c r="AD211" s="10" t="str">
        <f t="shared" si="117"/>
        <v/>
      </c>
      <c r="AE211" s="10" t="str">
        <f t="shared" si="118"/>
        <v/>
      </c>
      <c r="AF211" s="10" t="str">
        <f t="shared" si="119"/>
        <v/>
      </c>
      <c r="AG211" s="10" t="str">
        <f t="shared" si="120"/>
        <v/>
      </c>
      <c r="AH211" s="10" t="str">
        <f t="shared" si="121"/>
        <v/>
      </c>
      <c r="AI211" s="10">
        <f>IF(OR(S211="",'4_BENCHMARK'!$C$4=""),"",ABS(S211-'4_BENCHMARK'!$C$4))</f>
        <v>0</v>
      </c>
      <c r="AJ211" s="10">
        <f>IF(OR(T211="",'4_BENCHMARK'!$C$5=""),"",ABS(T211-'4_BENCHMARK'!$C$5))</f>
        <v>0</v>
      </c>
      <c r="AK211" s="10">
        <f>IF(OR(U211="",'4_BENCHMARK'!$C$6=""),"",ABS(U211-'4_BENCHMARK'!$C$6))</f>
        <v>0</v>
      </c>
      <c r="AL211" s="10">
        <f>IF(OR(V211="",'4_BENCHMARK'!$C$7=""),"",ABS(V211-'4_BENCHMARK'!$C$7))</f>
        <v>0</v>
      </c>
      <c r="AM211" s="10">
        <f>IF(OR(W211="",'4_BENCHMARK'!$C$8=""),"",ABS(W211-'4_BENCHMARK'!$C$8))</f>
        <v>1</v>
      </c>
      <c r="AN211" s="10">
        <f>IF(OR(X211="",'4_BENCHMARK'!$C$9=""),"",ABS(X211-'4_BENCHMARK'!$C$9))</f>
        <v>1</v>
      </c>
      <c r="AO211" s="10">
        <f>IF(OR(Y211="",'4_BENCHMARK'!$C$10=""),"",ABS(Y211-'4_BENCHMARK'!$C$10))</f>
        <v>0.25</v>
      </c>
      <c r="AP211" s="10">
        <f>IF(OR(Z211="",'4_BENCHMARK'!$C$11=""),"",ABS(Z211-'4_BENCHMARK'!$C$11))</f>
        <v>0</v>
      </c>
      <c r="AQ211" s="13">
        <f t="shared" si="122"/>
        <v>0.71875</v>
      </c>
      <c r="AR211" s="10"/>
      <c r="AS211" s="36" t="s">
        <v>149</v>
      </c>
      <c r="AT211" s="13">
        <f t="shared" si="123"/>
        <v>0.958333333333333</v>
      </c>
      <c r="AU211" s="1" t="str">
        <f t="shared" si="124"/>
        <v/>
      </c>
      <c r="AV211" s="1" t="str">
        <f t="shared" si="125"/>
        <v/>
      </c>
      <c r="AW211" s="1" t="str">
        <f t="shared" si="126"/>
        <v/>
      </c>
      <c r="AX211" s="1" t="str">
        <f t="shared" si="127"/>
        <v/>
      </c>
      <c r="AY211" s="1" t="str">
        <f t="shared" si="128"/>
        <v/>
      </c>
      <c r="AZ211" s="1" t="str">
        <f t="shared" si="129"/>
        <v/>
      </c>
      <c r="BA211" s="1" t="str">
        <f t="shared" si="130"/>
        <v/>
      </c>
      <c r="BB211" s="1" t="str">
        <f t="shared" si="131"/>
        <v/>
      </c>
      <c r="BC211" s="1" t="str">
        <f t="shared" si="132"/>
        <v/>
      </c>
      <c r="BD211" s="1" t="str">
        <f t="shared" si="133"/>
        <v/>
      </c>
      <c r="BE211" s="1" t="str">
        <f t="shared" si="134"/>
        <v/>
      </c>
      <c r="BF211" s="1" t="str">
        <f t="shared" si="135"/>
        <v/>
      </c>
      <c r="BG211" s="1" t="str">
        <f t="shared" si="136"/>
        <v/>
      </c>
      <c r="BH211" s="1" t="str">
        <f t="shared" si="137"/>
        <v/>
      </c>
      <c r="BI211" s="1" t="str">
        <f t="shared" si="138"/>
        <v/>
      </c>
      <c r="BJ211" s="1" t="str">
        <f t="shared" si="139"/>
        <v/>
      </c>
    </row>
    <row r="212" ht="14.25" customHeight="1" spans="1:62">
      <c r="A212" s="10">
        <v>208</v>
      </c>
      <c r="B212" s="10" t="s">
        <v>781</v>
      </c>
      <c r="C212" s="10">
        <v>1997</v>
      </c>
      <c r="D212" s="10">
        <f t="shared" si="105"/>
        <v>1990</v>
      </c>
      <c r="E212" s="10" t="s">
        <v>782</v>
      </c>
      <c r="F212" s="35" t="s">
        <v>783</v>
      </c>
      <c r="G212" s="10" t="s">
        <v>784</v>
      </c>
      <c r="H212" s="10" t="s">
        <v>140</v>
      </c>
      <c r="I212" s="10" t="s">
        <v>140</v>
      </c>
      <c r="J212" s="10"/>
      <c r="K212" s="10">
        <v>4</v>
      </c>
      <c r="L212" s="10">
        <v>4</v>
      </c>
      <c r="M212" s="10">
        <v>4</v>
      </c>
      <c r="N212" s="10">
        <v>5</v>
      </c>
      <c r="O212" s="10">
        <v>1</v>
      </c>
      <c r="P212" s="10">
        <v>1</v>
      </c>
      <c r="Q212" s="10">
        <v>2</v>
      </c>
      <c r="R212" s="10">
        <v>4</v>
      </c>
      <c r="S212" s="10">
        <f t="shared" si="106"/>
        <v>0.75</v>
      </c>
      <c r="T212" s="10">
        <f t="shared" si="107"/>
        <v>0.75</v>
      </c>
      <c r="U212" s="10">
        <f t="shared" si="108"/>
        <v>0.75</v>
      </c>
      <c r="V212" s="10">
        <f t="shared" si="109"/>
        <v>1</v>
      </c>
      <c r="W212" s="10">
        <f t="shared" si="110"/>
        <v>0</v>
      </c>
      <c r="X212" s="10">
        <f t="shared" si="111"/>
        <v>0</v>
      </c>
      <c r="Y212" s="10">
        <f t="shared" si="112"/>
        <v>0.25</v>
      </c>
      <c r="Z212" s="10">
        <f t="shared" si="113"/>
        <v>0.75</v>
      </c>
      <c r="AA212" s="10" t="str">
        <f t="shared" si="114"/>
        <v/>
      </c>
      <c r="AB212" s="10" t="str">
        <f t="shared" si="115"/>
        <v/>
      </c>
      <c r="AC212" s="10" t="str">
        <f t="shared" si="116"/>
        <v/>
      </c>
      <c r="AD212" s="10" t="str">
        <f t="shared" si="117"/>
        <v/>
      </c>
      <c r="AE212" s="10" t="str">
        <f t="shared" si="118"/>
        <v/>
      </c>
      <c r="AF212" s="10" t="str">
        <f t="shared" si="119"/>
        <v/>
      </c>
      <c r="AG212" s="10" t="str">
        <f t="shared" si="120"/>
        <v/>
      </c>
      <c r="AH212" s="10" t="str">
        <f t="shared" si="121"/>
        <v/>
      </c>
      <c r="AI212" s="10">
        <f>IF(OR(S212="",'4_BENCHMARK'!$C$4=""),"",ABS(S212-'4_BENCHMARK'!$C$4))</f>
        <v>0.25</v>
      </c>
      <c r="AJ212" s="10">
        <f>IF(OR(T212="",'4_BENCHMARK'!$C$5=""),"",ABS(T212-'4_BENCHMARK'!$C$5))</f>
        <v>0.25</v>
      </c>
      <c r="AK212" s="10">
        <f>IF(OR(U212="",'4_BENCHMARK'!$C$6=""),"",ABS(U212-'4_BENCHMARK'!$C$6))</f>
        <v>0.25</v>
      </c>
      <c r="AL212" s="10">
        <f>IF(OR(V212="",'4_BENCHMARK'!$C$7=""),"",ABS(V212-'4_BENCHMARK'!$C$7))</f>
        <v>0</v>
      </c>
      <c r="AM212" s="10">
        <f>IF(OR(W212="",'4_BENCHMARK'!$C$8=""),"",ABS(W212-'4_BENCHMARK'!$C$8))</f>
        <v>0</v>
      </c>
      <c r="AN212" s="10">
        <f>IF(OR(X212="",'4_BENCHMARK'!$C$9=""),"",ABS(X212-'4_BENCHMARK'!$C$9))</f>
        <v>0</v>
      </c>
      <c r="AO212" s="10">
        <f>IF(OR(Y212="",'4_BENCHMARK'!$C$10=""),"",ABS(Y212-'4_BENCHMARK'!$C$10))</f>
        <v>0.25</v>
      </c>
      <c r="AP212" s="10">
        <f>IF(OR(Z212="",'4_BENCHMARK'!$C$11=""),"",ABS(Z212-'4_BENCHMARK'!$C$11))</f>
        <v>0.25</v>
      </c>
      <c r="AQ212" s="13">
        <f t="shared" si="122"/>
        <v>0.84375</v>
      </c>
      <c r="AR212" s="10"/>
      <c r="AS212" s="36" t="s">
        <v>145</v>
      </c>
      <c r="AT212" s="13">
        <f t="shared" si="123"/>
        <v>0.791666666666667</v>
      </c>
      <c r="AU212" s="1" t="str">
        <f t="shared" si="124"/>
        <v/>
      </c>
      <c r="AV212" s="1" t="str">
        <f t="shared" si="125"/>
        <v/>
      </c>
      <c r="AW212" s="1" t="str">
        <f t="shared" si="126"/>
        <v/>
      </c>
      <c r="AX212" s="1" t="str">
        <f t="shared" si="127"/>
        <v/>
      </c>
      <c r="AY212" s="1" t="str">
        <f t="shared" si="128"/>
        <v/>
      </c>
      <c r="AZ212" s="1" t="str">
        <f t="shared" si="129"/>
        <v/>
      </c>
      <c r="BA212" s="1" t="str">
        <f t="shared" si="130"/>
        <v/>
      </c>
      <c r="BB212" s="1" t="str">
        <f t="shared" si="131"/>
        <v/>
      </c>
      <c r="BC212" s="1" t="str">
        <f t="shared" si="132"/>
        <v/>
      </c>
      <c r="BD212" s="1" t="str">
        <f t="shared" si="133"/>
        <v/>
      </c>
      <c r="BE212" s="1" t="str">
        <f t="shared" si="134"/>
        <v/>
      </c>
      <c r="BF212" s="1" t="str">
        <f t="shared" si="135"/>
        <v/>
      </c>
      <c r="BG212" s="1" t="str">
        <f t="shared" si="136"/>
        <v/>
      </c>
      <c r="BH212" s="1" t="str">
        <f t="shared" si="137"/>
        <v/>
      </c>
      <c r="BI212" s="1" t="str">
        <f t="shared" si="138"/>
        <v/>
      </c>
      <c r="BJ212" s="1" t="str">
        <f t="shared" si="139"/>
        <v/>
      </c>
    </row>
    <row r="213" ht="14.25" customHeight="1" spans="1:62">
      <c r="A213" s="10">
        <v>209</v>
      </c>
      <c r="B213" s="10" t="s">
        <v>785</v>
      </c>
      <c r="C213" s="10">
        <v>1996</v>
      </c>
      <c r="D213" s="10">
        <f t="shared" si="105"/>
        <v>1990</v>
      </c>
      <c r="E213" s="10" t="s">
        <v>782</v>
      </c>
      <c r="F213" s="35" t="s">
        <v>786</v>
      </c>
      <c r="G213" s="10" t="s">
        <v>787</v>
      </c>
      <c r="H213" s="10" t="s">
        <v>140</v>
      </c>
      <c r="I213" s="10" t="s">
        <v>140</v>
      </c>
      <c r="J213" s="10"/>
      <c r="K213" s="10">
        <v>4</v>
      </c>
      <c r="L213" s="10">
        <v>4</v>
      </c>
      <c r="M213" s="10">
        <v>4</v>
      </c>
      <c r="N213" s="10">
        <v>5</v>
      </c>
      <c r="O213" s="10">
        <v>1</v>
      </c>
      <c r="P213" s="10">
        <v>1</v>
      </c>
      <c r="Q213" s="10">
        <v>1</v>
      </c>
      <c r="R213" s="10">
        <v>5</v>
      </c>
      <c r="S213" s="10">
        <f t="shared" si="106"/>
        <v>0.75</v>
      </c>
      <c r="T213" s="10">
        <f t="shared" si="107"/>
        <v>0.75</v>
      </c>
      <c r="U213" s="10">
        <f t="shared" si="108"/>
        <v>0.75</v>
      </c>
      <c r="V213" s="10">
        <f t="shared" si="109"/>
        <v>1</v>
      </c>
      <c r="W213" s="10">
        <f t="shared" si="110"/>
        <v>0</v>
      </c>
      <c r="X213" s="10">
        <f t="shared" si="111"/>
        <v>0</v>
      </c>
      <c r="Y213" s="10">
        <f t="shared" si="112"/>
        <v>0</v>
      </c>
      <c r="Z213" s="10">
        <f t="shared" si="113"/>
        <v>1</v>
      </c>
      <c r="AA213" s="10" t="str">
        <f t="shared" si="114"/>
        <v/>
      </c>
      <c r="AB213" s="10" t="str">
        <f t="shared" si="115"/>
        <v/>
      </c>
      <c r="AC213" s="10" t="str">
        <f t="shared" si="116"/>
        <v/>
      </c>
      <c r="AD213" s="10" t="str">
        <f t="shared" si="117"/>
        <v/>
      </c>
      <c r="AE213" s="10" t="str">
        <f t="shared" si="118"/>
        <v/>
      </c>
      <c r="AF213" s="10" t="str">
        <f t="shared" si="119"/>
        <v/>
      </c>
      <c r="AG213" s="10" t="str">
        <f t="shared" si="120"/>
        <v/>
      </c>
      <c r="AH213" s="10" t="str">
        <f t="shared" si="121"/>
        <v/>
      </c>
      <c r="AI213" s="10">
        <f>IF(OR(S213="",'4_BENCHMARK'!$C$4=""),"",ABS(S213-'4_BENCHMARK'!$C$4))</f>
        <v>0.25</v>
      </c>
      <c r="AJ213" s="10">
        <f>IF(OR(T213="",'4_BENCHMARK'!$C$5=""),"",ABS(T213-'4_BENCHMARK'!$C$5))</f>
        <v>0.25</v>
      </c>
      <c r="AK213" s="10">
        <f>IF(OR(U213="",'4_BENCHMARK'!$C$6=""),"",ABS(U213-'4_BENCHMARK'!$C$6))</f>
        <v>0.25</v>
      </c>
      <c r="AL213" s="10">
        <f>IF(OR(V213="",'4_BENCHMARK'!$C$7=""),"",ABS(V213-'4_BENCHMARK'!$C$7))</f>
        <v>0</v>
      </c>
      <c r="AM213" s="10">
        <f>IF(OR(W213="",'4_BENCHMARK'!$C$8=""),"",ABS(W213-'4_BENCHMARK'!$C$8))</f>
        <v>0</v>
      </c>
      <c r="AN213" s="10">
        <f>IF(OR(X213="",'4_BENCHMARK'!$C$9=""),"",ABS(X213-'4_BENCHMARK'!$C$9))</f>
        <v>0</v>
      </c>
      <c r="AO213" s="10">
        <f>IF(OR(Y213="",'4_BENCHMARK'!$C$10=""),"",ABS(Y213-'4_BENCHMARK'!$C$10))</f>
        <v>0.5</v>
      </c>
      <c r="AP213" s="10">
        <f>IF(OR(Z213="",'4_BENCHMARK'!$C$11=""),"",ABS(Z213-'4_BENCHMARK'!$C$11))</f>
        <v>0</v>
      </c>
      <c r="AQ213" s="13">
        <f t="shared" si="122"/>
        <v>0.84375</v>
      </c>
      <c r="AR213" s="10"/>
      <c r="AS213" s="36" t="s">
        <v>145</v>
      </c>
      <c r="AT213" s="13">
        <f t="shared" si="123"/>
        <v>0.791666666666667</v>
      </c>
      <c r="AU213" s="1" t="str">
        <f t="shared" si="124"/>
        <v/>
      </c>
      <c r="AV213" s="1" t="str">
        <f t="shared" si="125"/>
        <v/>
      </c>
      <c r="AW213" s="1" t="str">
        <f t="shared" si="126"/>
        <v/>
      </c>
      <c r="AX213" s="1" t="str">
        <f t="shared" si="127"/>
        <v/>
      </c>
      <c r="AY213" s="1" t="str">
        <f t="shared" si="128"/>
        <v/>
      </c>
      <c r="AZ213" s="1" t="str">
        <f t="shared" si="129"/>
        <v/>
      </c>
      <c r="BA213" s="1" t="str">
        <f t="shared" si="130"/>
        <v/>
      </c>
      <c r="BB213" s="1" t="str">
        <f t="shared" si="131"/>
        <v/>
      </c>
      <c r="BC213" s="1" t="str">
        <f t="shared" si="132"/>
        <v/>
      </c>
      <c r="BD213" s="1" t="str">
        <f t="shared" si="133"/>
        <v/>
      </c>
      <c r="BE213" s="1" t="str">
        <f t="shared" si="134"/>
        <v/>
      </c>
      <c r="BF213" s="1" t="str">
        <f t="shared" si="135"/>
        <v/>
      </c>
      <c r="BG213" s="1" t="str">
        <f t="shared" si="136"/>
        <v/>
      </c>
      <c r="BH213" s="1" t="str">
        <f t="shared" si="137"/>
        <v/>
      </c>
      <c r="BI213" s="1" t="str">
        <f t="shared" si="138"/>
        <v/>
      </c>
      <c r="BJ213" s="1" t="str">
        <f t="shared" si="139"/>
        <v/>
      </c>
    </row>
    <row r="214" ht="14.25" customHeight="1" spans="1:62">
      <c r="A214" s="10">
        <v>210</v>
      </c>
      <c r="B214" s="10" t="s">
        <v>788</v>
      </c>
      <c r="C214" s="10">
        <v>1994</v>
      </c>
      <c r="D214" s="10">
        <f t="shared" si="105"/>
        <v>1990</v>
      </c>
      <c r="E214" s="10" t="s">
        <v>782</v>
      </c>
      <c r="F214" s="35" t="s">
        <v>789</v>
      </c>
      <c r="G214" s="10" t="s">
        <v>790</v>
      </c>
      <c r="H214" s="10" t="s">
        <v>140</v>
      </c>
      <c r="I214" s="10" t="s">
        <v>140</v>
      </c>
      <c r="J214" s="10"/>
      <c r="K214" s="10">
        <v>3</v>
      </c>
      <c r="L214" s="10">
        <v>2</v>
      </c>
      <c r="M214" s="10">
        <v>4</v>
      </c>
      <c r="N214" s="10">
        <v>4</v>
      </c>
      <c r="O214" s="10">
        <v>1</v>
      </c>
      <c r="P214" s="10">
        <v>1</v>
      </c>
      <c r="Q214" s="10">
        <v>1</v>
      </c>
      <c r="R214" s="10">
        <v>4</v>
      </c>
      <c r="S214" s="10">
        <f t="shared" si="106"/>
        <v>0.5</v>
      </c>
      <c r="T214" s="10">
        <f t="shared" si="107"/>
        <v>0.25</v>
      </c>
      <c r="U214" s="10">
        <f t="shared" si="108"/>
        <v>0.75</v>
      </c>
      <c r="V214" s="10">
        <f t="shared" si="109"/>
        <v>0.75</v>
      </c>
      <c r="W214" s="10">
        <f t="shared" si="110"/>
        <v>0</v>
      </c>
      <c r="X214" s="10">
        <f t="shared" si="111"/>
        <v>0</v>
      </c>
      <c r="Y214" s="10">
        <f t="shared" si="112"/>
        <v>0</v>
      </c>
      <c r="Z214" s="10">
        <f t="shared" si="113"/>
        <v>0.75</v>
      </c>
      <c r="AA214" s="10" t="str">
        <f t="shared" si="114"/>
        <v/>
      </c>
      <c r="AB214" s="10" t="str">
        <f t="shared" si="115"/>
        <v/>
      </c>
      <c r="AC214" s="10" t="str">
        <f t="shared" si="116"/>
        <v/>
      </c>
      <c r="AD214" s="10" t="str">
        <f t="shared" si="117"/>
        <v/>
      </c>
      <c r="AE214" s="10" t="str">
        <f t="shared" si="118"/>
        <v/>
      </c>
      <c r="AF214" s="10" t="str">
        <f t="shared" si="119"/>
        <v/>
      </c>
      <c r="AG214" s="10" t="str">
        <f t="shared" si="120"/>
        <v/>
      </c>
      <c r="AH214" s="10" t="str">
        <f t="shared" si="121"/>
        <v/>
      </c>
      <c r="AI214" s="10">
        <f>IF(OR(S214="",'4_BENCHMARK'!$C$4=""),"",ABS(S214-'4_BENCHMARK'!$C$4))</f>
        <v>0.5</v>
      </c>
      <c r="AJ214" s="10">
        <f>IF(OR(T214="",'4_BENCHMARK'!$C$5=""),"",ABS(T214-'4_BENCHMARK'!$C$5))</f>
        <v>0.75</v>
      </c>
      <c r="AK214" s="10">
        <f>IF(OR(U214="",'4_BENCHMARK'!$C$6=""),"",ABS(U214-'4_BENCHMARK'!$C$6))</f>
        <v>0.25</v>
      </c>
      <c r="AL214" s="10">
        <f>IF(OR(V214="",'4_BENCHMARK'!$C$7=""),"",ABS(V214-'4_BENCHMARK'!$C$7))</f>
        <v>0.25</v>
      </c>
      <c r="AM214" s="10">
        <f>IF(OR(W214="",'4_BENCHMARK'!$C$8=""),"",ABS(W214-'4_BENCHMARK'!$C$8))</f>
        <v>0</v>
      </c>
      <c r="AN214" s="10">
        <f>IF(OR(X214="",'4_BENCHMARK'!$C$9=""),"",ABS(X214-'4_BENCHMARK'!$C$9))</f>
        <v>0</v>
      </c>
      <c r="AO214" s="10">
        <f>IF(OR(Y214="",'4_BENCHMARK'!$C$10=""),"",ABS(Y214-'4_BENCHMARK'!$C$10))</f>
        <v>0.5</v>
      </c>
      <c r="AP214" s="10">
        <f>IF(OR(Z214="",'4_BENCHMARK'!$C$11=""),"",ABS(Z214-'4_BENCHMARK'!$C$11))</f>
        <v>0.25</v>
      </c>
      <c r="AQ214" s="13">
        <f t="shared" si="122"/>
        <v>0.6875</v>
      </c>
      <c r="AR214" s="10"/>
      <c r="AS214" s="36" t="s">
        <v>145</v>
      </c>
      <c r="AT214" s="13">
        <f t="shared" si="123"/>
        <v>0.583333333333333</v>
      </c>
      <c r="AU214" s="1" t="str">
        <f t="shared" si="124"/>
        <v/>
      </c>
      <c r="AV214" s="1" t="str">
        <f t="shared" si="125"/>
        <v/>
      </c>
      <c r="AW214" s="1" t="str">
        <f t="shared" si="126"/>
        <v/>
      </c>
      <c r="AX214" s="1" t="str">
        <f t="shared" si="127"/>
        <v/>
      </c>
      <c r="AY214" s="1" t="str">
        <f t="shared" si="128"/>
        <v/>
      </c>
      <c r="AZ214" s="1" t="str">
        <f t="shared" si="129"/>
        <v/>
      </c>
      <c r="BA214" s="1" t="str">
        <f t="shared" si="130"/>
        <v/>
      </c>
      <c r="BB214" s="1" t="str">
        <f t="shared" si="131"/>
        <v/>
      </c>
      <c r="BC214" s="1" t="str">
        <f t="shared" si="132"/>
        <v/>
      </c>
      <c r="BD214" s="1" t="str">
        <f t="shared" si="133"/>
        <v/>
      </c>
      <c r="BE214" s="1" t="str">
        <f t="shared" si="134"/>
        <v/>
      </c>
      <c r="BF214" s="1" t="str">
        <f t="shared" si="135"/>
        <v/>
      </c>
      <c r="BG214" s="1" t="str">
        <f t="shared" si="136"/>
        <v/>
      </c>
      <c r="BH214" s="1" t="str">
        <f t="shared" si="137"/>
        <v/>
      </c>
      <c r="BI214" s="1" t="str">
        <f t="shared" si="138"/>
        <v/>
      </c>
      <c r="BJ214" s="1" t="str">
        <f t="shared" si="139"/>
        <v/>
      </c>
    </row>
    <row r="215" ht="14.25" customHeight="1" spans="1:62">
      <c r="A215" s="10">
        <v>211</v>
      </c>
      <c r="B215" s="10" t="s">
        <v>791</v>
      </c>
      <c r="C215" s="10">
        <v>1999</v>
      </c>
      <c r="D215" s="10">
        <f t="shared" si="105"/>
        <v>1990</v>
      </c>
      <c r="E215" s="10" t="s">
        <v>782</v>
      </c>
      <c r="F215" s="35" t="s">
        <v>792</v>
      </c>
      <c r="G215" s="10" t="s">
        <v>793</v>
      </c>
      <c r="H215" s="10" t="s">
        <v>140</v>
      </c>
      <c r="I215" s="10" t="s">
        <v>140</v>
      </c>
      <c r="J215" s="10"/>
      <c r="K215" s="10">
        <v>4</v>
      </c>
      <c r="L215" s="10">
        <v>4</v>
      </c>
      <c r="M215" s="10">
        <v>4</v>
      </c>
      <c r="N215" s="10">
        <v>5</v>
      </c>
      <c r="O215" s="10">
        <v>1</v>
      </c>
      <c r="P215" s="10">
        <v>1</v>
      </c>
      <c r="Q215" s="10">
        <v>2</v>
      </c>
      <c r="R215" s="10">
        <v>3</v>
      </c>
      <c r="S215" s="10">
        <f t="shared" si="106"/>
        <v>0.75</v>
      </c>
      <c r="T215" s="10">
        <f t="shared" si="107"/>
        <v>0.75</v>
      </c>
      <c r="U215" s="10">
        <f t="shared" si="108"/>
        <v>0.75</v>
      </c>
      <c r="V215" s="10">
        <f t="shared" si="109"/>
        <v>1</v>
      </c>
      <c r="W215" s="10">
        <f t="shared" si="110"/>
        <v>0</v>
      </c>
      <c r="X215" s="10">
        <f t="shared" si="111"/>
        <v>0</v>
      </c>
      <c r="Y215" s="10">
        <f t="shared" si="112"/>
        <v>0.25</v>
      </c>
      <c r="Z215" s="10">
        <f t="shared" si="113"/>
        <v>0.5</v>
      </c>
      <c r="AA215" s="10" t="str">
        <f t="shared" si="114"/>
        <v/>
      </c>
      <c r="AB215" s="10" t="str">
        <f t="shared" si="115"/>
        <v/>
      </c>
      <c r="AC215" s="10" t="str">
        <f t="shared" si="116"/>
        <v/>
      </c>
      <c r="AD215" s="10" t="str">
        <f t="shared" si="117"/>
        <v/>
      </c>
      <c r="AE215" s="10" t="str">
        <f t="shared" si="118"/>
        <v/>
      </c>
      <c r="AF215" s="10" t="str">
        <f t="shared" si="119"/>
        <v/>
      </c>
      <c r="AG215" s="10" t="str">
        <f t="shared" si="120"/>
        <v/>
      </c>
      <c r="AH215" s="10" t="str">
        <f t="shared" si="121"/>
        <v/>
      </c>
      <c r="AI215" s="10">
        <f>IF(OR(S215="",'4_BENCHMARK'!$C$4=""),"",ABS(S215-'4_BENCHMARK'!$C$4))</f>
        <v>0.25</v>
      </c>
      <c r="AJ215" s="10">
        <f>IF(OR(T215="",'4_BENCHMARK'!$C$5=""),"",ABS(T215-'4_BENCHMARK'!$C$5))</f>
        <v>0.25</v>
      </c>
      <c r="AK215" s="10">
        <f>IF(OR(U215="",'4_BENCHMARK'!$C$6=""),"",ABS(U215-'4_BENCHMARK'!$C$6))</f>
        <v>0.25</v>
      </c>
      <c r="AL215" s="10">
        <f>IF(OR(V215="",'4_BENCHMARK'!$C$7=""),"",ABS(V215-'4_BENCHMARK'!$C$7))</f>
        <v>0</v>
      </c>
      <c r="AM215" s="10">
        <f>IF(OR(W215="",'4_BENCHMARK'!$C$8=""),"",ABS(W215-'4_BENCHMARK'!$C$8))</f>
        <v>0</v>
      </c>
      <c r="AN215" s="10">
        <f>IF(OR(X215="",'4_BENCHMARK'!$C$9=""),"",ABS(X215-'4_BENCHMARK'!$C$9))</f>
        <v>0</v>
      </c>
      <c r="AO215" s="10">
        <f>IF(OR(Y215="",'4_BENCHMARK'!$C$10=""),"",ABS(Y215-'4_BENCHMARK'!$C$10))</f>
        <v>0.25</v>
      </c>
      <c r="AP215" s="10">
        <f>IF(OR(Z215="",'4_BENCHMARK'!$C$11=""),"",ABS(Z215-'4_BENCHMARK'!$C$11))</f>
        <v>0.5</v>
      </c>
      <c r="AQ215" s="13">
        <f t="shared" si="122"/>
        <v>0.8125</v>
      </c>
      <c r="AR215" s="10"/>
      <c r="AS215" s="36" t="s">
        <v>145</v>
      </c>
      <c r="AT215" s="13">
        <f t="shared" si="123"/>
        <v>0.75</v>
      </c>
      <c r="AU215" s="1" t="str">
        <f t="shared" si="124"/>
        <v/>
      </c>
      <c r="AV215" s="1" t="str">
        <f t="shared" si="125"/>
        <v/>
      </c>
      <c r="AW215" s="1" t="str">
        <f t="shared" si="126"/>
        <v/>
      </c>
      <c r="AX215" s="1" t="str">
        <f t="shared" si="127"/>
        <v/>
      </c>
      <c r="AY215" s="1" t="str">
        <f t="shared" si="128"/>
        <v/>
      </c>
      <c r="AZ215" s="1" t="str">
        <f t="shared" si="129"/>
        <v/>
      </c>
      <c r="BA215" s="1" t="str">
        <f t="shared" si="130"/>
        <v/>
      </c>
      <c r="BB215" s="1" t="str">
        <f t="shared" si="131"/>
        <v/>
      </c>
      <c r="BC215" s="1" t="str">
        <f t="shared" si="132"/>
        <v/>
      </c>
      <c r="BD215" s="1" t="str">
        <f t="shared" si="133"/>
        <v/>
      </c>
      <c r="BE215" s="1" t="str">
        <f t="shared" si="134"/>
        <v/>
      </c>
      <c r="BF215" s="1" t="str">
        <f t="shared" si="135"/>
        <v/>
      </c>
      <c r="BG215" s="1" t="str">
        <f t="shared" si="136"/>
        <v/>
      </c>
      <c r="BH215" s="1" t="str">
        <f t="shared" si="137"/>
        <v/>
      </c>
      <c r="BI215" s="1" t="str">
        <f t="shared" si="138"/>
        <v/>
      </c>
      <c r="BJ215" s="1" t="str">
        <f t="shared" si="139"/>
        <v/>
      </c>
    </row>
    <row r="216" ht="14.25" customHeight="1" spans="1:62">
      <c r="A216" s="10">
        <v>212</v>
      </c>
      <c r="B216" s="10" t="s">
        <v>794</v>
      </c>
      <c r="C216" s="10">
        <v>1997</v>
      </c>
      <c r="D216" s="10">
        <f t="shared" si="105"/>
        <v>1990</v>
      </c>
      <c r="E216" s="10" t="s">
        <v>782</v>
      </c>
      <c r="F216" s="35" t="s">
        <v>795</v>
      </c>
      <c r="G216" s="10" t="s">
        <v>796</v>
      </c>
      <c r="H216" s="10" t="s">
        <v>140</v>
      </c>
      <c r="I216" s="10" t="s">
        <v>140</v>
      </c>
      <c r="J216" s="10"/>
      <c r="K216" s="10">
        <v>4</v>
      </c>
      <c r="L216" s="10">
        <v>3</v>
      </c>
      <c r="M216" s="10">
        <v>4</v>
      </c>
      <c r="N216" s="10">
        <v>4</v>
      </c>
      <c r="O216" s="10">
        <v>5</v>
      </c>
      <c r="P216" s="10">
        <v>5</v>
      </c>
      <c r="Q216" s="10">
        <v>2</v>
      </c>
      <c r="R216" s="10">
        <v>5</v>
      </c>
      <c r="S216" s="10">
        <f t="shared" si="106"/>
        <v>0.75</v>
      </c>
      <c r="T216" s="10">
        <f t="shared" si="107"/>
        <v>0.5</v>
      </c>
      <c r="U216" s="10">
        <f t="shared" si="108"/>
        <v>0.75</v>
      </c>
      <c r="V216" s="10">
        <f t="shared" si="109"/>
        <v>0.75</v>
      </c>
      <c r="W216" s="10">
        <f t="shared" si="110"/>
        <v>1</v>
      </c>
      <c r="X216" s="10">
        <f t="shared" si="111"/>
        <v>1</v>
      </c>
      <c r="Y216" s="10">
        <f t="shared" si="112"/>
        <v>0.25</v>
      </c>
      <c r="Z216" s="10">
        <f t="shared" si="113"/>
        <v>1</v>
      </c>
      <c r="AA216" s="10" t="str">
        <f t="shared" si="114"/>
        <v/>
      </c>
      <c r="AB216" s="10" t="str">
        <f t="shared" si="115"/>
        <v/>
      </c>
      <c r="AC216" s="10" t="str">
        <f t="shared" si="116"/>
        <v/>
      </c>
      <c r="AD216" s="10" t="str">
        <f t="shared" si="117"/>
        <v/>
      </c>
      <c r="AE216" s="10" t="str">
        <f t="shared" si="118"/>
        <v/>
      </c>
      <c r="AF216" s="10" t="str">
        <f t="shared" si="119"/>
        <v/>
      </c>
      <c r="AG216" s="10" t="str">
        <f t="shared" si="120"/>
        <v/>
      </c>
      <c r="AH216" s="10" t="str">
        <f t="shared" si="121"/>
        <v/>
      </c>
      <c r="AI216" s="10">
        <f>IF(OR(S216="",'4_BENCHMARK'!$C$4=""),"",ABS(S216-'4_BENCHMARK'!$C$4))</f>
        <v>0.25</v>
      </c>
      <c r="AJ216" s="10">
        <f>IF(OR(T216="",'4_BENCHMARK'!$C$5=""),"",ABS(T216-'4_BENCHMARK'!$C$5))</f>
        <v>0.5</v>
      </c>
      <c r="AK216" s="10">
        <f>IF(OR(U216="",'4_BENCHMARK'!$C$6=""),"",ABS(U216-'4_BENCHMARK'!$C$6))</f>
        <v>0.25</v>
      </c>
      <c r="AL216" s="10">
        <f>IF(OR(V216="",'4_BENCHMARK'!$C$7=""),"",ABS(V216-'4_BENCHMARK'!$C$7))</f>
        <v>0.25</v>
      </c>
      <c r="AM216" s="10">
        <f>IF(OR(W216="",'4_BENCHMARK'!$C$8=""),"",ABS(W216-'4_BENCHMARK'!$C$8))</f>
        <v>1</v>
      </c>
      <c r="AN216" s="10">
        <f>IF(OR(X216="",'4_BENCHMARK'!$C$9=""),"",ABS(X216-'4_BENCHMARK'!$C$9))</f>
        <v>1</v>
      </c>
      <c r="AO216" s="10">
        <f>IF(OR(Y216="",'4_BENCHMARK'!$C$10=""),"",ABS(Y216-'4_BENCHMARK'!$C$10))</f>
        <v>0.25</v>
      </c>
      <c r="AP216" s="10">
        <f>IF(OR(Z216="",'4_BENCHMARK'!$C$11=""),"",ABS(Z216-'4_BENCHMARK'!$C$11))</f>
        <v>0</v>
      </c>
      <c r="AQ216" s="13">
        <f t="shared" si="122"/>
        <v>0.5625</v>
      </c>
      <c r="AR216" s="10"/>
      <c r="AS216" s="36" t="s">
        <v>145</v>
      </c>
      <c r="AT216" s="13">
        <f t="shared" si="123"/>
        <v>0.75</v>
      </c>
      <c r="AU216" s="1" t="str">
        <f t="shared" si="124"/>
        <v/>
      </c>
      <c r="AV216" s="1" t="str">
        <f t="shared" si="125"/>
        <v/>
      </c>
      <c r="AW216" s="1" t="str">
        <f t="shared" si="126"/>
        <v/>
      </c>
      <c r="AX216" s="1" t="str">
        <f t="shared" si="127"/>
        <v/>
      </c>
      <c r="AY216" s="1" t="str">
        <f t="shared" si="128"/>
        <v/>
      </c>
      <c r="AZ216" s="1" t="str">
        <f t="shared" si="129"/>
        <v/>
      </c>
      <c r="BA216" s="1" t="str">
        <f t="shared" si="130"/>
        <v/>
      </c>
      <c r="BB216" s="1" t="str">
        <f t="shared" si="131"/>
        <v/>
      </c>
      <c r="BC216" s="1" t="str">
        <f t="shared" si="132"/>
        <v/>
      </c>
      <c r="BD216" s="1" t="str">
        <f t="shared" si="133"/>
        <v/>
      </c>
      <c r="BE216" s="1" t="str">
        <f t="shared" si="134"/>
        <v/>
      </c>
      <c r="BF216" s="1" t="str">
        <f t="shared" si="135"/>
        <v/>
      </c>
      <c r="BG216" s="1" t="str">
        <f t="shared" si="136"/>
        <v/>
      </c>
      <c r="BH216" s="1" t="str">
        <f t="shared" si="137"/>
        <v/>
      </c>
      <c r="BI216" s="1" t="str">
        <f t="shared" si="138"/>
        <v/>
      </c>
      <c r="BJ216" s="1" t="str">
        <f t="shared" si="139"/>
        <v/>
      </c>
    </row>
    <row r="217" ht="14.25" customHeight="1" spans="1:62">
      <c r="A217" s="10">
        <v>213</v>
      </c>
      <c r="B217" s="10" t="s">
        <v>797</v>
      </c>
      <c r="C217" s="10">
        <v>1995</v>
      </c>
      <c r="D217" s="10">
        <f t="shared" si="105"/>
        <v>1990</v>
      </c>
      <c r="E217" s="10" t="s">
        <v>782</v>
      </c>
      <c r="F217" s="35" t="s">
        <v>798</v>
      </c>
      <c r="G217" s="10" t="s">
        <v>799</v>
      </c>
      <c r="H217" s="10" t="s">
        <v>140</v>
      </c>
      <c r="I217" s="10" t="s">
        <v>140</v>
      </c>
      <c r="J217" s="10"/>
      <c r="K217" s="10">
        <v>4</v>
      </c>
      <c r="L217" s="10">
        <v>4</v>
      </c>
      <c r="M217" s="10">
        <v>4</v>
      </c>
      <c r="N217" s="10">
        <v>5</v>
      </c>
      <c r="O217" s="10">
        <v>1</v>
      </c>
      <c r="P217" s="10">
        <v>1</v>
      </c>
      <c r="Q217" s="10">
        <v>1</v>
      </c>
      <c r="R217" s="10">
        <v>5</v>
      </c>
      <c r="S217" s="10">
        <f t="shared" si="106"/>
        <v>0.75</v>
      </c>
      <c r="T217" s="10">
        <f t="shared" si="107"/>
        <v>0.75</v>
      </c>
      <c r="U217" s="10">
        <f t="shared" si="108"/>
        <v>0.75</v>
      </c>
      <c r="V217" s="10">
        <f t="shared" si="109"/>
        <v>1</v>
      </c>
      <c r="W217" s="10">
        <f t="shared" si="110"/>
        <v>0</v>
      </c>
      <c r="X217" s="10">
        <f t="shared" si="111"/>
        <v>0</v>
      </c>
      <c r="Y217" s="10">
        <f t="shared" si="112"/>
        <v>0</v>
      </c>
      <c r="Z217" s="10">
        <f t="shared" si="113"/>
        <v>1</v>
      </c>
      <c r="AA217" s="10" t="str">
        <f t="shared" si="114"/>
        <v/>
      </c>
      <c r="AB217" s="10" t="str">
        <f t="shared" si="115"/>
        <v/>
      </c>
      <c r="AC217" s="10" t="str">
        <f t="shared" si="116"/>
        <v/>
      </c>
      <c r="AD217" s="10" t="str">
        <f t="shared" si="117"/>
        <v/>
      </c>
      <c r="AE217" s="10" t="str">
        <f t="shared" si="118"/>
        <v/>
      </c>
      <c r="AF217" s="10" t="str">
        <f t="shared" si="119"/>
        <v/>
      </c>
      <c r="AG217" s="10" t="str">
        <f t="shared" si="120"/>
        <v/>
      </c>
      <c r="AH217" s="10" t="str">
        <f t="shared" si="121"/>
        <v/>
      </c>
      <c r="AI217" s="10">
        <f>IF(OR(S217="",'4_BENCHMARK'!$C$4=""),"",ABS(S217-'4_BENCHMARK'!$C$4))</f>
        <v>0.25</v>
      </c>
      <c r="AJ217" s="10">
        <f>IF(OR(T217="",'4_BENCHMARK'!$C$5=""),"",ABS(T217-'4_BENCHMARK'!$C$5))</f>
        <v>0.25</v>
      </c>
      <c r="AK217" s="10">
        <f>IF(OR(U217="",'4_BENCHMARK'!$C$6=""),"",ABS(U217-'4_BENCHMARK'!$C$6))</f>
        <v>0.25</v>
      </c>
      <c r="AL217" s="10">
        <f>IF(OR(V217="",'4_BENCHMARK'!$C$7=""),"",ABS(V217-'4_BENCHMARK'!$C$7))</f>
        <v>0</v>
      </c>
      <c r="AM217" s="10">
        <f>IF(OR(W217="",'4_BENCHMARK'!$C$8=""),"",ABS(W217-'4_BENCHMARK'!$C$8))</f>
        <v>0</v>
      </c>
      <c r="AN217" s="10">
        <f>IF(OR(X217="",'4_BENCHMARK'!$C$9=""),"",ABS(X217-'4_BENCHMARK'!$C$9))</f>
        <v>0</v>
      </c>
      <c r="AO217" s="10">
        <f>IF(OR(Y217="",'4_BENCHMARK'!$C$10=""),"",ABS(Y217-'4_BENCHMARK'!$C$10))</f>
        <v>0.5</v>
      </c>
      <c r="AP217" s="10">
        <f>IF(OR(Z217="",'4_BENCHMARK'!$C$11=""),"",ABS(Z217-'4_BENCHMARK'!$C$11))</f>
        <v>0</v>
      </c>
      <c r="AQ217" s="13">
        <f t="shared" si="122"/>
        <v>0.84375</v>
      </c>
      <c r="AR217" s="10"/>
      <c r="AS217" s="36" t="s">
        <v>145</v>
      </c>
      <c r="AT217" s="13">
        <f t="shared" si="123"/>
        <v>0.791666666666667</v>
      </c>
      <c r="AU217" s="1" t="str">
        <f t="shared" si="124"/>
        <v/>
      </c>
      <c r="AV217" s="1" t="str">
        <f t="shared" si="125"/>
        <v/>
      </c>
      <c r="AW217" s="1" t="str">
        <f t="shared" si="126"/>
        <v/>
      </c>
      <c r="AX217" s="1" t="str">
        <f t="shared" si="127"/>
        <v/>
      </c>
      <c r="AY217" s="1" t="str">
        <f t="shared" si="128"/>
        <v/>
      </c>
      <c r="AZ217" s="1" t="str">
        <f t="shared" si="129"/>
        <v/>
      </c>
      <c r="BA217" s="1" t="str">
        <f t="shared" si="130"/>
        <v/>
      </c>
      <c r="BB217" s="1" t="str">
        <f t="shared" si="131"/>
        <v/>
      </c>
      <c r="BC217" s="1" t="str">
        <f t="shared" si="132"/>
        <v/>
      </c>
      <c r="BD217" s="1" t="str">
        <f t="shared" si="133"/>
        <v/>
      </c>
      <c r="BE217" s="1" t="str">
        <f t="shared" si="134"/>
        <v/>
      </c>
      <c r="BF217" s="1" t="str">
        <f t="shared" si="135"/>
        <v/>
      </c>
      <c r="BG217" s="1" t="str">
        <f t="shared" si="136"/>
        <v/>
      </c>
      <c r="BH217" s="1" t="str">
        <f t="shared" si="137"/>
        <v/>
      </c>
      <c r="BI217" s="1" t="str">
        <f t="shared" si="138"/>
        <v/>
      </c>
      <c r="BJ217" s="1" t="str">
        <f t="shared" si="139"/>
        <v/>
      </c>
    </row>
    <row r="218" ht="14.25" customHeight="1" spans="1:62">
      <c r="A218" s="10">
        <v>214</v>
      </c>
      <c r="B218" s="10" t="s">
        <v>800</v>
      </c>
      <c r="C218" s="10">
        <v>1960</v>
      </c>
      <c r="D218" s="10">
        <f t="shared" si="105"/>
        <v>1960</v>
      </c>
      <c r="E218" s="10" t="s">
        <v>801</v>
      </c>
      <c r="F218" s="35" t="s">
        <v>802</v>
      </c>
      <c r="G218" s="10" t="s">
        <v>803</v>
      </c>
      <c r="H218" s="10" t="s">
        <v>140</v>
      </c>
      <c r="I218" s="10" t="s">
        <v>140</v>
      </c>
      <c r="J218" s="10" t="s">
        <v>374</v>
      </c>
      <c r="K218" s="10">
        <v>4</v>
      </c>
      <c r="L218" s="10">
        <v>3</v>
      </c>
      <c r="M218" s="10">
        <v>4</v>
      </c>
      <c r="N218" s="10">
        <v>4</v>
      </c>
      <c r="O218" s="10">
        <v>5</v>
      </c>
      <c r="P218" s="10">
        <v>5</v>
      </c>
      <c r="Q218" s="10">
        <v>2</v>
      </c>
      <c r="R218" s="10">
        <v>5</v>
      </c>
      <c r="S218" s="10">
        <f t="shared" si="106"/>
        <v>0.75</v>
      </c>
      <c r="T218" s="10">
        <f t="shared" si="107"/>
        <v>0.5</v>
      </c>
      <c r="U218" s="10">
        <f t="shared" si="108"/>
        <v>0.75</v>
      </c>
      <c r="V218" s="10">
        <f t="shared" si="109"/>
        <v>0.75</v>
      </c>
      <c r="W218" s="10">
        <f t="shared" si="110"/>
        <v>1</v>
      </c>
      <c r="X218" s="10">
        <f t="shared" si="111"/>
        <v>1</v>
      </c>
      <c r="Y218" s="10">
        <f t="shared" si="112"/>
        <v>0.25</v>
      </c>
      <c r="Z218" s="10">
        <f t="shared" si="113"/>
        <v>1</v>
      </c>
      <c r="AA218" s="10" t="str">
        <f t="shared" si="114"/>
        <v/>
      </c>
      <c r="AB218" s="10" t="str">
        <f t="shared" si="115"/>
        <v/>
      </c>
      <c r="AC218" s="10" t="str">
        <f t="shared" si="116"/>
        <v/>
      </c>
      <c r="AD218" s="10" t="str">
        <f t="shared" si="117"/>
        <v/>
      </c>
      <c r="AE218" s="10" t="str">
        <f t="shared" si="118"/>
        <v/>
      </c>
      <c r="AF218" s="10" t="str">
        <f t="shared" si="119"/>
        <v/>
      </c>
      <c r="AG218" s="10" t="str">
        <f t="shared" si="120"/>
        <v/>
      </c>
      <c r="AH218" s="10" t="str">
        <f t="shared" si="121"/>
        <v/>
      </c>
      <c r="AI218" s="10">
        <f>IF(OR(S218="",'4_BENCHMARK'!$C$4=""),"",ABS(S218-'4_BENCHMARK'!$C$4))</f>
        <v>0.25</v>
      </c>
      <c r="AJ218" s="10">
        <f>IF(OR(T218="",'4_BENCHMARK'!$C$5=""),"",ABS(T218-'4_BENCHMARK'!$C$5))</f>
        <v>0.5</v>
      </c>
      <c r="AK218" s="10">
        <f>IF(OR(U218="",'4_BENCHMARK'!$C$6=""),"",ABS(U218-'4_BENCHMARK'!$C$6))</f>
        <v>0.25</v>
      </c>
      <c r="AL218" s="10">
        <f>IF(OR(V218="",'4_BENCHMARK'!$C$7=""),"",ABS(V218-'4_BENCHMARK'!$C$7))</f>
        <v>0.25</v>
      </c>
      <c r="AM218" s="10">
        <f>IF(OR(W218="",'4_BENCHMARK'!$C$8=""),"",ABS(W218-'4_BENCHMARK'!$C$8))</f>
        <v>1</v>
      </c>
      <c r="AN218" s="10">
        <f>IF(OR(X218="",'4_BENCHMARK'!$C$9=""),"",ABS(X218-'4_BENCHMARK'!$C$9))</f>
        <v>1</v>
      </c>
      <c r="AO218" s="10">
        <f>IF(OR(Y218="",'4_BENCHMARK'!$C$10=""),"",ABS(Y218-'4_BENCHMARK'!$C$10))</f>
        <v>0.25</v>
      </c>
      <c r="AP218" s="10">
        <f>IF(OR(Z218="",'4_BENCHMARK'!$C$11=""),"",ABS(Z218-'4_BENCHMARK'!$C$11))</f>
        <v>0</v>
      </c>
      <c r="AQ218" s="13">
        <f t="shared" si="122"/>
        <v>0.5625</v>
      </c>
      <c r="AR218" s="10"/>
      <c r="AS218" s="36" t="s">
        <v>145</v>
      </c>
      <c r="AT218" s="13">
        <f t="shared" si="123"/>
        <v>0.75</v>
      </c>
      <c r="AU218" s="1" t="str">
        <f t="shared" si="124"/>
        <v/>
      </c>
      <c r="AV218" s="1" t="str">
        <f t="shared" si="125"/>
        <v/>
      </c>
      <c r="AW218" s="1" t="str">
        <f t="shared" si="126"/>
        <v/>
      </c>
      <c r="AX218" s="1" t="str">
        <f t="shared" si="127"/>
        <v/>
      </c>
      <c r="AY218" s="1" t="str">
        <f t="shared" si="128"/>
        <v/>
      </c>
      <c r="AZ218" s="1" t="str">
        <f t="shared" si="129"/>
        <v/>
      </c>
      <c r="BA218" s="1" t="str">
        <f t="shared" si="130"/>
        <v/>
      </c>
      <c r="BB218" s="1" t="str">
        <f t="shared" si="131"/>
        <v/>
      </c>
      <c r="BC218" s="1" t="str">
        <f t="shared" si="132"/>
        <v/>
      </c>
      <c r="BD218" s="1" t="str">
        <f t="shared" si="133"/>
        <v/>
      </c>
      <c r="BE218" s="1" t="str">
        <f t="shared" si="134"/>
        <v/>
      </c>
      <c r="BF218" s="1" t="str">
        <f t="shared" si="135"/>
        <v/>
      </c>
      <c r="BG218" s="1" t="str">
        <f t="shared" si="136"/>
        <v/>
      </c>
      <c r="BH218" s="1" t="str">
        <f t="shared" si="137"/>
        <v/>
      </c>
      <c r="BI218" s="1" t="str">
        <f t="shared" si="138"/>
        <v/>
      </c>
      <c r="BJ218" s="1" t="str">
        <f t="shared" si="139"/>
        <v/>
      </c>
    </row>
    <row r="219" ht="14.25" customHeight="1" spans="1:62">
      <c r="A219" s="10">
        <v>215</v>
      </c>
      <c r="B219" s="10" t="s">
        <v>804</v>
      </c>
      <c r="C219" s="10">
        <v>1970</v>
      </c>
      <c r="D219" s="10">
        <f t="shared" si="105"/>
        <v>1970</v>
      </c>
      <c r="E219" s="10" t="s">
        <v>801</v>
      </c>
      <c r="F219" s="35" t="s">
        <v>805</v>
      </c>
      <c r="G219" s="10" t="s">
        <v>806</v>
      </c>
      <c r="H219" s="10" t="s">
        <v>140</v>
      </c>
      <c r="I219" s="10" t="s">
        <v>140</v>
      </c>
      <c r="J219" s="10" t="s">
        <v>807</v>
      </c>
      <c r="K219" s="10">
        <v>4</v>
      </c>
      <c r="L219" s="10">
        <v>5</v>
      </c>
      <c r="M219" s="10">
        <v>5</v>
      </c>
      <c r="N219" s="10">
        <v>5</v>
      </c>
      <c r="O219" s="10">
        <v>5</v>
      </c>
      <c r="P219" s="10">
        <v>5</v>
      </c>
      <c r="Q219" s="10">
        <v>1</v>
      </c>
      <c r="R219" s="10">
        <v>4</v>
      </c>
      <c r="S219" s="10">
        <f t="shared" si="106"/>
        <v>0.75</v>
      </c>
      <c r="T219" s="10">
        <f t="shared" si="107"/>
        <v>1</v>
      </c>
      <c r="U219" s="10">
        <f t="shared" si="108"/>
        <v>1</v>
      </c>
      <c r="V219" s="10">
        <f t="shared" si="109"/>
        <v>1</v>
      </c>
      <c r="W219" s="10">
        <f t="shared" si="110"/>
        <v>1</v>
      </c>
      <c r="X219" s="10">
        <f t="shared" si="111"/>
        <v>1</v>
      </c>
      <c r="Y219" s="10">
        <f t="shared" si="112"/>
        <v>0</v>
      </c>
      <c r="Z219" s="10">
        <f t="shared" si="113"/>
        <v>0.75</v>
      </c>
      <c r="AA219" s="10" t="str">
        <f t="shared" si="114"/>
        <v/>
      </c>
      <c r="AB219" s="10" t="str">
        <f t="shared" si="115"/>
        <v/>
      </c>
      <c r="AC219" s="10" t="str">
        <f t="shared" si="116"/>
        <v/>
      </c>
      <c r="AD219" s="10" t="str">
        <f t="shared" si="117"/>
        <v/>
      </c>
      <c r="AE219" s="10" t="str">
        <f t="shared" si="118"/>
        <v/>
      </c>
      <c r="AF219" s="10" t="str">
        <f t="shared" si="119"/>
        <v/>
      </c>
      <c r="AG219" s="10" t="str">
        <f t="shared" si="120"/>
        <v/>
      </c>
      <c r="AH219" s="10" t="str">
        <f t="shared" si="121"/>
        <v/>
      </c>
      <c r="AI219" s="10">
        <f>IF(OR(S219="",'4_BENCHMARK'!$C$4=""),"",ABS(S219-'4_BENCHMARK'!$C$4))</f>
        <v>0.25</v>
      </c>
      <c r="AJ219" s="10">
        <f>IF(OR(T219="",'4_BENCHMARK'!$C$5=""),"",ABS(T219-'4_BENCHMARK'!$C$5))</f>
        <v>0</v>
      </c>
      <c r="AK219" s="10">
        <f>IF(OR(U219="",'4_BENCHMARK'!$C$6=""),"",ABS(U219-'4_BENCHMARK'!$C$6))</f>
        <v>0</v>
      </c>
      <c r="AL219" s="10">
        <f>IF(OR(V219="",'4_BENCHMARK'!$C$7=""),"",ABS(V219-'4_BENCHMARK'!$C$7))</f>
        <v>0</v>
      </c>
      <c r="AM219" s="10">
        <f>IF(OR(W219="",'4_BENCHMARK'!$C$8=""),"",ABS(W219-'4_BENCHMARK'!$C$8))</f>
        <v>1</v>
      </c>
      <c r="AN219" s="10">
        <f>IF(OR(X219="",'4_BENCHMARK'!$C$9=""),"",ABS(X219-'4_BENCHMARK'!$C$9))</f>
        <v>1</v>
      </c>
      <c r="AO219" s="10">
        <f>IF(OR(Y219="",'4_BENCHMARK'!$C$10=""),"",ABS(Y219-'4_BENCHMARK'!$C$10))</f>
        <v>0.5</v>
      </c>
      <c r="AP219" s="10">
        <f>IF(OR(Z219="",'4_BENCHMARK'!$C$11=""),"",ABS(Z219-'4_BENCHMARK'!$C$11))</f>
        <v>0.25</v>
      </c>
      <c r="AQ219" s="13">
        <f t="shared" si="122"/>
        <v>0.625</v>
      </c>
      <c r="AR219" s="10"/>
      <c r="AS219" s="36" t="s">
        <v>145</v>
      </c>
      <c r="AT219" s="13">
        <f t="shared" si="123"/>
        <v>0.833333333333333</v>
      </c>
      <c r="AU219" s="1" t="str">
        <f t="shared" si="124"/>
        <v/>
      </c>
      <c r="AV219" s="1" t="str">
        <f t="shared" si="125"/>
        <v/>
      </c>
      <c r="AW219" s="1" t="str">
        <f t="shared" si="126"/>
        <v/>
      </c>
      <c r="AX219" s="1" t="str">
        <f t="shared" si="127"/>
        <v/>
      </c>
      <c r="AY219" s="1" t="str">
        <f t="shared" si="128"/>
        <v/>
      </c>
      <c r="AZ219" s="1" t="str">
        <f t="shared" si="129"/>
        <v/>
      </c>
      <c r="BA219" s="1" t="str">
        <f t="shared" si="130"/>
        <v/>
      </c>
      <c r="BB219" s="1" t="str">
        <f t="shared" si="131"/>
        <v/>
      </c>
      <c r="BC219" s="1" t="str">
        <f t="shared" si="132"/>
        <v/>
      </c>
      <c r="BD219" s="1" t="str">
        <f t="shared" si="133"/>
        <v/>
      </c>
      <c r="BE219" s="1" t="str">
        <f t="shared" si="134"/>
        <v/>
      </c>
      <c r="BF219" s="1" t="str">
        <f t="shared" si="135"/>
        <v/>
      </c>
      <c r="BG219" s="1" t="str">
        <f t="shared" si="136"/>
        <v/>
      </c>
      <c r="BH219" s="1" t="str">
        <f t="shared" si="137"/>
        <v/>
      </c>
      <c r="BI219" s="1" t="str">
        <f t="shared" si="138"/>
        <v/>
      </c>
      <c r="BJ219" s="1" t="str">
        <f t="shared" si="139"/>
        <v/>
      </c>
    </row>
    <row r="220" ht="14.25" customHeight="1" spans="1:62">
      <c r="A220" s="10">
        <v>216</v>
      </c>
      <c r="B220" s="10" t="s">
        <v>808</v>
      </c>
      <c r="C220" s="10">
        <v>1950</v>
      </c>
      <c r="D220" s="10">
        <f t="shared" si="105"/>
        <v>1950</v>
      </c>
      <c r="E220" s="10" t="s">
        <v>801</v>
      </c>
      <c r="F220" s="35" t="s">
        <v>809</v>
      </c>
      <c r="G220" s="10" t="s">
        <v>810</v>
      </c>
      <c r="H220" s="10" t="s">
        <v>139</v>
      </c>
      <c r="I220" s="10" t="s">
        <v>140</v>
      </c>
      <c r="J220" s="10" t="s">
        <v>811</v>
      </c>
      <c r="K220" s="10">
        <v>5</v>
      </c>
      <c r="L220" s="10">
        <v>5</v>
      </c>
      <c r="M220" s="10">
        <v>5</v>
      </c>
      <c r="N220" s="10">
        <v>5</v>
      </c>
      <c r="O220" s="10">
        <v>5</v>
      </c>
      <c r="P220" s="10">
        <v>5</v>
      </c>
      <c r="Q220" s="10">
        <v>3</v>
      </c>
      <c r="R220" s="10">
        <v>5</v>
      </c>
      <c r="S220" s="10">
        <f t="shared" si="106"/>
        <v>1</v>
      </c>
      <c r="T220" s="10">
        <f t="shared" si="107"/>
        <v>1</v>
      </c>
      <c r="U220" s="10">
        <f t="shared" si="108"/>
        <v>1</v>
      </c>
      <c r="V220" s="10">
        <f t="shared" si="109"/>
        <v>1</v>
      </c>
      <c r="W220" s="10">
        <f t="shared" si="110"/>
        <v>1</v>
      </c>
      <c r="X220" s="10">
        <f t="shared" si="111"/>
        <v>1</v>
      </c>
      <c r="Y220" s="10">
        <f t="shared" si="112"/>
        <v>0.5</v>
      </c>
      <c r="Z220" s="10">
        <f t="shared" si="113"/>
        <v>1</v>
      </c>
      <c r="AA220" s="10" t="str">
        <f t="shared" si="114"/>
        <v/>
      </c>
      <c r="AB220" s="10" t="str">
        <f t="shared" si="115"/>
        <v/>
      </c>
      <c r="AC220" s="10" t="str">
        <f t="shared" si="116"/>
        <v/>
      </c>
      <c r="AD220" s="10" t="str">
        <f t="shared" si="117"/>
        <v/>
      </c>
      <c r="AE220" s="10" t="str">
        <f t="shared" si="118"/>
        <v/>
      </c>
      <c r="AF220" s="10" t="str">
        <f t="shared" si="119"/>
        <v/>
      </c>
      <c r="AG220" s="10" t="str">
        <f t="shared" si="120"/>
        <v/>
      </c>
      <c r="AH220" s="10" t="str">
        <f t="shared" si="121"/>
        <v/>
      </c>
      <c r="AI220" s="10">
        <f>IF(OR(S220="",'4_BENCHMARK'!$C$4=""),"",ABS(S220-'4_BENCHMARK'!$C$4))</f>
        <v>0</v>
      </c>
      <c r="AJ220" s="10">
        <f>IF(OR(T220="",'4_BENCHMARK'!$C$5=""),"",ABS(T220-'4_BENCHMARK'!$C$5))</f>
        <v>0</v>
      </c>
      <c r="AK220" s="10">
        <f>IF(OR(U220="",'4_BENCHMARK'!$C$6=""),"",ABS(U220-'4_BENCHMARK'!$C$6))</f>
        <v>0</v>
      </c>
      <c r="AL220" s="10">
        <f>IF(OR(V220="",'4_BENCHMARK'!$C$7=""),"",ABS(V220-'4_BENCHMARK'!$C$7))</f>
        <v>0</v>
      </c>
      <c r="AM220" s="10">
        <f>IF(OR(W220="",'4_BENCHMARK'!$C$8=""),"",ABS(W220-'4_BENCHMARK'!$C$8))</f>
        <v>1</v>
      </c>
      <c r="AN220" s="10">
        <f>IF(OR(X220="",'4_BENCHMARK'!$C$9=""),"",ABS(X220-'4_BENCHMARK'!$C$9))</f>
        <v>1</v>
      </c>
      <c r="AO220" s="10">
        <f>IF(OR(Y220="",'4_BENCHMARK'!$C$10=""),"",ABS(Y220-'4_BENCHMARK'!$C$10))</f>
        <v>0</v>
      </c>
      <c r="AP220" s="10">
        <f>IF(OR(Z220="",'4_BENCHMARK'!$C$11=""),"",ABS(Z220-'4_BENCHMARK'!$C$11))</f>
        <v>0</v>
      </c>
      <c r="AQ220" s="13">
        <f t="shared" si="122"/>
        <v>0.75</v>
      </c>
      <c r="AR220" s="10"/>
      <c r="AS220" s="36" t="s">
        <v>141</v>
      </c>
      <c r="AT220" s="13">
        <f t="shared" si="123"/>
        <v>1</v>
      </c>
      <c r="AU220" s="1" t="str">
        <f t="shared" si="124"/>
        <v/>
      </c>
      <c r="AV220" s="1" t="str">
        <f t="shared" si="125"/>
        <v/>
      </c>
      <c r="AW220" s="1" t="str">
        <f t="shared" si="126"/>
        <v/>
      </c>
      <c r="AX220" s="1" t="str">
        <f t="shared" si="127"/>
        <v/>
      </c>
      <c r="AY220" s="1" t="str">
        <f t="shared" si="128"/>
        <v/>
      </c>
      <c r="AZ220" s="1" t="str">
        <f t="shared" si="129"/>
        <v/>
      </c>
      <c r="BA220" s="1" t="str">
        <f t="shared" si="130"/>
        <v/>
      </c>
      <c r="BB220" s="1" t="str">
        <f t="shared" si="131"/>
        <v/>
      </c>
      <c r="BC220" s="1" t="str">
        <f t="shared" si="132"/>
        <v/>
      </c>
      <c r="BD220" s="1" t="str">
        <f t="shared" si="133"/>
        <v/>
      </c>
      <c r="BE220" s="1" t="str">
        <f t="shared" si="134"/>
        <v/>
      </c>
      <c r="BF220" s="1" t="str">
        <f t="shared" si="135"/>
        <v/>
      </c>
      <c r="BG220" s="1" t="str">
        <f t="shared" si="136"/>
        <v/>
      </c>
      <c r="BH220" s="1" t="str">
        <f t="shared" si="137"/>
        <v/>
      </c>
      <c r="BI220" s="1" t="str">
        <f t="shared" si="138"/>
        <v/>
      </c>
      <c r="BJ220" s="1" t="str">
        <f t="shared" si="139"/>
        <v/>
      </c>
    </row>
    <row r="221" ht="14.25" customHeight="1" spans="1:62">
      <c r="A221" s="10">
        <v>217</v>
      </c>
      <c r="B221" s="10" t="s">
        <v>812</v>
      </c>
      <c r="C221" s="10">
        <v>1950</v>
      </c>
      <c r="D221" s="10">
        <f t="shared" si="105"/>
        <v>1950</v>
      </c>
      <c r="E221" s="10" t="s">
        <v>801</v>
      </c>
      <c r="F221" s="35" t="s">
        <v>813</v>
      </c>
      <c r="G221" s="10" t="s">
        <v>814</v>
      </c>
      <c r="H221" s="10" t="s">
        <v>139</v>
      </c>
      <c r="I221" s="10" t="s">
        <v>140</v>
      </c>
      <c r="J221" s="10" t="s">
        <v>811</v>
      </c>
      <c r="K221" s="10">
        <v>5</v>
      </c>
      <c r="L221" s="10">
        <v>5</v>
      </c>
      <c r="M221" s="10">
        <v>5</v>
      </c>
      <c r="N221" s="10">
        <v>5</v>
      </c>
      <c r="O221" s="10">
        <v>5</v>
      </c>
      <c r="P221" s="10">
        <v>5</v>
      </c>
      <c r="Q221" s="10">
        <v>3</v>
      </c>
      <c r="R221" s="10">
        <v>5</v>
      </c>
      <c r="S221" s="10">
        <f t="shared" si="106"/>
        <v>1</v>
      </c>
      <c r="T221" s="10">
        <f t="shared" si="107"/>
        <v>1</v>
      </c>
      <c r="U221" s="10">
        <f t="shared" si="108"/>
        <v>1</v>
      </c>
      <c r="V221" s="10">
        <f t="shared" si="109"/>
        <v>1</v>
      </c>
      <c r="W221" s="10">
        <f t="shared" si="110"/>
        <v>1</v>
      </c>
      <c r="X221" s="10">
        <f t="shared" si="111"/>
        <v>1</v>
      </c>
      <c r="Y221" s="10">
        <f t="shared" si="112"/>
        <v>0.5</v>
      </c>
      <c r="Z221" s="10">
        <f t="shared" si="113"/>
        <v>1</v>
      </c>
      <c r="AA221" s="10" t="str">
        <f t="shared" si="114"/>
        <v/>
      </c>
      <c r="AB221" s="10" t="str">
        <f t="shared" si="115"/>
        <v/>
      </c>
      <c r="AC221" s="10" t="str">
        <f t="shared" si="116"/>
        <v/>
      </c>
      <c r="AD221" s="10" t="str">
        <f t="shared" si="117"/>
        <v/>
      </c>
      <c r="AE221" s="10" t="str">
        <f t="shared" si="118"/>
        <v/>
      </c>
      <c r="AF221" s="10" t="str">
        <f t="shared" si="119"/>
        <v/>
      </c>
      <c r="AG221" s="10" t="str">
        <f t="shared" si="120"/>
        <v/>
      </c>
      <c r="AH221" s="10" t="str">
        <f t="shared" si="121"/>
        <v/>
      </c>
      <c r="AI221" s="10">
        <f>IF(OR(S221="",'4_BENCHMARK'!$C$4=""),"",ABS(S221-'4_BENCHMARK'!$C$4))</f>
        <v>0</v>
      </c>
      <c r="AJ221" s="10">
        <f>IF(OR(T221="",'4_BENCHMARK'!$C$5=""),"",ABS(T221-'4_BENCHMARK'!$C$5))</f>
        <v>0</v>
      </c>
      <c r="AK221" s="10">
        <f>IF(OR(U221="",'4_BENCHMARK'!$C$6=""),"",ABS(U221-'4_BENCHMARK'!$C$6))</f>
        <v>0</v>
      </c>
      <c r="AL221" s="10">
        <f>IF(OR(V221="",'4_BENCHMARK'!$C$7=""),"",ABS(V221-'4_BENCHMARK'!$C$7))</f>
        <v>0</v>
      </c>
      <c r="AM221" s="10">
        <f>IF(OR(W221="",'4_BENCHMARK'!$C$8=""),"",ABS(W221-'4_BENCHMARK'!$C$8))</f>
        <v>1</v>
      </c>
      <c r="AN221" s="10">
        <f>IF(OR(X221="",'4_BENCHMARK'!$C$9=""),"",ABS(X221-'4_BENCHMARK'!$C$9))</f>
        <v>1</v>
      </c>
      <c r="AO221" s="10">
        <f>IF(OR(Y221="",'4_BENCHMARK'!$C$10=""),"",ABS(Y221-'4_BENCHMARK'!$C$10))</f>
        <v>0</v>
      </c>
      <c r="AP221" s="10">
        <f>IF(OR(Z221="",'4_BENCHMARK'!$C$11=""),"",ABS(Z221-'4_BENCHMARK'!$C$11))</f>
        <v>0</v>
      </c>
      <c r="AQ221" s="13">
        <f t="shared" si="122"/>
        <v>0.75</v>
      </c>
      <c r="AR221" s="10"/>
      <c r="AS221" s="36" t="s">
        <v>141</v>
      </c>
      <c r="AT221" s="13">
        <f t="shared" si="123"/>
        <v>1</v>
      </c>
      <c r="AU221" s="1" t="str">
        <f t="shared" si="124"/>
        <v/>
      </c>
      <c r="AV221" s="1" t="str">
        <f t="shared" si="125"/>
        <v/>
      </c>
      <c r="AW221" s="1" t="str">
        <f t="shared" si="126"/>
        <v/>
      </c>
      <c r="AX221" s="1" t="str">
        <f t="shared" si="127"/>
        <v/>
      </c>
      <c r="AY221" s="1" t="str">
        <f t="shared" si="128"/>
        <v/>
      </c>
      <c r="AZ221" s="1" t="str">
        <f t="shared" si="129"/>
        <v/>
      </c>
      <c r="BA221" s="1" t="str">
        <f t="shared" si="130"/>
        <v/>
      </c>
      <c r="BB221" s="1" t="str">
        <f t="shared" si="131"/>
        <v/>
      </c>
      <c r="BC221" s="1" t="str">
        <f t="shared" si="132"/>
        <v/>
      </c>
      <c r="BD221" s="1" t="str">
        <f t="shared" si="133"/>
        <v/>
      </c>
      <c r="BE221" s="1" t="str">
        <f t="shared" si="134"/>
        <v/>
      </c>
      <c r="BF221" s="1" t="str">
        <f t="shared" si="135"/>
        <v/>
      </c>
      <c r="BG221" s="1" t="str">
        <f t="shared" si="136"/>
        <v/>
      </c>
      <c r="BH221" s="1" t="str">
        <f t="shared" si="137"/>
        <v/>
      </c>
      <c r="BI221" s="1" t="str">
        <f t="shared" si="138"/>
        <v/>
      </c>
      <c r="BJ221" s="1" t="str">
        <f t="shared" si="139"/>
        <v/>
      </c>
    </row>
    <row r="222" ht="14.25" customHeight="1" spans="1:62">
      <c r="A222" s="10">
        <v>218</v>
      </c>
      <c r="B222" s="10" t="s">
        <v>815</v>
      </c>
      <c r="C222" s="10">
        <v>1950</v>
      </c>
      <c r="D222" s="10">
        <f t="shared" si="105"/>
        <v>1950</v>
      </c>
      <c r="E222" s="10" t="s">
        <v>801</v>
      </c>
      <c r="F222" s="35" t="s">
        <v>816</v>
      </c>
      <c r="G222" s="10" t="s">
        <v>817</v>
      </c>
      <c r="H222" s="10" t="s">
        <v>140</v>
      </c>
      <c r="I222" s="10" t="s">
        <v>140</v>
      </c>
      <c r="J222" s="10" t="s">
        <v>811</v>
      </c>
      <c r="K222" s="10">
        <v>4</v>
      </c>
      <c r="L222" s="10">
        <v>3</v>
      </c>
      <c r="M222" s="10">
        <v>4</v>
      </c>
      <c r="N222" s="10">
        <v>4</v>
      </c>
      <c r="O222" s="10">
        <v>5</v>
      </c>
      <c r="P222" s="10">
        <v>5</v>
      </c>
      <c r="Q222" s="10">
        <v>1</v>
      </c>
      <c r="R222" s="10">
        <v>5</v>
      </c>
      <c r="S222" s="10">
        <f t="shared" si="106"/>
        <v>0.75</v>
      </c>
      <c r="T222" s="10">
        <f t="shared" si="107"/>
        <v>0.5</v>
      </c>
      <c r="U222" s="10">
        <f t="shared" si="108"/>
        <v>0.75</v>
      </c>
      <c r="V222" s="10">
        <f t="shared" si="109"/>
        <v>0.75</v>
      </c>
      <c r="W222" s="10">
        <f t="shared" si="110"/>
        <v>1</v>
      </c>
      <c r="X222" s="10">
        <f t="shared" si="111"/>
        <v>1</v>
      </c>
      <c r="Y222" s="10">
        <f t="shared" si="112"/>
        <v>0</v>
      </c>
      <c r="Z222" s="10">
        <f t="shared" si="113"/>
        <v>1</v>
      </c>
      <c r="AA222" s="10" t="str">
        <f t="shared" si="114"/>
        <v/>
      </c>
      <c r="AB222" s="10" t="str">
        <f t="shared" si="115"/>
        <v/>
      </c>
      <c r="AC222" s="10" t="str">
        <f t="shared" si="116"/>
        <v/>
      </c>
      <c r="AD222" s="10" t="str">
        <f t="shared" si="117"/>
        <v/>
      </c>
      <c r="AE222" s="10" t="str">
        <f t="shared" si="118"/>
        <v/>
      </c>
      <c r="AF222" s="10" t="str">
        <f t="shared" si="119"/>
        <v/>
      </c>
      <c r="AG222" s="10" t="str">
        <f t="shared" si="120"/>
        <v/>
      </c>
      <c r="AH222" s="10" t="str">
        <f t="shared" si="121"/>
        <v/>
      </c>
      <c r="AI222" s="10">
        <f>IF(OR(S222="",'4_BENCHMARK'!$C$4=""),"",ABS(S222-'4_BENCHMARK'!$C$4))</f>
        <v>0.25</v>
      </c>
      <c r="AJ222" s="10">
        <f>IF(OR(T222="",'4_BENCHMARK'!$C$5=""),"",ABS(T222-'4_BENCHMARK'!$C$5))</f>
        <v>0.5</v>
      </c>
      <c r="AK222" s="10">
        <f>IF(OR(U222="",'4_BENCHMARK'!$C$6=""),"",ABS(U222-'4_BENCHMARK'!$C$6))</f>
        <v>0.25</v>
      </c>
      <c r="AL222" s="10">
        <f>IF(OR(V222="",'4_BENCHMARK'!$C$7=""),"",ABS(V222-'4_BENCHMARK'!$C$7))</f>
        <v>0.25</v>
      </c>
      <c r="AM222" s="10">
        <f>IF(OR(W222="",'4_BENCHMARK'!$C$8=""),"",ABS(W222-'4_BENCHMARK'!$C$8))</f>
        <v>1</v>
      </c>
      <c r="AN222" s="10">
        <f>IF(OR(X222="",'4_BENCHMARK'!$C$9=""),"",ABS(X222-'4_BENCHMARK'!$C$9))</f>
        <v>1</v>
      </c>
      <c r="AO222" s="10">
        <f>IF(OR(Y222="",'4_BENCHMARK'!$C$10=""),"",ABS(Y222-'4_BENCHMARK'!$C$10))</f>
        <v>0.5</v>
      </c>
      <c r="AP222" s="10">
        <f>IF(OR(Z222="",'4_BENCHMARK'!$C$11=""),"",ABS(Z222-'4_BENCHMARK'!$C$11))</f>
        <v>0</v>
      </c>
      <c r="AQ222" s="13">
        <f t="shared" si="122"/>
        <v>0.53125</v>
      </c>
      <c r="AR222" s="10"/>
      <c r="AS222" s="36" t="s">
        <v>145</v>
      </c>
      <c r="AT222" s="13">
        <f t="shared" si="123"/>
        <v>0.708333333333333</v>
      </c>
      <c r="AU222" s="1" t="str">
        <f t="shared" si="124"/>
        <v/>
      </c>
      <c r="AV222" s="1" t="str">
        <f t="shared" si="125"/>
        <v/>
      </c>
      <c r="AW222" s="1" t="str">
        <f t="shared" si="126"/>
        <v/>
      </c>
      <c r="AX222" s="1" t="str">
        <f t="shared" si="127"/>
        <v/>
      </c>
      <c r="AY222" s="1" t="str">
        <f t="shared" si="128"/>
        <v/>
      </c>
      <c r="AZ222" s="1" t="str">
        <f t="shared" si="129"/>
        <v/>
      </c>
      <c r="BA222" s="1" t="str">
        <f t="shared" si="130"/>
        <v/>
      </c>
      <c r="BB222" s="1" t="str">
        <f t="shared" si="131"/>
        <v/>
      </c>
      <c r="BC222" s="1" t="str">
        <f t="shared" si="132"/>
        <v/>
      </c>
      <c r="BD222" s="1" t="str">
        <f t="shared" si="133"/>
        <v/>
      </c>
      <c r="BE222" s="1" t="str">
        <f t="shared" si="134"/>
        <v/>
      </c>
      <c r="BF222" s="1" t="str">
        <f t="shared" si="135"/>
        <v/>
      </c>
      <c r="BG222" s="1" t="str">
        <f t="shared" si="136"/>
        <v/>
      </c>
      <c r="BH222" s="1" t="str">
        <f t="shared" si="137"/>
        <v/>
      </c>
      <c r="BI222" s="1" t="str">
        <f t="shared" si="138"/>
        <v/>
      </c>
      <c r="BJ222" s="1" t="str">
        <f t="shared" si="139"/>
        <v/>
      </c>
    </row>
    <row r="223" ht="14.25" customHeight="1" spans="1:62">
      <c r="A223" s="10">
        <v>219</v>
      </c>
      <c r="B223" s="10" t="s">
        <v>818</v>
      </c>
      <c r="C223" s="10">
        <v>1950</v>
      </c>
      <c r="D223" s="10">
        <f t="shared" si="105"/>
        <v>1950</v>
      </c>
      <c r="E223" s="10" t="s">
        <v>801</v>
      </c>
      <c r="F223" s="35" t="s">
        <v>819</v>
      </c>
      <c r="G223" s="10" t="s">
        <v>820</v>
      </c>
      <c r="H223" s="10" t="s">
        <v>139</v>
      </c>
      <c r="I223" s="10" t="s">
        <v>140</v>
      </c>
      <c r="J223" s="10" t="s">
        <v>811</v>
      </c>
      <c r="K223" s="10">
        <v>5</v>
      </c>
      <c r="L223" s="10">
        <v>5</v>
      </c>
      <c r="M223" s="10">
        <v>5</v>
      </c>
      <c r="N223" s="10">
        <v>5</v>
      </c>
      <c r="O223" s="10">
        <v>5</v>
      </c>
      <c r="P223" s="10">
        <v>5</v>
      </c>
      <c r="Q223" s="10">
        <v>2</v>
      </c>
      <c r="R223" s="10">
        <v>5</v>
      </c>
      <c r="S223" s="10">
        <f t="shared" si="106"/>
        <v>1</v>
      </c>
      <c r="T223" s="10">
        <f t="shared" si="107"/>
        <v>1</v>
      </c>
      <c r="U223" s="10">
        <f t="shared" si="108"/>
        <v>1</v>
      </c>
      <c r="V223" s="10">
        <f t="shared" si="109"/>
        <v>1</v>
      </c>
      <c r="W223" s="10">
        <f t="shared" si="110"/>
        <v>1</v>
      </c>
      <c r="X223" s="10">
        <f t="shared" si="111"/>
        <v>1</v>
      </c>
      <c r="Y223" s="10">
        <f t="shared" si="112"/>
        <v>0.25</v>
      </c>
      <c r="Z223" s="10">
        <f t="shared" si="113"/>
        <v>1</v>
      </c>
      <c r="AA223" s="10" t="str">
        <f t="shared" si="114"/>
        <v/>
      </c>
      <c r="AB223" s="10" t="str">
        <f t="shared" si="115"/>
        <v/>
      </c>
      <c r="AC223" s="10" t="str">
        <f t="shared" si="116"/>
        <v/>
      </c>
      <c r="AD223" s="10" t="str">
        <f t="shared" si="117"/>
        <v/>
      </c>
      <c r="AE223" s="10" t="str">
        <f t="shared" si="118"/>
        <v/>
      </c>
      <c r="AF223" s="10" t="str">
        <f t="shared" si="119"/>
        <v/>
      </c>
      <c r="AG223" s="10" t="str">
        <f t="shared" si="120"/>
        <v/>
      </c>
      <c r="AH223" s="10" t="str">
        <f t="shared" si="121"/>
        <v/>
      </c>
      <c r="AI223" s="10">
        <f>IF(OR(S223="",'4_BENCHMARK'!$C$4=""),"",ABS(S223-'4_BENCHMARK'!$C$4))</f>
        <v>0</v>
      </c>
      <c r="AJ223" s="10">
        <f>IF(OR(T223="",'4_BENCHMARK'!$C$5=""),"",ABS(T223-'4_BENCHMARK'!$C$5))</f>
        <v>0</v>
      </c>
      <c r="AK223" s="10">
        <f>IF(OR(U223="",'4_BENCHMARK'!$C$6=""),"",ABS(U223-'4_BENCHMARK'!$C$6))</f>
        <v>0</v>
      </c>
      <c r="AL223" s="10">
        <f>IF(OR(V223="",'4_BENCHMARK'!$C$7=""),"",ABS(V223-'4_BENCHMARK'!$C$7))</f>
        <v>0</v>
      </c>
      <c r="AM223" s="10">
        <f>IF(OR(W223="",'4_BENCHMARK'!$C$8=""),"",ABS(W223-'4_BENCHMARK'!$C$8))</f>
        <v>1</v>
      </c>
      <c r="AN223" s="10">
        <f>IF(OR(X223="",'4_BENCHMARK'!$C$9=""),"",ABS(X223-'4_BENCHMARK'!$C$9))</f>
        <v>1</v>
      </c>
      <c r="AO223" s="10">
        <f>IF(OR(Y223="",'4_BENCHMARK'!$C$10=""),"",ABS(Y223-'4_BENCHMARK'!$C$10))</f>
        <v>0.25</v>
      </c>
      <c r="AP223" s="10">
        <f>IF(OR(Z223="",'4_BENCHMARK'!$C$11=""),"",ABS(Z223-'4_BENCHMARK'!$C$11))</f>
        <v>0</v>
      </c>
      <c r="AQ223" s="13">
        <f t="shared" si="122"/>
        <v>0.71875</v>
      </c>
      <c r="AR223" s="10"/>
      <c r="AS223" s="36" t="s">
        <v>149</v>
      </c>
      <c r="AT223" s="13">
        <f t="shared" si="123"/>
        <v>0.958333333333333</v>
      </c>
      <c r="AU223" s="1" t="str">
        <f t="shared" si="124"/>
        <v/>
      </c>
      <c r="AV223" s="1" t="str">
        <f t="shared" si="125"/>
        <v/>
      </c>
      <c r="AW223" s="1" t="str">
        <f t="shared" si="126"/>
        <v/>
      </c>
      <c r="AX223" s="1" t="str">
        <f t="shared" si="127"/>
        <v/>
      </c>
      <c r="AY223" s="1" t="str">
        <f t="shared" si="128"/>
        <v/>
      </c>
      <c r="AZ223" s="1" t="str">
        <f t="shared" si="129"/>
        <v/>
      </c>
      <c r="BA223" s="1" t="str">
        <f t="shared" si="130"/>
        <v/>
      </c>
      <c r="BB223" s="1" t="str">
        <f t="shared" si="131"/>
        <v/>
      </c>
      <c r="BC223" s="1" t="str">
        <f t="shared" si="132"/>
        <v/>
      </c>
      <c r="BD223" s="1" t="str">
        <f t="shared" si="133"/>
        <v/>
      </c>
      <c r="BE223" s="1" t="str">
        <f t="shared" si="134"/>
        <v/>
      </c>
      <c r="BF223" s="1" t="str">
        <f t="shared" si="135"/>
        <v/>
      </c>
      <c r="BG223" s="1" t="str">
        <f t="shared" si="136"/>
        <v/>
      </c>
      <c r="BH223" s="1" t="str">
        <f t="shared" si="137"/>
        <v/>
      </c>
      <c r="BI223" s="1" t="str">
        <f t="shared" si="138"/>
        <v/>
      </c>
      <c r="BJ223" s="1" t="str">
        <f t="shared" si="139"/>
        <v/>
      </c>
    </row>
    <row r="224" ht="14.25" customHeight="1" spans="1:62">
      <c r="A224" s="10">
        <v>220</v>
      </c>
      <c r="B224" s="10" t="s">
        <v>821</v>
      </c>
      <c r="C224" s="10">
        <v>1955</v>
      </c>
      <c r="D224" s="10">
        <f t="shared" si="105"/>
        <v>1950</v>
      </c>
      <c r="E224" s="10" t="s">
        <v>801</v>
      </c>
      <c r="F224" s="35" t="s">
        <v>822</v>
      </c>
      <c r="G224" s="10" t="s">
        <v>823</v>
      </c>
      <c r="H224" s="10" t="s">
        <v>139</v>
      </c>
      <c r="I224" s="10" t="s">
        <v>140</v>
      </c>
      <c r="J224" s="10" t="s">
        <v>824</v>
      </c>
      <c r="K224" s="10">
        <v>5</v>
      </c>
      <c r="L224" s="10">
        <v>5</v>
      </c>
      <c r="M224" s="10">
        <v>5</v>
      </c>
      <c r="N224" s="10">
        <v>5</v>
      </c>
      <c r="O224" s="10">
        <v>5</v>
      </c>
      <c r="P224" s="10">
        <v>5</v>
      </c>
      <c r="Q224" s="10">
        <v>3</v>
      </c>
      <c r="R224" s="10">
        <v>5</v>
      </c>
      <c r="S224" s="10">
        <f t="shared" si="106"/>
        <v>1</v>
      </c>
      <c r="T224" s="10">
        <f t="shared" si="107"/>
        <v>1</v>
      </c>
      <c r="U224" s="10">
        <f t="shared" si="108"/>
        <v>1</v>
      </c>
      <c r="V224" s="10">
        <f t="shared" si="109"/>
        <v>1</v>
      </c>
      <c r="W224" s="10">
        <f t="shared" si="110"/>
        <v>1</v>
      </c>
      <c r="X224" s="10">
        <f t="shared" si="111"/>
        <v>1</v>
      </c>
      <c r="Y224" s="10">
        <f t="shared" si="112"/>
        <v>0.5</v>
      </c>
      <c r="Z224" s="10">
        <f t="shared" si="113"/>
        <v>1</v>
      </c>
      <c r="AA224" s="10" t="str">
        <f t="shared" si="114"/>
        <v/>
      </c>
      <c r="AB224" s="10" t="str">
        <f t="shared" si="115"/>
        <v/>
      </c>
      <c r="AC224" s="10" t="str">
        <f t="shared" si="116"/>
        <v/>
      </c>
      <c r="AD224" s="10" t="str">
        <f t="shared" si="117"/>
        <v/>
      </c>
      <c r="AE224" s="10" t="str">
        <f t="shared" si="118"/>
        <v/>
      </c>
      <c r="AF224" s="10" t="str">
        <f t="shared" si="119"/>
        <v/>
      </c>
      <c r="AG224" s="10" t="str">
        <f t="shared" si="120"/>
        <v/>
      </c>
      <c r="AH224" s="10" t="str">
        <f t="shared" si="121"/>
        <v/>
      </c>
      <c r="AI224" s="10">
        <f>IF(OR(S224="",'4_BENCHMARK'!$C$4=""),"",ABS(S224-'4_BENCHMARK'!$C$4))</f>
        <v>0</v>
      </c>
      <c r="AJ224" s="10">
        <f>IF(OR(T224="",'4_BENCHMARK'!$C$5=""),"",ABS(T224-'4_BENCHMARK'!$C$5))</f>
        <v>0</v>
      </c>
      <c r="AK224" s="10">
        <f>IF(OR(U224="",'4_BENCHMARK'!$C$6=""),"",ABS(U224-'4_BENCHMARK'!$C$6))</f>
        <v>0</v>
      </c>
      <c r="AL224" s="10">
        <f>IF(OR(V224="",'4_BENCHMARK'!$C$7=""),"",ABS(V224-'4_BENCHMARK'!$C$7))</f>
        <v>0</v>
      </c>
      <c r="AM224" s="10">
        <f>IF(OR(W224="",'4_BENCHMARK'!$C$8=""),"",ABS(W224-'4_BENCHMARK'!$C$8))</f>
        <v>1</v>
      </c>
      <c r="AN224" s="10">
        <f>IF(OR(X224="",'4_BENCHMARK'!$C$9=""),"",ABS(X224-'4_BENCHMARK'!$C$9))</f>
        <v>1</v>
      </c>
      <c r="AO224" s="10">
        <f>IF(OR(Y224="",'4_BENCHMARK'!$C$10=""),"",ABS(Y224-'4_BENCHMARK'!$C$10))</f>
        <v>0</v>
      </c>
      <c r="AP224" s="10">
        <f>IF(OR(Z224="",'4_BENCHMARK'!$C$11=""),"",ABS(Z224-'4_BENCHMARK'!$C$11))</f>
        <v>0</v>
      </c>
      <c r="AQ224" s="13">
        <f t="shared" si="122"/>
        <v>0.75</v>
      </c>
      <c r="AR224" s="10"/>
      <c r="AS224" s="36" t="s">
        <v>141</v>
      </c>
      <c r="AT224" s="13">
        <f t="shared" si="123"/>
        <v>1</v>
      </c>
      <c r="AU224" s="1" t="str">
        <f t="shared" si="124"/>
        <v/>
      </c>
      <c r="AV224" s="1" t="str">
        <f t="shared" si="125"/>
        <v/>
      </c>
      <c r="AW224" s="1" t="str">
        <f t="shared" si="126"/>
        <v/>
      </c>
      <c r="AX224" s="1" t="str">
        <f t="shared" si="127"/>
        <v/>
      </c>
      <c r="AY224" s="1" t="str">
        <f t="shared" si="128"/>
        <v/>
      </c>
      <c r="AZ224" s="1" t="str">
        <f t="shared" si="129"/>
        <v/>
      </c>
      <c r="BA224" s="1" t="str">
        <f t="shared" si="130"/>
        <v/>
      </c>
      <c r="BB224" s="1" t="str">
        <f t="shared" si="131"/>
        <v/>
      </c>
      <c r="BC224" s="1" t="str">
        <f t="shared" si="132"/>
        <v/>
      </c>
      <c r="BD224" s="1" t="str">
        <f t="shared" si="133"/>
        <v/>
      </c>
      <c r="BE224" s="1" t="str">
        <f t="shared" si="134"/>
        <v/>
      </c>
      <c r="BF224" s="1" t="str">
        <f t="shared" si="135"/>
        <v/>
      </c>
      <c r="BG224" s="1" t="str">
        <f t="shared" si="136"/>
        <v/>
      </c>
      <c r="BH224" s="1" t="str">
        <f t="shared" si="137"/>
        <v/>
      </c>
      <c r="BI224" s="1" t="str">
        <f t="shared" si="138"/>
        <v/>
      </c>
      <c r="BJ224" s="1" t="str">
        <f t="shared" si="139"/>
        <v/>
      </c>
    </row>
    <row r="225" ht="14.25" customHeight="1" spans="1:62">
      <c r="A225" s="10">
        <v>221</v>
      </c>
      <c r="B225" s="10" t="s">
        <v>825</v>
      </c>
      <c r="C225" s="10">
        <v>1950</v>
      </c>
      <c r="D225" s="10">
        <f t="shared" si="105"/>
        <v>1950</v>
      </c>
      <c r="E225" s="10" t="s">
        <v>801</v>
      </c>
      <c r="F225" s="35" t="s">
        <v>826</v>
      </c>
      <c r="G225" s="10" t="s">
        <v>827</v>
      </c>
      <c r="H225" s="10" t="s">
        <v>139</v>
      </c>
      <c r="I225" s="10" t="s">
        <v>140</v>
      </c>
      <c r="J225" s="10"/>
      <c r="K225" s="10">
        <v>5</v>
      </c>
      <c r="L225" s="10">
        <v>5</v>
      </c>
      <c r="M225" s="10">
        <v>5</v>
      </c>
      <c r="N225" s="10">
        <v>5</v>
      </c>
      <c r="O225" s="10">
        <v>5</v>
      </c>
      <c r="P225" s="10">
        <v>5</v>
      </c>
      <c r="Q225" s="10">
        <v>3</v>
      </c>
      <c r="R225" s="10">
        <v>5</v>
      </c>
      <c r="S225" s="10">
        <f t="shared" si="106"/>
        <v>1</v>
      </c>
      <c r="T225" s="10">
        <f t="shared" si="107"/>
        <v>1</v>
      </c>
      <c r="U225" s="10">
        <f t="shared" si="108"/>
        <v>1</v>
      </c>
      <c r="V225" s="10">
        <f t="shared" si="109"/>
        <v>1</v>
      </c>
      <c r="W225" s="10">
        <f t="shared" si="110"/>
        <v>1</v>
      </c>
      <c r="X225" s="10">
        <f t="shared" si="111"/>
        <v>1</v>
      </c>
      <c r="Y225" s="10">
        <f t="shared" si="112"/>
        <v>0.5</v>
      </c>
      <c r="Z225" s="10">
        <f t="shared" si="113"/>
        <v>1</v>
      </c>
      <c r="AA225" s="10" t="str">
        <f t="shared" si="114"/>
        <v/>
      </c>
      <c r="AB225" s="10" t="str">
        <f t="shared" si="115"/>
        <v/>
      </c>
      <c r="AC225" s="10" t="str">
        <f t="shared" si="116"/>
        <v/>
      </c>
      <c r="AD225" s="10" t="str">
        <f t="shared" si="117"/>
        <v/>
      </c>
      <c r="AE225" s="10" t="str">
        <f t="shared" si="118"/>
        <v/>
      </c>
      <c r="AF225" s="10" t="str">
        <f t="shared" si="119"/>
        <v/>
      </c>
      <c r="AG225" s="10" t="str">
        <f t="shared" si="120"/>
        <v/>
      </c>
      <c r="AH225" s="10" t="str">
        <f t="shared" si="121"/>
        <v/>
      </c>
      <c r="AI225" s="10">
        <f>IF(OR(S225="",'4_BENCHMARK'!$C$4=""),"",ABS(S225-'4_BENCHMARK'!$C$4))</f>
        <v>0</v>
      </c>
      <c r="AJ225" s="10">
        <f>IF(OR(T225="",'4_BENCHMARK'!$C$5=""),"",ABS(T225-'4_BENCHMARK'!$C$5))</f>
        <v>0</v>
      </c>
      <c r="AK225" s="10">
        <f>IF(OR(U225="",'4_BENCHMARK'!$C$6=""),"",ABS(U225-'4_BENCHMARK'!$C$6))</f>
        <v>0</v>
      </c>
      <c r="AL225" s="10">
        <f>IF(OR(V225="",'4_BENCHMARK'!$C$7=""),"",ABS(V225-'4_BENCHMARK'!$C$7))</f>
        <v>0</v>
      </c>
      <c r="AM225" s="10">
        <f>IF(OR(W225="",'4_BENCHMARK'!$C$8=""),"",ABS(W225-'4_BENCHMARK'!$C$8))</f>
        <v>1</v>
      </c>
      <c r="AN225" s="10">
        <f>IF(OR(X225="",'4_BENCHMARK'!$C$9=""),"",ABS(X225-'4_BENCHMARK'!$C$9))</f>
        <v>1</v>
      </c>
      <c r="AO225" s="10">
        <f>IF(OR(Y225="",'4_BENCHMARK'!$C$10=""),"",ABS(Y225-'4_BENCHMARK'!$C$10))</f>
        <v>0</v>
      </c>
      <c r="AP225" s="10">
        <f>IF(OR(Z225="",'4_BENCHMARK'!$C$11=""),"",ABS(Z225-'4_BENCHMARK'!$C$11))</f>
        <v>0</v>
      </c>
      <c r="AQ225" s="13">
        <f t="shared" si="122"/>
        <v>0.75</v>
      </c>
      <c r="AR225" s="10"/>
      <c r="AS225" s="36" t="s">
        <v>141</v>
      </c>
      <c r="AT225" s="13">
        <f t="shared" si="123"/>
        <v>1</v>
      </c>
      <c r="AU225" s="1" t="str">
        <f t="shared" si="124"/>
        <v/>
      </c>
      <c r="AV225" s="1" t="str">
        <f t="shared" si="125"/>
        <v/>
      </c>
      <c r="AW225" s="1" t="str">
        <f t="shared" si="126"/>
        <v/>
      </c>
      <c r="AX225" s="1" t="str">
        <f t="shared" si="127"/>
        <v/>
      </c>
      <c r="AY225" s="1" t="str">
        <f t="shared" si="128"/>
        <v/>
      </c>
      <c r="AZ225" s="1" t="str">
        <f t="shared" si="129"/>
        <v/>
      </c>
      <c r="BA225" s="1" t="str">
        <f t="shared" si="130"/>
        <v/>
      </c>
      <c r="BB225" s="1" t="str">
        <f t="shared" si="131"/>
        <v/>
      </c>
      <c r="BC225" s="1" t="str">
        <f t="shared" si="132"/>
        <v/>
      </c>
      <c r="BD225" s="1" t="str">
        <f t="shared" si="133"/>
        <v/>
      </c>
      <c r="BE225" s="1" t="str">
        <f t="shared" si="134"/>
        <v/>
      </c>
      <c r="BF225" s="1" t="str">
        <f t="shared" si="135"/>
        <v/>
      </c>
      <c r="BG225" s="1" t="str">
        <f t="shared" si="136"/>
        <v/>
      </c>
      <c r="BH225" s="1" t="str">
        <f t="shared" si="137"/>
        <v/>
      </c>
      <c r="BI225" s="1" t="str">
        <f t="shared" si="138"/>
        <v/>
      </c>
      <c r="BJ225" s="1" t="str">
        <f t="shared" si="139"/>
        <v/>
      </c>
    </row>
    <row r="226" ht="14.25" customHeight="1" spans="1:62">
      <c r="A226" s="10">
        <v>222</v>
      </c>
      <c r="B226" s="10" t="s">
        <v>828</v>
      </c>
      <c r="C226" s="10">
        <v>1960</v>
      </c>
      <c r="D226" s="10">
        <f t="shared" si="105"/>
        <v>1960</v>
      </c>
      <c r="E226" s="10" t="s">
        <v>801</v>
      </c>
      <c r="F226" s="35" t="s">
        <v>829</v>
      </c>
      <c r="G226" s="10" t="s">
        <v>830</v>
      </c>
      <c r="H226" s="10" t="s">
        <v>139</v>
      </c>
      <c r="I226" s="10" t="s">
        <v>140</v>
      </c>
      <c r="J226" s="10" t="s">
        <v>374</v>
      </c>
      <c r="K226" s="10">
        <v>5</v>
      </c>
      <c r="L226" s="10">
        <v>4</v>
      </c>
      <c r="M226" s="10">
        <v>4</v>
      </c>
      <c r="N226" s="10">
        <v>5</v>
      </c>
      <c r="O226" s="10">
        <v>5</v>
      </c>
      <c r="P226" s="10">
        <v>5</v>
      </c>
      <c r="Q226" s="10">
        <v>1</v>
      </c>
      <c r="R226" s="10">
        <v>5</v>
      </c>
      <c r="S226" s="10">
        <f t="shared" si="106"/>
        <v>1</v>
      </c>
      <c r="T226" s="10">
        <f t="shared" si="107"/>
        <v>0.75</v>
      </c>
      <c r="U226" s="10">
        <f t="shared" si="108"/>
        <v>0.75</v>
      </c>
      <c r="V226" s="10">
        <f t="shared" si="109"/>
        <v>1</v>
      </c>
      <c r="W226" s="10">
        <f t="shared" si="110"/>
        <v>1</v>
      </c>
      <c r="X226" s="10">
        <f t="shared" si="111"/>
        <v>1</v>
      </c>
      <c r="Y226" s="10">
        <f t="shared" si="112"/>
        <v>0</v>
      </c>
      <c r="Z226" s="10">
        <f t="shared" si="113"/>
        <v>1</v>
      </c>
      <c r="AA226" s="10" t="str">
        <f t="shared" si="114"/>
        <v/>
      </c>
      <c r="AB226" s="10" t="str">
        <f t="shared" si="115"/>
        <v/>
      </c>
      <c r="AC226" s="10" t="str">
        <f t="shared" si="116"/>
        <v/>
      </c>
      <c r="AD226" s="10" t="str">
        <f t="shared" si="117"/>
        <v/>
      </c>
      <c r="AE226" s="10" t="str">
        <f t="shared" si="118"/>
        <v/>
      </c>
      <c r="AF226" s="10" t="str">
        <f t="shared" si="119"/>
        <v/>
      </c>
      <c r="AG226" s="10" t="str">
        <f t="shared" si="120"/>
        <v/>
      </c>
      <c r="AH226" s="10" t="str">
        <f t="shared" si="121"/>
        <v/>
      </c>
      <c r="AI226" s="10">
        <f>IF(OR(S226="",'4_BENCHMARK'!$C$4=""),"",ABS(S226-'4_BENCHMARK'!$C$4))</f>
        <v>0</v>
      </c>
      <c r="AJ226" s="10">
        <f>IF(OR(T226="",'4_BENCHMARK'!$C$5=""),"",ABS(T226-'4_BENCHMARK'!$C$5))</f>
        <v>0.25</v>
      </c>
      <c r="AK226" s="10">
        <f>IF(OR(U226="",'4_BENCHMARK'!$C$6=""),"",ABS(U226-'4_BENCHMARK'!$C$6))</f>
        <v>0.25</v>
      </c>
      <c r="AL226" s="10">
        <f>IF(OR(V226="",'4_BENCHMARK'!$C$7=""),"",ABS(V226-'4_BENCHMARK'!$C$7))</f>
        <v>0</v>
      </c>
      <c r="AM226" s="10">
        <f>IF(OR(W226="",'4_BENCHMARK'!$C$8=""),"",ABS(W226-'4_BENCHMARK'!$C$8))</f>
        <v>1</v>
      </c>
      <c r="AN226" s="10">
        <f>IF(OR(X226="",'4_BENCHMARK'!$C$9=""),"",ABS(X226-'4_BENCHMARK'!$C$9))</f>
        <v>1</v>
      </c>
      <c r="AO226" s="10">
        <f>IF(OR(Y226="",'4_BENCHMARK'!$C$10=""),"",ABS(Y226-'4_BENCHMARK'!$C$10))</f>
        <v>0.5</v>
      </c>
      <c r="AP226" s="10">
        <f>IF(OR(Z226="",'4_BENCHMARK'!$C$11=""),"",ABS(Z226-'4_BENCHMARK'!$C$11))</f>
        <v>0</v>
      </c>
      <c r="AQ226" s="13">
        <f t="shared" si="122"/>
        <v>0.625</v>
      </c>
      <c r="AR226" s="10"/>
      <c r="AS226" s="36" t="s">
        <v>149</v>
      </c>
      <c r="AT226" s="13">
        <f t="shared" si="123"/>
        <v>0.833333333333333</v>
      </c>
      <c r="AU226" s="1" t="str">
        <f t="shared" si="124"/>
        <v/>
      </c>
      <c r="AV226" s="1" t="str">
        <f t="shared" si="125"/>
        <v/>
      </c>
      <c r="AW226" s="1" t="str">
        <f t="shared" si="126"/>
        <v/>
      </c>
      <c r="AX226" s="1" t="str">
        <f t="shared" si="127"/>
        <v/>
      </c>
      <c r="AY226" s="1" t="str">
        <f t="shared" si="128"/>
        <v/>
      </c>
      <c r="AZ226" s="1" t="str">
        <f t="shared" si="129"/>
        <v/>
      </c>
      <c r="BA226" s="1" t="str">
        <f t="shared" si="130"/>
        <v/>
      </c>
      <c r="BB226" s="1" t="str">
        <f t="shared" si="131"/>
        <v/>
      </c>
      <c r="BC226" s="1" t="str">
        <f t="shared" si="132"/>
        <v/>
      </c>
      <c r="BD226" s="1" t="str">
        <f t="shared" si="133"/>
        <v/>
      </c>
      <c r="BE226" s="1" t="str">
        <f t="shared" si="134"/>
        <v/>
      </c>
      <c r="BF226" s="1" t="str">
        <f t="shared" si="135"/>
        <v/>
      </c>
      <c r="BG226" s="1" t="str">
        <f t="shared" si="136"/>
        <v/>
      </c>
      <c r="BH226" s="1" t="str">
        <f t="shared" si="137"/>
        <v/>
      </c>
      <c r="BI226" s="1" t="str">
        <f t="shared" si="138"/>
        <v/>
      </c>
      <c r="BJ226" s="1" t="str">
        <f t="shared" si="139"/>
        <v/>
      </c>
    </row>
    <row r="227" ht="14.25" customHeight="1" spans="1:62">
      <c r="A227" s="10">
        <v>223</v>
      </c>
      <c r="B227" s="10" t="s">
        <v>831</v>
      </c>
      <c r="C227" s="10">
        <v>1930</v>
      </c>
      <c r="D227" s="10">
        <f t="shared" si="105"/>
        <v>1930</v>
      </c>
      <c r="E227" s="10" t="s">
        <v>801</v>
      </c>
      <c r="F227" s="35" t="s">
        <v>832</v>
      </c>
      <c r="G227" s="10" t="s">
        <v>833</v>
      </c>
      <c r="H227" s="10" t="s">
        <v>139</v>
      </c>
      <c r="I227" s="10" t="s">
        <v>140</v>
      </c>
      <c r="J227" s="10" t="s">
        <v>834</v>
      </c>
      <c r="K227" s="10">
        <v>5</v>
      </c>
      <c r="L227" s="10">
        <v>5</v>
      </c>
      <c r="M227" s="10">
        <v>5</v>
      </c>
      <c r="N227" s="10">
        <v>5</v>
      </c>
      <c r="O227" s="10">
        <v>5</v>
      </c>
      <c r="P227" s="10">
        <v>5</v>
      </c>
      <c r="Q227" s="10">
        <v>3</v>
      </c>
      <c r="R227" s="10">
        <v>5</v>
      </c>
      <c r="S227" s="10">
        <f t="shared" si="106"/>
        <v>1</v>
      </c>
      <c r="T227" s="10">
        <f t="shared" si="107"/>
        <v>1</v>
      </c>
      <c r="U227" s="10">
        <f t="shared" si="108"/>
        <v>1</v>
      </c>
      <c r="V227" s="10">
        <f t="shared" si="109"/>
        <v>1</v>
      </c>
      <c r="W227" s="10">
        <f t="shared" si="110"/>
        <v>1</v>
      </c>
      <c r="X227" s="10">
        <f t="shared" si="111"/>
        <v>1</v>
      </c>
      <c r="Y227" s="10">
        <f t="shared" si="112"/>
        <v>0.5</v>
      </c>
      <c r="Z227" s="10">
        <f t="shared" si="113"/>
        <v>1</v>
      </c>
      <c r="AA227" s="10">
        <f t="shared" si="114"/>
        <v>1</v>
      </c>
      <c r="AB227" s="10">
        <f t="shared" si="115"/>
        <v>1</v>
      </c>
      <c r="AC227" s="10">
        <f t="shared" si="116"/>
        <v>1</v>
      </c>
      <c r="AD227" s="10">
        <f t="shared" si="117"/>
        <v>1</v>
      </c>
      <c r="AE227" s="10">
        <f t="shared" si="118"/>
        <v>1</v>
      </c>
      <c r="AF227" s="10">
        <f t="shared" si="119"/>
        <v>1</v>
      </c>
      <c r="AG227" s="10">
        <f t="shared" si="120"/>
        <v>0.5</v>
      </c>
      <c r="AH227" s="10">
        <f t="shared" si="121"/>
        <v>1</v>
      </c>
      <c r="AI227" s="10">
        <f>IF(OR(S227="",'4_BENCHMARK'!$C$4=""),"",ABS(S227-'4_BENCHMARK'!$C$4))</f>
        <v>0</v>
      </c>
      <c r="AJ227" s="10">
        <f>IF(OR(T227="",'4_BENCHMARK'!$C$5=""),"",ABS(T227-'4_BENCHMARK'!$C$5))</f>
        <v>0</v>
      </c>
      <c r="AK227" s="10">
        <f>IF(OR(U227="",'4_BENCHMARK'!$C$6=""),"",ABS(U227-'4_BENCHMARK'!$C$6))</f>
        <v>0</v>
      </c>
      <c r="AL227" s="10">
        <f>IF(OR(V227="",'4_BENCHMARK'!$C$7=""),"",ABS(V227-'4_BENCHMARK'!$C$7))</f>
        <v>0</v>
      </c>
      <c r="AM227" s="10">
        <f>IF(OR(W227="",'4_BENCHMARK'!$C$8=""),"",ABS(W227-'4_BENCHMARK'!$C$8))</f>
        <v>1</v>
      </c>
      <c r="AN227" s="10">
        <f>IF(OR(X227="",'4_BENCHMARK'!$C$9=""),"",ABS(X227-'4_BENCHMARK'!$C$9))</f>
        <v>1</v>
      </c>
      <c r="AO227" s="10">
        <f>IF(OR(Y227="",'4_BENCHMARK'!$C$10=""),"",ABS(Y227-'4_BENCHMARK'!$C$10))</f>
        <v>0</v>
      </c>
      <c r="AP227" s="10">
        <f>IF(OR(Z227="",'4_BENCHMARK'!$C$11=""),"",ABS(Z227-'4_BENCHMARK'!$C$11))</f>
        <v>0</v>
      </c>
      <c r="AQ227" s="13">
        <f t="shared" si="122"/>
        <v>0.75</v>
      </c>
      <c r="AR227" s="10"/>
      <c r="AS227" s="36" t="s">
        <v>141</v>
      </c>
      <c r="AT227" s="13">
        <f t="shared" si="123"/>
        <v>1</v>
      </c>
      <c r="AU227" s="1">
        <f t="shared" si="124"/>
        <v>5</v>
      </c>
      <c r="AV227" s="1">
        <f t="shared" si="125"/>
        <v>5</v>
      </c>
      <c r="AW227" s="1">
        <f t="shared" si="126"/>
        <v>5</v>
      </c>
      <c r="AX227" s="1">
        <f t="shared" si="127"/>
        <v>5</v>
      </c>
      <c r="AY227" s="1">
        <f t="shared" si="128"/>
        <v>5</v>
      </c>
      <c r="AZ227" s="1">
        <f t="shared" si="129"/>
        <v>5</v>
      </c>
      <c r="BA227" s="1">
        <f t="shared" si="130"/>
        <v>3</v>
      </c>
      <c r="BB227" s="1">
        <f t="shared" si="131"/>
        <v>5</v>
      </c>
      <c r="BC227" s="1" t="str">
        <f t="shared" si="132"/>
        <v/>
      </c>
      <c r="BD227" s="1" t="str">
        <f t="shared" si="133"/>
        <v/>
      </c>
      <c r="BE227" s="1" t="str">
        <f t="shared" si="134"/>
        <v/>
      </c>
      <c r="BF227" s="1" t="str">
        <f t="shared" si="135"/>
        <v/>
      </c>
      <c r="BG227" s="1" t="str">
        <f t="shared" si="136"/>
        <v/>
      </c>
      <c r="BH227" s="1" t="str">
        <f t="shared" si="137"/>
        <v/>
      </c>
      <c r="BI227" s="1" t="str">
        <f t="shared" si="138"/>
        <v/>
      </c>
      <c r="BJ227" s="1" t="str">
        <f t="shared" si="139"/>
        <v/>
      </c>
    </row>
    <row r="228" ht="14.25" customHeight="1" spans="1:62">
      <c r="A228" s="10">
        <v>224</v>
      </c>
      <c r="B228" s="10" t="s">
        <v>835</v>
      </c>
      <c r="C228" s="10">
        <v>1930</v>
      </c>
      <c r="D228" s="10">
        <f t="shared" si="105"/>
        <v>1930</v>
      </c>
      <c r="E228" s="10" t="s">
        <v>801</v>
      </c>
      <c r="F228" s="35" t="s">
        <v>836</v>
      </c>
      <c r="G228" s="10" t="s">
        <v>837</v>
      </c>
      <c r="H228" s="10" t="s">
        <v>139</v>
      </c>
      <c r="I228" s="10" t="s">
        <v>140</v>
      </c>
      <c r="J228" s="10" t="s">
        <v>834</v>
      </c>
      <c r="K228" s="10">
        <v>5</v>
      </c>
      <c r="L228" s="10">
        <v>5</v>
      </c>
      <c r="M228" s="10">
        <v>5</v>
      </c>
      <c r="N228" s="10">
        <v>5</v>
      </c>
      <c r="O228" s="10">
        <v>5</v>
      </c>
      <c r="P228" s="10">
        <v>5</v>
      </c>
      <c r="Q228" s="10">
        <v>2</v>
      </c>
      <c r="R228" s="10">
        <v>5</v>
      </c>
      <c r="S228" s="10">
        <f t="shared" si="106"/>
        <v>1</v>
      </c>
      <c r="T228" s="10">
        <f t="shared" si="107"/>
        <v>1</v>
      </c>
      <c r="U228" s="10">
        <f t="shared" si="108"/>
        <v>1</v>
      </c>
      <c r="V228" s="10">
        <f t="shared" si="109"/>
        <v>1</v>
      </c>
      <c r="W228" s="10">
        <f t="shared" si="110"/>
        <v>1</v>
      </c>
      <c r="X228" s="10">
        <f t="shared" si="111"/>
        <v>1</v>
      </c>
      <c r="Y228" s="10">
        <f t="shared" si="112"/>
        <v>0.25</v>
      </c>
      <c r="Z228" s="10">
        <f t="shared" si="113"/>
        <v>1</v>
      </c>
      <c r="AA228" s="10">
        <f t="shared" si="114"/>
        <v>1</v>
      </c>
      <c r="AB228" s="10">
        <f t="shared" si="115"/>
        <v>1</v>
      </c>
      <c r="AC228" s="10">
        <f t="shared" si="116"/>
        <v>1</v>
      </c>
      <c r="AD228" s="10">
        <f t="shared" si="117"/>
        <v>1</v>
      </c>
      <c r="AE228" s="10">
        <f t="shared" si="118"/>
        <v>1</v>
      </c>
      <c r="AF228" s="10">
        <f t="shared" si="119"/>
        <v>1</v>
      </c>
      <c r="AG228" s="10">
        <f t="shared" si="120"/>
        <v>0.25</v>
      </c>
      <c r="AH228" s="10">
        <f t="shared" si="121"/>
        <v>1</v>
      </c>
      <c r="AI228" s="10">
        <f>IF(OR(S228="",'4_BENCHMARK'!$C$4=""),"",ABS(S228-'4_BENCHMARK'!$C$4))</f>
        <v>0</v>
      </c>
      <c r="AJ228" s="10">
        <f>IF(OR(T228="",'4_BENCHMARK'!$C$5=""),"",ABS(T228-'4_BENCHMARK'!$C$5))</f>
        <v>0</v>
      </c>
      <c r="AK228" s="10">
        <f>IF(OR(U228="",'4_BENCHMARK'!$C$6=""),"",ABS(U228-'4_BENCHMARK'!$C$6))</f>
        <v>0</v>
      </c>
      <c r="AL228" s="10">
        <f>IF(OR(V228="",'4_BENCHMARK'!$C$7=""),"",ABS(V228-'4_BENCHMARK'!$C$7))</f>
        <v>0</v>
      </c>
      <c r="AM228" s="10">
        <f>IF(OR(W228="",'4_BENCHMARK'!$C$8=""),"",ABS(W228-'4_BENCHMARK'!$C$8))</f>
        <v>1</v>
      </c>
      <c r="AN228" s="10">
        <f>IF(OR(X228="",'4_BENCHMARK'!$C$9=""),"",ABS(X228-'4_BENCHMARK'!$C$9))</f>
        <v>1</v>
      </c>
      <c r="AO228" s="10">
        <f>IF(OR(Y228="",'4_BENCHMARK'!$C$10=""),"",ABS(Y228-'4_BENCHMARK'!$C$10))</f>
        <v>0.25</v>
      </c>
      <c r="AP228" s="10">
        <f>IF(OR(Z228="",'4_BENCHMARK'!$C$11=""),"",ABS(Z228-'4_BENCHMARK'!$C$11))</f>
        <v>0</v>
      </c>
      <c r="AQ228" s="13">
        <f t="shared" si="122"/>
        <v>0.71875</v>
      </c>
      <c r="AR228" s="10"/>
      <c r="AS228" s="36" t="s">
        <v>141</v>
      </c>
      <c r="AT228" s="13">
        <f t="shared" si="123"/>
        <v>0.958333333333333</v>
      </c>
      <c r="AU228" s="1">
        <f t="shared" si="124"/>
        <v>5</v>
      </c>
      <c r="AV228" s="1">
        <f t="shared" si="125"/>
        <v>5</v>
      </c>
      <c r="AW228" s="1">
        <f t="shared" si="126"/>
        <v>5</v>
      </c>
      <c r="AX228" s="1">
        <f t="shared" si="127"/>
        <v>5</v>
      </c>
      <c r="AY228" s="1">
        <f t="shared" si="128"/>
        <v>5</v>
      </c>
      <c r="AZ228" s="1">
        <f t="shared" si="129"/>
        <v>5</v>
      </c>
      <c r="BA228" s="1">
        <f t="shared" si="130"/>
        <v>2</v>
      </c>
      <c r="BB228" s="1">
        <f t="shared" si="131"/>
        <v>5</v>
      </c>
      <c r="BC228" s="1" t="str">
        <f t="shared" si="132"/>
        <v/>
      </c>
      <c r="BD228" s="1" t="str">
        <f t="shared" si="133"/>
        <v/>
      </c>
      <c r="BE228" s="1" t="str">
        <f t="shared" si="134"/>
        <v/>
      </c>
      <c r="BF228" s="1" t="str">
        <f t="shared" si="135"/>
        <v/>
      </c>
      <c r="BG228" s="1" t="str">
        <f t="shared" si="136"/>
        <v/>
      </c>
      <c r="BH228" s="1" t="str">
        <f t="shared" si="137"/>
        <v/>
      </c>
      <c r="BI228" s="1" t="str">
        <f t="shared" si="138"/>
        <v/>
      </c>
      <c r="BJ228" s="1" t="str">
        <f t="shared" si="139"/>
        <v/>
      </c>
    </row>
    <row r="229" ht="14.25" customHeight="1" spans="1:62">
      <c r="A229" s="10">
        <v>225</v>
      </c>
      <c r="B229" s="10" t="s">
        <v>838</v>
      </c>
      <c r="C229" s="10">
        <v>1930</v>
      </c>
      <c r="D229" s="10">
        <f t="shared" si="105"/>
        <v>1930</v>
      </c>
      <c r="E229" s="10" t="s">
        <v>801</v>
      </c>
      <c r="F229" s="35" t="s">
        <v>839</v>
      </c>
      <c r="G229" s="10" t="s">
        <v>840</v>
      </c>
      <c r="H229" s="10" t="s">
        <v>139</v>
      </c>
      <c r="I229" s="10" t="s">
        <v>140</v>
      </c>
      <c r="J229" s="10" t="s">
        <v>834</v>
      </c>
      <c r="K229" s="10">
        <v>5</v>
      </c>
      <c r="L229" s="10">
        <v>5</v>
      </c>
      <c r="M229" s="10">
        <v>5</v>
      </c>
      <c r="N229" s="10">
        <v>5</v>
      </c>
      <c r="O229" s="10">
        <v>5</v>
      </c>
      <c r="P229" s="10">
        <v>5</v>
      </c>
      <c r="Q229" s="10">
        <v>3</v>
      </c>
      <c r="R229" s="10">
        <v>5</v>
      </c>
      <c r="S229" s="10">
        <f t="shared" si="106"/>
        <v>1</v>
      </c>
      <c r="T229" s="10">
        <f t="shared" si="107"/>
        <v>1</v>
      </c>
      <c r="U229" s="10">
        <f t="shared" si="108"/>
        <v>1</v>
      </c>
      <c r="V229" s="10">
        <f t="shared" si="109"/>
        <v>1</v>
      </c>
      <c r="W229" s="10">
        <f t="shared" si="110"/>
        <v>1</v>
      </c>
      <c r="X229" s="10">
        <f t="shared" si="111"/>
        <v>1</v>
      </c>
      <c r="Y229" s="10">
        <f t="shared" si="112"/>
        <v>0.5</v>
      </c>
      <c r="Z229" s="10">
        <f t="shared" si="113"/>
        <v>1</v>
      </c>
      <c r="AA229" s="10">
        <f t="shared" si="114"/>
        <v>1</v>
      </c>
      <c r="AB229" s="10">
        <f t="shared" si="115"/>
        <v>1</v>
      </c>
      <c r="AC229" s="10">
        <f t="shared" si="116"/>
        <v>1</v>
      </c>
      <c r="AD229" s="10">
        <f t="shared" si="117"/>
        <v>1</v>
      </c>
      <c r="AE229" s="10">
        <f t="shared" si="118"/>
        <v>1</v>
      </c>
      <c r="AF229" s="10">
        <f t="shared" si="119"/>
        <v>1</v>
      </c>
      <c r="AG229" s="10">
        <f t="shared" si="120"/>
        <v>0.5</v>
      </c>
      <c r="AH229" s="10">
        <f t="shared" si="121"/>
        <v>1</v>
      </c>
      <c r="AI229" s="10">
        <f>IF(OR(S229="",'4_BENCHMARK'!$C$4=""),"",ABS(S229-'4_BENCHMARK'!$C$4))</f>
        <v>0</v>
      </c>
      <c r="AJ229" s="10">
        <f>IF(OR(T229="",'4_BENCHMARK'!$C$5=""),"",ABS(T229-'4_BENCHMARK'!$C$5))</f>
        <v>0</v>
      </c>
      <c r="AK229" s="10">
        <f>IF(OR(U229="",'4_BENCHMARK'!$C$6=""),"",ABS(U229-'4_BENCHMARK'!$C$6))</f>
        <v>0</v>
      </c>
      <c r="AL229" s="10">
        <f>IF(OR(V229="",'4_BENCHMARK'!$C$7=""),"",ABS(V229-'4_BENCHMARK'!$C$7))</f>
        <v>0</v>
      </c>
      <c r="AM229" s="10">
        <f>IF(OR(W229="",'4_BENCHMARK'!$C$8=""),"",ABS(W229-'4_BENCHMARK'!$C$8))</f>
        <v>1</v>
      </c>
      <c r="AN229" s="10">
        <f>IF(OR(X229="",'4_BENCHMARK'!$C$9=""),"",ABS(X229-'4_BENCHMARK'!$C$9))</f>
        <v>1</v>
      </c>
      <c r="AO229" s="10">
        <f>IF(OR(Y229="",'4_BENCHMARK'!$C$10=""),"",ABS(Y229-'4_BENCHMARK'!$C$10))</f>
        <v>0</v>
      </c>
      <c r="AP229" s="10">
        <f>IF(OR(Z229="",'4_BENCHMARK'!$C$11=""),"",ABS(Z229-'4_BENCHMARK'!$C$11))</f>
        <v>0</v>
      </c>
      <c r="AQ229" s="13">
        <f t="shared" si="122"/>
        <v>0.75</v>
      </c>
      <c r="AR229" s="10"/>
      <c r="AS229" s="36" t="s">
        <v>141</v>
      </c>
      <c r="AT229" s="13">
        <f t="shared" si="123"/>
        <v>1</v>
      </c>
      <c r="AU229" s="1">
        <f t="shared" si="124"/>
        <v>5</v>
      </c>
      <c r="AV229" s="1">
        <f t="shared" si="125"/>
        <v>5</v>
      </c>
      <c r="AW229" s="1">
        <f t="shared" si="126"/>
        <v>5</v>
      </c>
      <c r="AX229" s="1">
        <f t="shared" si="127"/>
        <v>5</v>
      </c>
      <c r="AY229" s="1">
        <f t="shared" si="128"/>
        <v>5</v>
      </c>
      <c r="AZ229" s="1">
        <f t="shared" si="129"/>
        <v>5</v>
      </c>
      <c r="BA229" s="1">
        <f t="shared" si="130"/>
        <v>3</v>
      </c>
      <c r="BB229" s="1">
        <f t="shared" si="131"/>
        <v>5</v>
      </c>
      <c r="BC229" s="1" t="str">
        <f t="shared" si="132"/>
        <v/>
      </c>
      <c r="BD229" s="1" t="str">
        <f t="shared" si="133"/>
        <v/>
      </c>
      <c r="BE229" s="1" t="str">
        <f t="shared" si="134"/>
        <v/>
      </c>
      <c r="BF229" s="1" t="str">
        <f t="shared" si="135"/>
        <v/>
      </c>
      <c r="BG229" s="1" t="str">
        <f t="shared" si="136"/>
        <v/>
      </c>
      <c r="BH229" s="1" t="str">
        <f t="shared" si="137"/>
        <v/>
      </c>
      <c r="BI229" s="1" t="str">
        <f t="shared" si="138"/>
        <v/>
      </c>
      <c r="BJ229" s="1" t="str">
        <f t="shared" si="139"/>
        <v/>
      </c>
    </row>
    <row r="230" ht="14.25" customHeight="1" spans="1:62">
      <c r="A230" s="10">
        <v>226</v>
      </c>
      <c r="B230" s="10" t="s">
        <v>841</v>
      </c>
      <c r="C230" s="10">
        <v>1930</v>
      </c>
      <c r="D230" s="10">
        <f t="shared" si="105"/>
        <v>1930</v>
      </c>
      <c r="E230" s="10" t="s">
        <v>801</v>
      </c>
      <c r="F230" s="35" t="s">
        <v>842</v>
      </c>
      <c r="G230" s="10" t="s">
        <v>843</v>
      </c>
      <c r="H230" s="10" t="s">
        <v>139</v>
      </c>
      <c r="I230" s="10" t="s">
        <v>140</v>
      </c>
      <c r="J230" s="10" t="s">
        <v>834</v>
      </c>
      <c r="K230" s="10">
        <v>5</v>
      </c>
      <c r="L230" s="10">
        <v>5</v>
      </c>
      <c r="M230" s="10">
        <v>5</v>
      </c>
      <c r="N230" s="10">
        <v>5</v>
      </c>
      <c r="O230" s="10">
        <v>5</v>
      </c>
      <c r="P230" s="10">
        <v>5</v>
      </c>
      <c r="Q230" s="10">
        <v>3</v>
      </c>
      <c r="R230" s="10">
        <v>5</v>
      </c>
      <c r="S230" s="10">
        <f t="shared" si="106"/>
        <v>1</v>
      </c>
      <c r="T230" s="10">
        <f t="shared" si="107"/>
        <v>1</v>
      </c>
      <c r="U230" s="10">
        <f t="shared" si="108"/>
        <v>1</v>
      </c>
      <c r="V230" s="10">
        <f t="shared" si="109"/>
        <v>1</v>
      </c>
      <c r="W230" s="10">
        <f t="shared" si="110"/>
        <v>1</v>
      </c>
      <c r="X230" s="10">
        <f t="shared" si="111"/>
        <v>1</v>
      </c>
      <c r="Y230" s="10">
        <f t="shared" si="112"/>
        <v>0.5</v>
      </c>
      <c r="Z230" s="10">
        <f t="shared" si="113"/>
        <v>1</v>
      </c>
      <c r="AA230" s="10">
        <f t="shared" si="114"/>
        <v>1</v>
      </c>
      <c r="AB230" s="10">
        <f t="shared" si="115"/>
        <v>1</v>
      </c>
      <c r="AC230" s="10">
        <f t="shared" si="116"/>
        <v>1</v>
      </c>
      <c r="AD230" s="10">
        <f t="shared" si="117"/>
        <v>1</v>
      </c>
      <c r="AE230" s="10">
        <f t="shared" si="118"/>
        <v>1</v>
      </c>
      <c r="AF230" s="10">
        <f t="shared" si="119"/>
        <v>1</v>
      </c>
      <c r="AG230" s="10">
        <f t="shared" si="120"/>
        <v>0.5</v>
      </c>
      <c r="AH230" s="10">
        <f t="shared" si="121"/>
        <v>1</v>
      </c>
      <c r="AI230" s="10">
        <f>IF(OR(S230="",'4_BENCHMARK'!$C$4=""),"",ABS(S230-'4_BENCHMARK'!$C$4))</f>
        <v>0</v>
      </c>
      <c r="AJ230" s="10">
        <f>IF(OR(T230="",'4_BENCHMARK'!$C$5=""),"",ABS(T230-'4_BENCHMARK'!$C$5))</f>
        <v>0</v>
      </c>
      <c r="AK230" s="10">
        <f>IF(OR(U230="",'4_BENCHMARK'!$C$6=""),"",ABS(U230-'4_BENCHMARK'!$C$6))</f>
        <v>0</v>
      </c>
      <c r="AL230" s="10">
        <f>IF(OR(V230="",'4_BENCHMARK'!$C$7=""),"",ABS(V230-'4_BENCHMARK'!$C$7))</f>
        <v>0</v>
      </c>
      <c r="AM230" s="10">
        <f>IF(OR(W230="",'4_BENCHMARK'!$C$8=""),"",ABS(W230-'4_BENCHMARK'!$C$8))</f>
        <v>1</v>
      </c>
      <c r="AN230" s="10">
        <f>IF(OR(X230="",'4_BENCHMARK'!$C$9=""),"",ABS(X230-'4_BENCHMARK'!$C$9))</f>
        <v>1</v>
      </c>
      <c r="AO230" s="10">
        <f>IF(OR(Y230="",'4_BENCHMARK'!$C$10=""),"",ABS(Y230-'4_BENCHMARK'!$C$10))</f>
        <v>0</v>
      </c>
      <c r="AP230" s="10">
        <f>IF(OR(Z230="",'4_BENCHMARK'!$C$11=""),"",ABS(Z230-'4_BENCHMARK'!$C$11))</f>
        <v>0</v>
      </c>
      <c r="AQ230" s="13">
        <f t="shared" si="122"/>
        <v>0.75</v>
      </c>
      <c r="AR230" s="10"/>
      <c r="AS230" s="36" t="s">
        <v>141</v>
      </c>
      <c r="AT230" s="13">
        <f t="shared" si="123"/>
        <v>1</v>
      </c>
      <c r="AU230" s="1">
        <f t="shared" si="124"/>
        <v>5</v>
      </c>
      <c r="AV230" s="1">
        <f t="shared" si="125"/>
        <v>5</v>
      </c>
      <c r="AW230" s="1">
        <f t="shared" si="126"/>
        <v>5</v>
      </c>
      <c r="AX230" s="1">
        <f t="shared" si="127"/>
        <v>5</v>
      </c>
      <c r="AY230" s="1">
        <f t="shared" si="128"/>
        <v>5</v>
      </c>
      <c r="AZ230" s="1">
        <f t="shared" si="129"/>
        <v>5</v>
      </c>
      <c r="BA230" s="1">
        <f t="shared" si="130"/>
        <v>3</v>
      </c>
      <c r="BB230" s="1">
        <f t="shared" si="131"/>
        <v>5</v>
      </c>
      <c r="BC230" s="1" t="str">
        <f t="shared" si="132"/>
        <v/>
      </c>
      <c r="BD230" s="1" t="str">
        <f t="shared" si="133"/>
        <v/>
      </c>
      <c r="BE230" s="1" t="str">
        <f t="shared" si="134"/>
        <v/>
      </c>
      <c r="BF230" s="1" t="str">
        <f t="shared" si="135"/>
        <v/>
      </c>
      <c r="BG230" s="1" t="str">
        <f t="shared" si="136"/>
        <v/>
      </c>
      <c r="BH230" s="1" t="str">
        <f t="shared" si="137"/>
        <v/>
      </c>
      <c r="BI230" s="1" t="str">
        <f t="shared" si="138"/>
        <v/>
      </c>
      <c r="BJ230" s="1" t="str">
        <f t="shared" si="139"/>
        <v/>
      </c>
    </row>
    <row r="231" ht="14.25" customHeight="1" spans="1:62">
      <c r="A231" s="10">
        <v>227</v>
      </c>
      <c r="B231" s="10" t="s">
        <v>844</v>
      </c>
      <c r="C231" s="10">
        <v>1930</v>
      </c>
      <c r="D231" s="10">
        <f t="shared" si="105"/>
        <v>1930</v>
      </c>
      <c r="E231" s="10" t="s">
        <v>801</v>
      </c>
      <c r="F231" s="35" t="s">
        <v>845</v>
      </c>
      <c r="G231" s="10" t="s">
        <v>846</v>
      </c>
      <c r="H231" s="10" t="s">
        <v>139</v>
      </c>
      <c r="I231" s="10" t="s">
        <v>140</v>
      </c>
      <c r="J231" s="10" t="s">
        <v>834</v>
      </c>
      <c r="K231" s="10">
        <v>5</v>
      </c>
      <c r="L231" s="10">
        <v>5</v>
      </c>
      <c r="M231" s="10">
        <v>5</v>
      </c>
      <c r="N231" s="10">
        <v>5</v>
      </c>
      <c r="O231" s="10">
        <v>5</v>
      </c>
      <c r="P231" s="10">
        <v>5</v>
      </c>
      <c r="Q231" s="10">
        <v>3</v>
      </c>
      <c r="R231" s="10">
        <v>5</v>
      </c>
      <c r="S231" s="10">
        <f t="shared" si="106"/>
        <v>1</v>
      </c>
      <c r="T231" s="10">
        <f t="shared" si="107"/>
        <v>1</v>
      </c>
      <c r="U231" s="10">
        <f t="shared" si="108"/>
        <v>1</v>
      </c>
      <c r="V231" s="10">
        <f t="shared" si="109"/>
        <v>1</v>
      </c>
      <c r="W231" s="10">
        <f t="shared" si="110"/>
        <v>1</v>
      </c>
      <c r="X231" s="10">
        <f t="shared" si="111"/>
        <v>1</v>
      </c>
      <c r="Y231" s="10">
        <f t="shared" si="112"/>
        <v>0.5</v>
      </c>
      <c r="Z231" s="10">
        <f t="shared" si="113"/>
        <v>1</v>
      </c>
      <c r="AA231" s="10">
        <f t="shared" si="114"/>
        <v>1</v>
      </c>
      <c r="AB231" s="10">
        <f t="shared" si="115"/>
        <v>1</v>
      </c>
      <c r="AC231" s="10">
        <f t="shared" si="116"/>
        <v>1</v>
      </c>
      <c r="AD231" s="10">
        <f t="shared" si="117"/>
        <v>1</v>
      </c>
      <c r="AE231" s="10">
        <f t="shared" si="118"/>
        <v>1</v>
      </c>
      <c r="AF231" s="10">
        <f t="shared" si="119"/>
        <v>1</v>
      </c>
      <c r="AG231" s="10">
        <f t="shared" si="120"/>
        <v>0.5</v>
      </c>
      <c r="AH231" s="10">
        <f t="shared" si="121"/>
        <v>1</v>
      </c>
      <c r="AI231" s="10">
        <f>IF(OR(S231="",'4_BENCHMARK'!$C$4=""),"",ABS(S231-'4_BENCHMARK'!$C$4))</f>
        <v>0</v>
      </c>
      <c r="AJ231" s="10">
        <f>IF(OR(T231="",'4_BENCHMARK'!$C$5=""),"",ABS(T231-'4_BENCHMARK'!$C$5))</f>
        <v>0</v>
      </c>
      <c r="AK231" s="10">
        <f>IF(OR(U231="",'4_BENCHMARK'!$C$6=""),"",ABS(U231-'4_BENCHMARK'!$C$6))</f>
        <v>0</v>
      </c>
      <c r="AL231" s="10">
        <f>IF(OR(V231="",'4_BENCHMARK'!$C$7=""),"",ABS(V231-'4_BENCHMARK'!$C$7))</f>
        <v>0</v>
      </c>
      <c r="AM231" s="10">
        <f>IF(OR(W231="",'4_BENCHMARK'!$C$8=""),"",ABS(W231-'4_BENCHMARK'!$C$8))</f>
        <v>1</v>
      </c>
      <c r="AN231" s="10">
        <f>IF(OR(X231="",'4_BENCHMARK'!$C$9=""),"",ABS(X231-'4_BENCHMARK'!$C$9))</f>
        <v>1</v>
      </c>
      <c r="AO231" s="10">
        <f>IF(OR(Y231="",'4_BENCHMARK'!$C$10=""),"",ABS(Y231-'4_BENCHMARK'!$C$10))</f>
        <v>0</v>
      </c>
      <c r="AP231" s="10">
        <f>IF(OR(Z231="",'4_BENCHMARK'!$C$11=""),"",ABS(Z231-'4_BENCHMARK'!$C$11))</f>
        <v>0</v>
      </c>
      <c r="AQ231" s="13">
        <f t="shared" si="122"/>
        <v>0.75</v>
      </c>
      <c r="AR231" s="10"/>
      <c r="AS231" s="36" t="s">
        <v>141</v>
      </c>
      <c r="AT231" s="13">
        <f t="shared" si="123"/>
        <v>1</v>
      </c>
      <c r="AU231" s="1">
        <f t="shared" si="124"/>
        <v>5</v>
      </c>
      <c r="AV231" s="1">
        <f t="shared" si="125"/>
        <v>5</v>
      </c>
      <c r="AW231" s="1">
        <f t="shared" si="126"/>
        <v>5</v>
      </c>
      <c r="AX231" s="1">
        <f t="shared" si="127"/>
        <v>5</v>
      </c>
      <c r="AY231" s="1">
        <f t="shared" si="128"/>
        <v>5</v>
      </c>
      <c r="AZ231" s="1">
        <f t="shared" si="129"/>
        <v>5</v>
      </c>
      <c r="BA231" s="1">
        <f t="shared" si="130"/>
        <v>3</v>
      </c>
      <c r="BB231" s="1">
        <f t="shared" si="131"/>
        <v>5</v>
      </c>
      <c r="BC231" s="1" t="str">
        <f t="shared" si="132"/>
        <v/>
      </c>
      <c r="BD231" s="1" t="str">
        <f t="shared" si="133"/>
        <v/>
      </c>
      <c r="BE231" s="1" t="str">
        <f t="shared" si="134"/>
        <v/>
      </c>
      <c r="BF231" s="1" t="str">
        <f t="shared" si="135"/>
        <v/>
      </c>
      <c r="BG231" s="1" t="str">
        <f t="shared" si="136"/>
        <v/>
      </c>
      <c r="BH231" s="1" t="str">
        <f t="shared" si="137"/>
        <v/>
      </c>
      <c r="BI231" s="1" t="str">
        <f t="shared" si="138"/>
        <v/>
      </c>
      <c r="BJ231" s="1" t="str">
        <f t="shared" si="139"/>
        <v/>
      </c>
    </row>
    <row r="232" ht="14.25" customHeight="1" spans="1:62">
      <c r="A232" s="10">
        <v>228</v>
      </c>
      <c r="B232" s="10" t="s">
        <v>847</v>
      </c>
      <c r="C232" s="10">
        <v>1854</v>
      </c>
      <c r="D232" s="10">
        <f t="shared" si="105"/>
        <v>1850</v>
      </c>
      <c r="E232" s="10" t="s">
        <v>848</v>
      </c>
      <c r="F232" s="35" t="s">
        <v>849</v>
      </c>
      <c r="G232" s="10" t="s">
        <v>850</v>
      </c>
      <c r="H232" s="10" t="s">
        <v>140</v>
      </c>
      <c r="I232" s="10" t="s">
        <v>140</v>
      </c>
      <c r="J232" s="10"/>
      <c r="K232" s="10">
        <v>5</v>
      </c>
      <c r="L232" s="10">
        <v>4</v>
      </c>
      <c r="M232" s="10">
        <v>5</v>
      </c>
      <c r="N232" s="10">
        <v>5</v>
      </c>
      <c r="O232" s="10">
        <v>1</v>
      </c>
      <c r="P232" s="10">
        <v>1</v>
      </c>
      <c r="Q232" s="10">
        <v>2</v>
      </c>
      <c r="R232" s="10">
        <v>5</v>
      </c>
      <c r="S232" s="10">
        <f t="shared" si="106"/>
        <v>1</v>
      </c>
      <c r="T232" s="10">
        <f t="shared" si="107"/>
        <v>0.75</v>
      </c>
      <c r="U232" s="10">
        <f t="shared" si="108"/>
        <v>1</v>
      </c>
      <c r="V232" s="10">
        <f t="shared" si="109"/>
        <v>1</v>
      </c>
      <c r="W232" s="10">
        <f t="shared" si="110"/>
        <v>0</v>
      </c>
      <c r="X232" s="10">
        <f t="shared" si="111"/>
        <v>0</v>
      </c>
      <c r="Y232" s="10">
        <f t="shared" si="112"/>
        <v>0.25</v>
      </c>
      <c r="Z232" s="10">
        <f t="shared" si="113"/>
        <v>1</v>
      </c>
      <c r="AA232" s="10">
        <f t="shared" si="114"/>
        <v>1</v>
      </c>
      <c r="AB232" s="10">
        <f t="shared" si="115"/>
        <v>0.75</v>
      </c>
      <c r="AC232" s="10">
        <f t="shared" si="116"/>
        <v>1</v>
      </c>
      <c r="AD232" s="10">
        <f t="shared" si="117"/>
        <v>1</v>
      </c>
      <c r="AE232" s="10">
        <f t="shared" si="118"/>
        <v>0</v>
      </c>
      <c r="AF232" s="10">
        <f t="shared" si="119"/>
        <v>0</v>
      </c>
      <c r="AG232" s="10">
        <f t="shared" si="120"/>
        <v>0.25</v>
      </c>
      <c r="AH232" s="10">
        <f t="shared" si="121"/>
        <v>1</v>
      </c>
      <c r="AI232" s="10">
        <f>IF(OR(S232="",'4_BENCHMARK'!$C$4=""),"",ABS(S232-'4_BENCHMARK'!$C$4))</f>
        <v>0</v>
      </c>
      <c r="AJ232" s="10">
        <f>IF(OR(T232="",'4_BENCHMARK'!$C$5=""),"",ABS(T232-'4_BENCHMARK'!$C$5))</f>
        <v>0.25</v>
      </c>
      <c r="AK232" s="10">
        <f>IF(OR(U232="",'4_BENCHMARK'!$C$6=""),"",ABS(U232-'4_BENCHMARK'!$C$6))</f>
        <v>0</v>
      </c>
      <c r="AL232" s="10">
        <f>IF(OR(V232="",'4_BENCHMARK'!$C$7=""),"",ABS(V232-'4_BENCHMARK'!$C$7))</f>
        <v>0</v>
      </c>
      <c r="AM232" s="10">
        <f>IF(OR(W232="",'4_BENCHMARK'!$C$8=""),"",ABS(W232-'4_BENCHMARK'!$C$8))</f>
        <v>0</v>
      </c>
      <c r="AN232" s="10">
        <f>IF(OR(X232="",'4_BENCHMARK'!$C$9=""),"",ABS(X232-'4_BENCHMARK'!$C$9))</f>
        <v>0</v>
      </c>
      <c r="AO232" s="10">
        <f>IF(OR(Y232="",'4_BENCHMARK'!$C$10=""),"",ABS(Y232-'4_BENCHMARK'!$C$10))</f>
        <v>0.25</v>
      </c>
      <c r="AP232" s="10">
        <f>IF(OR(Z232="",'4_BENCHMARK'!$C$11=""),"",ABS(Z232-'4_BENCHMARK'!$C$11))</f>
        <v>0</v>
      </c>
      <c r="AQ232" s="13">
        <f t="shared" si="122"/>
        <v>0.9375</v>
      </c>
      <c r="AR232" s="10"/>
      <c r="AS232" s="36" t="s">
        <v>141</v>
      </c>
      <c r="AT232" s="13">
        <f t="shared" si="123"/>
        <v>0.916666666666667</v>
      </c>
      <c r="AU232" s="1">
        <f t="shared" si="124"/>
        <v>5</v>
      </c>
      <c r="AV232" s="1">
        <f t="shared" si="125"/>
        <v>4</v>
      </c>
      <c r="AW232" s="1">
        <f t="shared" si="126"/>
        <v>5</v>
      </c>
      <c r="AX232" s="1">
        <f t="shared" si="127"/>
        <v>5</v>
      </c>
      <c r="AY232" s="1">
        <f t="shared" si="128"/>
        <v>1</v>
      </c>
      <c r="AZ232" s="1">
        <f t="shared" si="129"/>
        <v>1</v>
      </c>
      <c r="BA232" s="1">
        <f t="shared" si="130"/>
        <v>2</v>
      </c>
      <c r="BB232" s="1">
        <f t="shared" si="131"/>
        <v>5</v>
      </c>
      <c r="BC232" s="1" t="str">
        <f t="shared" si="132"/>
        <v/>
      </c>
      <c r="BD232" s="1" t="str">
        <f t="shared" si="133"/>
        <v/>
      </c>
      <c r="BE232" s="1" t="str">
        <f t="shared" si="134"/>
        <v/>
      </c>
      <c r="BF232" s="1" t="str">
        <f t="shared" si="135"/>
        <v/>
      </c>
      <c r="BG232" s="1" t="str">
        <f t="shared" si="136"/>
        <v/>
      </c>
      <c r="BH232" s="1" t="str">
        <f t="shared" si="137"/>
        <v/>
      </c>
      <c r="BI232" s="1" t="str">
        <f t="shared" si="138"/>
        <v/>
      </c>
      <c r="BJ232" s="1" t="str">
        <f t="shared" si="139"/>
        <v/>
      </c>
    </row>
    <row r="233" ht="14.25" customHeight="1" spans="1:62">
      <c r="A233" s="10">
        <v>229</v>
      </c>
      <c r="B233" s="10" t="s">
        <v>851</v>
      </c>
      <c r="C233" s="10">
        <v>1867</v>
      </c>
      <c r="D233" s="10">
        <f t="shared" si="105"/>
        <v>1860</v>
      </c>
      <c r="E233" s="10" t="s">
        <v>848</v>
      </c>
      <c r="F233" s="35" t="s">
        <v>849</v>
      </c>
      <c r="G233" s="10" t="s">
        <v>852</v>
      </c>
      <c r="H233" s="10" t="s">
        <v>140</v>
      </c>
      <c r="I233" s="10" t="s">
        <v>140</v>
      </c>
      <c r="J233" s="10"/>
      <c r="K233" s="10">
        <v>5</v>
      </c>
      <c r="L233" s="10">
        <v>5</v>
      </c>
      <c r="M233" s="10">
        <v>5</v>
      </c>
      <c r="N233" s="10">
        <v>5</v>
      </c>
      <c r="O233" s="10">
        <v>1</v>
      </c>
      <c r="P233" s="10">
        <v>1</v>
      </c>
      <c r="Q233" s="10">
        <v>3</v>
      </c>
      <c r="R233" s="10">
        <v>5</v>
      </c>
      <c r="S233" s="10">
        <f t="shared" si="106"/>
        <v>1</v>
      </c>
      <c r="T233" s="10">
        <f t="shared" si="107"/>
        <v>1</v>
      </c>
      <c r="U233" s="10">
        <f t="shared" si="108"/>
        <v>1</v>
      </c>
      <c r="V233" s="10">
        <f t="shared" si="109"/>
        <v>1</v>
      </c>
      <c r="W233" s="10">
        <f t="shared" si="110"/>
        <v>0</v>
      </c>
      <c r="X233" s="10">
        <f t="shared" si="111"/>
        <v>0</v>
      </c>
      <c r="Y233" s="10">
        <f t="shared" si="112"/>
        <v>0.5</v>
      </c>
      <c r="Z233" s="10">
        <f t="shared" si="113"/>
        <v>1</v>
      </c>
      <c r="AA233" s="10">
        <f t="shared" si="114"/>
        <v>1</v>
      </c>
      <c r="AB233" s="10">
        <f t="shared" si="115"/>
        <v>1</v>
      </c>
      <c r="AC233" s="10">
        <f t="shared" si="116"/>
        <v>1</v>
      </c>
      <c r="AD233" s="10">
        <f t="shared" si="117"/>
        <v>1</v>
      </c>
      <c r="AE233" s="10">
        <f t="shared" si="118"/>
        <v>0</v>
      </c>
      <c r="AF233" s="10">
        <f t="shared" si="119"/>
        <v>0</v>
      </c>
      <c r="AG233" s="10">
        <f t="shared" si="120"/>
        <v>0.5</v>
      </c>
      <c r="AH233" s="10">
        <f t="shared" si="121"/>
        <v>1</v>
      </c>
      <c r="AI233" s="10">
        <f>IF(OR(S233="",'4_BENCHMARK'!$C$4=""),"",ABS(S233-'4_BENCHMARK'!$C$4))</f>
        <v>0</v>
      </c>
      <c r="AJ233" s="10">
        <f>IF(OR(T233="",'4_BENCHMARK'!$C$5=""),"",ABS(T233-'4_BENCHMARK'!$C$5))</f>
        <v>0</v>
      </c>
      <c r="AK233" s="10">
        <f>IF(OR(U233="",'4_BENCHMARK'!$C$6=""),"",ABS(U233-'4_BENCHMARK'!$C$6))</f>
        <v>0</v>
      </c>
      <c r="AL233" s="10">
        <f>IF(OR(V233="",'4_BENCHMARK'!$C$7=""),"",ABS(V233-'4_BENCHMARK'!$C$7))</f>
        <v>0</v>
      </c>
      <c r="AM233" s="10">
        <f>IF(OR(W233="",'4_BENCHMARK'!$C$8=""),"",ABS(W233-'4_BENCHMARK'!$C$8))</f>
        <v>0</v>
      </c>
      <c r="AN233" s="10">
        <f>IF(OR(X233="",'4_BENCHMARK'!$C$9=""),"",ABS(X233-'4_BENCHMARK'!$C$9))</f>
        <v>0</v>
      </c>
      <c r="AO233" s="10">
        <f>IF(OR(Y233="",'4_BENCHMARK'!$C$10=""),"",ABS(Y233-'4_BENCHMARK'!$C$10))</f>
        <v>0</v>
      </c>
      <c r="AP233" s="10">
        <f>IF(OR(Z233="",'4_BENCHMARK'!$C$11=""),"",ABS(Z233-'4_BENCHMARK'!$C$11))</f>
        <v>0</v>
      </c>
      <c r="AQ233" s="13">
        <f t="shared" si="122"/>
        <v>1</v>
      </c>
      <c r="AR233" s="10"/>
      <c r="AS233" s="36" t="s">
        <v>141</v>
      </c>
      <c r="AT233" s="13">
        <f t="shared" si="123"/>
        <v>1</v>
      </c>
      <c r="AU233" s="1">
        <f t="shared" si="124"/>
        <v>5</v>
      </c>
      <c r="AV233" s="1">
        <f t="shared" si="125"/>
        <v>5</v>
      </c>
      <c r="AW233" s="1">
        <f t="shared" si="126"/>
        <v>5</v>
      </c>
      <c r="AX233" s="1">
        <f t="shared" si="127"/>
        <v>5</v>
      </c>
      <c r="AY233" s="1">
        <f t="shared" si="128"/>
        <v>1</v>
      </c>
      <c r="AZ233" s="1">
        <f t="shared" si="129"/>
        <v>1</v>
      </c>
      <c r="BA233" s="1">
        <f t="shared" si="130"/>
        <v>3</v>
      </c>
      <c r="BB233" s="1">
        <f t="shared" si="131"/>
        <v>5</v>
      </c>
      <c r="BC233" s="1" t="str">
        <f t="shared" si="132"/>
        <v/>
      </c>
      <c r="BD233" s="1" t="str">
        <f t="shared" si="133"/>
        <v/>
      </c>
      <c r="BE233" s="1" t="str">
        <f t="shared" si="134"/>
        <v/>
      </c>
      <c r="BF233" s="1" t="str">
        <f t="shared" si="135"/>
        <v/>
      </c>
      <c r="BG233" s="1" t="str">
        <f t="shared" si="136"/>
        <v/>
      </c>
      <c r="BH233" s="1" t="str">
        <f t="shared" si="137"/>
        <v/>
      </c>
      <c r="BI233" s="1" t="str">
        <f t="shared" si="138"/>
        <v/>
      </c>
      <c r="BJ233" s="1" t="str">
        <f t="shared" si="139"/>
        <v/>
      </c>
    </row>
    <row r="234" ht="14.25" customHeight="1" spans="1:62">
      <c r="A234" s="10">
        <v>230</v>
      </c>
      <c r="B234" s="10" t="s">
        <v>853</v>
      </c>
      <c r="C234" s="10">
        <v>1885</v>
      </c>
      <c r="D234" s="10">
        <f t="shared" si="105"/>
        <v>1880</v>
      </c>
      <c r="E234" s="10" t="s">
        <v>848</v>
      </c>
      <c r="F234" s="35" t="s">
        <v>849</v>
      </c>
      <c r="G234" s="10" t="s">
        <v>854</v>
      </c>
      <c r="H234" s="10" t="s">
        <v>140</v>
      </c>
      <c r="I234" s="10" t="s">
        <v>140</v>
      </c>
      <c r="J234" s="10"/>
      <c r="K234" s="10">
        <v>5</v>
      </c>
      <c r="L234" s="10">
        <v>5</v>
      </c>
      <c r="M234" s="10">
        <v>5</v>
      </c>
      <c r="N234" s="10">
        <v>5</v>
      </c>
      <c r="O234" s="10">
        <v>1</v>
      </c>
      <c r="P234" s="10">
        <v>1</v>
      </c>
      <c r="Q234" s="10">
        <v>3</v>
      </c>
      <c r="R234" s="10">
        <v>5</v>
      </c>
      <c r="S234" s="10">
        <f t="shared" si="106"/>
        <v>1</v>
      </c>
      <c r="T234" s="10">
        <f t="shared" si="107"/>
        <v>1</v>
      </c>
      <c r="U234" s="10">
        <f t="shared" si="108"/>
        <v>1</v>
      </c>
      <c r="V234" s="10">
        <f t="shared" si="109"/>
        <v>1</v>
      </c>
      <c r="W234" s="10">
        <f t="shared" si="110"/>
        <v>0</v>
      </c>
      <c r="X234" s="10">
        <f t="shared" si="111"/>
        <v>0</v>
      </c>
      <c r="Y234" s="10">
        <f t="shared" si="112"/>
        <v>0.5</v>
      </c>
      <c r="Z234" s="10">
        <f t="shared" si="113"/>
        <v>1</v>
      </c>
      <c r="AA234" s="10">
        <f t="shared" si="114"/>
        <v>1</v>
      </c>
      <c r="AB234" s="10">
        <f t="shared" si="115"/>
        <v>1</v>
      </c>
      <c r="AC234" s="10">
        <f t="shared" si="116"/>
        <v>1</v>
      </c>
      <c r="AD234" s="10">
        <f t="shared" si="117"/>
        <v>1</v>
      </c>
      <c r="AE234" s="10">
        <f t="shared" si="118"/>
        <v>0</v>
      </c>
      <c r="AF234" s="10">
        <f t="shared" si="119"/>
        <v>0</v>
      </c>
      <c r="AG234" s="10">
        <f t="shared" si="120"/>
        <v>0.5</v>
      </c>
      <c r="AH234" s="10">
        <f t="shared" si="121"/>
        <v>1</v>
      </c>
      <c r="AI234" s="10">
        <f>IF(OR(S234="",'4_BENCHMARK'!$C$4=""),"",ABS(S234-'4_BENCHMARK'!$C$4))</f>
        <v>0</v>
      </c>
      <c r="AJ234" s="10">
        <f>IF(OR(T234="",'4_BENCHMARK'!$C$5=""),"",ABS(T234-'4_BENCHMARK'!$C$5))</f>
        <v>0</v>
      </c>
      <c r="AK234" s="10">
        <f>IF(OR(U234="",'4_BENCHMARK'!$C$6=""),"",ABS(U234-'4_BENCHMARK'!$C$6))</f>
        <v>0</v>
      </c>
      <c r="AL234" s="10">
        <f>IF(OR(V234="",'4_BENCHMARK'!$C$7=""),"",ABS(V234-'4_BENCHMARK'!$C$7))</f>
        <v>0</v>
      </c>
      <c r="AM234" s="10">
        <f>IF(OR(W234="",'4_BENCHMARK'!$C$8=""),"",ABS(W234-'4_BENCHMARK'!$C$8))</f>
        <v>0</v>
      </c>
      <c r="AN234" s="10">
        <f>IF(OR(X234="",'4_BENCHMARK'!$C$9=""),"",ABS(X234-'4_BENCHMARK'!$C$9))</f>
        <v>0</v>
      </c>
      <c r="AO234" s="10">
        <f>IF(OR(Y234="",'4_BENCHMARK'!$C$10=""),"",ABS(Y234-'4_BENCHMARK'!$C$10))</f>
        <v>0</v>
      </c>
      <c r="AP234" s="10">
        <f>IF(OR(Z234="",'4_BENCHMARK'!$C$11=""),"",ABS(Z234-'4_BENCHMARK'!$C$11))</f>
        <v>0</v>
      </c>
      <c r="AQ234" s="13">
        <f t="shared" si="122"/>
        <v>1</v>
      </c>
      <c r="AR234" s="10"/>
      <c r="AS234" s="36" t="s">
        <v>141</v>
      </c>
      <c r="AT234" s="13">
        <f t="shared" si="123"/>
        <v>1</v>
      </c>
      <c r="AU234" s="1">
        <f t="shared" si="124"/>
        <v>5</v>
      </c>
      <c r="AV234" s="1">
        <f t="shared" si="125"/>
        <v>5</v>
      </c>
      <c r="AW234" s="1">
        <f t="shared" si="126"/>
        <v>5</v>
      </c>
      <c r="AX234" s="1">
        <f t="shared" si="127"/>
        <v>5</v>
      </c>
      <c r="AY234" s="1">
        <f t="shared" si="128"/>
        <v>1</v>
      </c>
      <c r="AZ234" s="1">
        <f t="shared" si="129"/>
        <v>1</v>
      </c>
      <c r="BA234" s="1">
        <f t="shared" si="130"/>
        <v>3</v>
      </c>
      <c r="BB234" s="1">
        <f t="shared" si="131"/>
        <v>5</v>
      </c>
      <c r="BC234" s="1" t="str">
        <f t="shared" si="132"/>
        <v/>
      </c>
      <c r="BD234" s="1" t="str">
        <f t="shared" si="133"/>
        <v/>
      </c>
      <c r="BE234" s="1" t="str">
        <f t="shared" si="134"/>
        <v/>
      </c>
      <c r="BF234" s="1" t="str">
        <f t="shared" si="135"/>
        <v/>
      </c>
      <c r="BG234" s="1" t="str">
        <f t="shared" si="136"/>
        <v/>
      </c>
      <c r="BH234" s="1" t="str">
        <f t="shared" si="137"/>
        <v/>
      </c>
      <c r="BI234" s="1" t="str">
        <f t="shared" si="138"/>
        <v/>
      </c>
      <c r="BJ234" s="1" t="str">
        <f t="shared" si="139"/>
        <v/>
      </c>
    </row>
    <row r="235" ht="14.25" customHeight="1" spans="1:62">
      <c r="A235" s="10">
        <v>231</v>
      </c>
      <c r="B235" s="10" t="s">
        <v>855</v>
      </c>
      <c r="C235" s="10">
        <v>1910</v>
      </c>
      <c r="D235" s="10">
        <f t="shared" si="105"/>
        <v>1910</v>
      </c>
      <c r="E235" s="10" t="s">
        <v>848</v>
      </c>
      <c r="F235" s="35" t="s">
        <v>849</v>
      </c>
      <c r="G235" s="10" t="s">
        <v>856</v>
      </c>
      <c r="H235" s="10" t="s">
        <v>140</v>
      </c>
      <c r="I235" s="10" t="s">
        <v>140</v>
      </c>
      <c r="J235" s="10"/>
      <c r="K235" s="10">
        <v>5</v>
      </c>
      <c r="L235" s="10">
        <v>5</v>
      </c>
      <c r="M235" s="10">
        <v>5</v>
      </c>
      <c r="N235" s="10">
        <v>5</v>
      </c>
      <c r="O235" s="10">
        <v>5</v>
      </c>
      <c r="P235" s="10">
        <v>5</v>
      </c>
      <c r="Q235" s="10">
        <v>3</v>
      </c>
      <c r="R235" s="10">
        <v>5</v>
      </c>
      <c r="S235" s="10">
        <f t="shared" si="106"/>
        <v>1</v>
      </c>
      <c r="T235" s="10">
        <f t="shared" si="107"/>
        <v>1</v>
      </c>
      <c r="U235" s="10">
        <f t="shared" si="108"/>
        <v>1</v>
      </c>
      <c r="V235" s="10">
        <f t="shared" si="109"/>
        <v>1</v>
      </c>
      <c r="W235" s="10">
        <f t="shared" si="110"/>
        <v>1</v>
      </c>
      <c r="X235" s="10">
        <f t="shared" si="111"/>
        <v>1</v>
      </c>
      <c r="Y235" s="10">
        <f t="shared" si="112"/>
        <v>0.5</v>
      </c>
      <c r="Z235" s="10">
        <f t="shared" si="113"/>
        <v>1</v>
      </c>
      <c r="AA235" s="10">
        <f t="shared" si="114"/>
        <v>1</v>
      </c>
      <c r="AB235" s="10">
        <f t="shared" si="115"/>
        <v>1</v>
      </c>
      <c r="AC235" s="10">
        <f t="shared" si="116"/>
        <v>1</v>
      </c>
      <c r="AD235" s="10">
        <f t="shared" si="117"/>
        <v>1</v>
      </c>
      <c r="AE235" s="10">
        <f t="shared" si="118"/>
        <v>1</v>
      </c>
      <c r="AF235" s="10">
        <f t="shared" si="119"/>
        <v>1</v>
      </c>
      <c r="AG235" s="10">
        <f t="shared" si="120"/>
        <v>0.5</v>
      </c>
      <c r="AH235" s="10">
        <f t="shared" si="121"/>
        <v>1</v>
      </c>
      <c r="AI235" s="10">
        <f>IF(OR(S235="",'4_BENCHMARK'!$C$4=""),"",ABS(S235-'4_BENCHMARK'!$C$4))</f>
        <v>0</v>
      </c>
      <c r="AJ235" s="10">
        <f>IF(OR(T235="",'4_BENCHMARK'!$C$5=""),"",ABS(T235-'4_BENCHMARK'!$C$5))</f>
        <v>0</v>
      </c>
      <c r="AK235" s="10">
        <f>IF(OR(U235="",'4_BENCHMARK'!$C$6=""),"",ABS(U235-'4_BENCHMARK'!$C$6))</f>
        <v>0</v>
      </c>
      <c r="AL235" s="10">
        <f>IF(OR(V235="",'4_BENCHMARK'!$C$7=""),"",ABS(V235-'4_BENCHMARK'!$C$7))</f>
        <v>0</v>
      </c>
      <c r="AM235" s="10">
        <f>IF(OR(W235="",'4_BENCHMARK'!$C$8=""),"",ABS(W235-'4_BENCHMARK'!$C$8))</f>
        <v>1</v>
      </c>
      <c r="AN235" s="10">
        <f>IF(OR(X235="",'4_BENCHMARK'!$C$9=""),"",ABS(X235-'4_BENCHMARK'!$C$9))</f>
        <v>1</v>
      </c>
      <c r="AO235" s="10">
        <f>IF(OR(Y235="",'4_BENCHMARK'!$C$10=""),"",ABS(Y235-'4_BENCHMARK'!$C$10))</f>
        <v>0</v>
      </c>
      <c r="AP235" s="10">
        <f>IF(OR(Z235="",'4_BENCHMARK'!$C$11=""),"",ABS(Z235-'4_BENCHMARK'!$C$11))</f>
        <v>0</v>
      </c>
      <c r="AQ235" s="13">
        <f t="shared" si="122"/>
        <v>0.75</v>
      </c>
      <c r="AR235" s="10"/>
      <c r="AS235" s="36" t="s">
        <v>230</v>
      </c>
      <c r="AT235" s="13">
        <f t="shared" si="123"/>
        <v>1</v>
      </c>
      <c r="AU235" s="1">
        <f t="shared" si="124"/>
        <v>5</v>
      </c>
      <c r="AV235" s="1">
        <f t="shared" si="125"/>
        <v>5</v>
      </c>
      <c r="AW235" s="1">
        <f t="shared" si="126"/>
        <v>5</v>
      </c>
      <c r="AX235" s="1">
        <f t="shared" si="127"/>
        <v>5</v>
      </c>
      <c r="AY235" s="1">
        <f t="shared" si="128"/>
        <v>5</v>
      </c>
      <c r="AZ235" s="1">
        <f t="shared" si="129"/>
        <v>5</v>
      </c>
      <c r="BA235" s="1">
        <f t="shared" si="130"/>
        <v>3</v>
      </c>
      <c r="BB235" s="1">
        <f t="shared" si="131"/>
        <v>5</v>
      </c>
      <c r="BC235" s="1" t="str">
        <f t="shared" si="132"/>
        <v/>
      </c>
      <c r="BD235" s="1" t="str">
        <f t="shared" si="133"/>
        <v/>
      </c>
      <c r="BE235" s="1" t="str">
        <f t="shared" si="134"/>
        <v/>
      </c>
      <c r="BF235" s="1" t="str">
        <f t="shared" si="135"/>
        <v/>
      </c>
      <c r="BG235" s="1" t="str">
        <f t="shared" si="136"/>
        <v/>
      </c>
      <c r="BH235" s="1" t="str">
        <f t="shared" si="137"/>
        <v/>
      </c>
      <c r="BI235" s="1" t="str">
        <f t="shared" si="138"/>
        <v/>
      </c>
      <c r="BJ235" s="1" t="str">
        <f t="shared" si="139"/>
        <v/>
      </c>
    </row>
    <row r="236" ht="14.25" customHeight="1" spans="1:62">
      <c r="A236" s="10">
        <v>232</v>
      </c>
      <c r="B236" s="10" t="s">
        <v>857</v>
      </c>
      <c r="C236" s="10">
        <v>1923</v>
      </c>
      <c r="D236" s="10">
        <f t="shared" si="105"/>
        <v>1920</v>
      </c>
      <c r="E236" s="10" t="s">
        <v>848</v>
      </c>
      <c r="F236" s="35" t="s">
        <v>849</v>
      </c>
      <c r="G236" s="10" t="s">
        <v>858</v>
      </c>
      <c r="H236" s="10" t="s">
        <v>140</v>
      </c>
      <c r="I236" s="10" t="s">
        <v>140</v>
      </c>
      <c r="J236" s="10"/>
      <c r="K236" s="10">
        <v>5</v>
      </c>
      <c r="L236" s="10">
        <v>5</v>
      </c>
      <c r="M236" s="10">
        <v>5</v>
      </c>
      <c r="N236" s="10">
        <v>5</v>
      </c>
      <c r="O236" s="10">
        <v>5</v>
      </c>
      <c r="P236" s="10">
        <v>5</v>
      </c>
      <c r="Q236" s="10">
        <v>2</v>
      </c>
      <c r="R236" s="10">
        <v>5</v>
      </c>
      <c r="S236" s="10">
        <f t="shared" si="106"/>
        <v>1</v>
      </c>
      <c r="T236" s="10">
        <f t="shared" si="107"/>
        <v>1</v>
      </c>
      <c r="U236" s="10">
        <f t="shared" si="108"/>
        <v>1</v>
      </c>
      <c r="V236" s="10">
        <f t="shared" si="109"/>
        <v>1</v>
      </c>
      <c r="W236" s="10">
        <f t="shared" si="110"/>
        <v>1</v>
      </c>
      <c r="X236" s="10">
        <f t="shared" si="111"/>
        <v>1</v>
      </c>
      <c r="Y236" s="10">
        <f t="shared" si="112"/>
        <v>0.25</v>
      </c>
      <c r="Z236" s="10">
        <f t="shared" si="113"/>
        <v>1</v>
      </c>
      <c r="AA236" s="10">
        <f t="shared" si="114"/>
        <v>1</v>
      </c>
      <c r="AB236" s="10">
        <f t="shared" si="115"/>
        <v>1</v>
      </c>
      <c r="AC236" s="10">
        <f t="shared" si="116"/>
        <v>1</v>
      </c>
      <c r="AD236" s="10">
        <f t="shared" si="117"/>
        <v>1</v>
      </c>
      <c r="AE236" s="10">
        <f t="shared" si="118"/>
        <v>1</v>
      </c>
      <c r="AF236" s="10">
        <f t="shared" si="119"/>
        <v>1</v>
      </c>
      <c r="AG236" s="10">
        <f t="shared" si="120"/>
        <v>0.25</v>
      </c>
      <c r="AH236" s="10">
        <f t="shared" si="121"/>
        <v>1</v>
      </c>
      <c r="AI236" s="10">
        <f>IF(OR(S236="",'4_BENCHMARK'!$C$4=""),"",ABS(S236-'4_BENCHMARK'!$C$4))</f>
        <v>0</v>
      </c>
      <c r="AJ236" s="10">
        <f>IF(OR(T236="",'4_BENCHMARK'!$C$5=""),"",ABS(T236-'4_BENCHMARK'!$C$5))</f>
        <v>0</v>
      </c>
      <c r="AK236" s="10">
        <f>IF(OR(U236="",'4_BENCHMARK'!$C$6=""),"",ABS(U236-'4_BENCHMARK'!$C$6))</f>
        <v>0</v>
      </c>
      <c r="AL236" s="10">
        <f>IF(OR(V236="",'4_BENCHMARK'!$C$7=""),"",ABS(V236-'4_BENCHMARK'!$C$7))</f>
        <v>0</v>
      </c>
      <c r="AM236" s="10">
        <f>IF(OR(W236="",'4_BENCHMARK'!$C$8=""),"",ABS(W236-'4_BENCHMARK'!$C$8))</f>
        <v>1</v>
      </c>
      <c r="AN236" s="10">
        <f>IF(OR(X236="",'4_BENCHMARK'!$C$9=""),"",ABS(X236-'4_BENCHMARK'!$C$9))</f>
        <v>1</v>
      </c>
      <c r="AO236" s="10">
        <f>IF(OR(Y236="",'4_BENCHMARK'!$C$10=""),"",ABS(Y236-'4_BENCHMARK'!$C$10))</f>
        <v>0.25</v>
      </c>
      <c r="AP236" s="10">
        <f>IF(OR(Z236="",'4_BENCHMARK'!$C$11=""),"",ABS(Z236-'4_BENCHMARK'!$C$11))</f>
        <v>0</v>
      </c>
      <c r="AQ236" s="13">
        <f t="shared" si="122"/>
        <v>0.71875</v>
      </c>
      <c r="AR236" s="10"/>
      <c r="AS236" s="36" t="s">
        <v>141</v>
      </c>
      <c r="AT236" s="13">
        <f t="shared" si="123"/>
        <v>0.958333333333333</v>
      </c>
      <c r="AU236" s="1">
        <f t="shared" si="124"/>
        <v>5</v>
      </c>
      <c r="AV236" s="1">
        <f t="shared" si="125"/>
        <v>5</v>
      </c>
      <c r="AW236" s="1">
        <f t="shared" si="126"/>
        <v>5</v>
      </c>
      <c r="AX236" s="1">
        <f t="shared" si="127"/>
        <v>5</v>
      </c>
      <c r="AY236" s="1">
        <f t="shared" si="128"/>
        <v>5</v>
      </c>
      <c r="AZ236" s="1">
        <f t="shared" si="129"/>
        <v>5</v>
      </c>
      <c r="BA236" s="1">
        <f t="shared" si="130"/>
        <v>2</v>
      </c>
      <c r="BB236" s="1">
        <f t="shared" si="131"/>
        <v>5</v>
      </c>
      <c r="BC236" s="1" t="str">
        <f t="shared" si="132"/>
        <v/>
      </c>
      <c r="BD236" s="1" t="str">
        <f t="shared" si="133"/>
        <v/>
      </c>
      <c r="BE236" s="1" t="str">
        <f t="shared" si="134"/>
        <v/>
      </c>
      <c r="BF236" s="1" t="str">
        <f t="shared" si="135"/>
        <v/>
      </c>
      <c r="BG236" s="1" t="str">
        <f t="shared" si="136"/>
        <v/>
      </c>
      <c r="BH236" s="1" t="str">
        <f t="shared" si="137"/>
        <v/>
      </c>
      <c r="BI236" s="1" t="str">
        <f t="shared" si="138"/>
        <v/>
      </c>
      <c r="BJ236" s="1" t="str">
        <f t="shared" si="139"/>
        <v/>
      </c>
    </row>
    <row r="237" ht="14.25" customHeight="1" spans="1:62">
      <c r="A237" s="10">
        <v>233</v>
      </c>
      <c r="B237" s="10" t="s">
        <v>859</v>
      </c>
      <c r="C237" s="10">
        <v>1925</v>
      </c>
      <c r="D237" s="10">
        <f t="shared" si="105"/>
        <v>1920</v>
      </c>
      <c r="E237" s="10" t="s">
        <v>848</v>
      </c>
      <c r="F237" s="35" t="s">
        <v>849</v>
      </c>
      <c r="G237" s="10" t="s">
        <v>860</v>
      </c>
      <c r="H237" s="10" t="s">
        <v>140</v>
      </c>
      <c r="I237" s="10" t="s">
        <v>140</v>
      </c>
      <c r="J237" s="10"/>
      <c r="K237" s="10">
        <v>5</v>
      </c>
      <c r="L237" s="10">
        <v>5</v>
      </c>
      <c r="M237" s="10">
        <v>5</v>
      </c>
      <c r="N237" s="10">
        <v>5</v>
      </c>
      <c r="O237" s="10">
        <v>1</v>
      </c>
      <c r="P237" s="10">
        <v>1</v>
      </c>
      <c r="Q237" s="10">
        <v>2</v>
      </c>
      <c r="R237" s="10">
        <v>5</v>
      </c>
      <c r="S237" s="10">
        <f t="shared" si="106"/>
        <v>1</v>
      </c>
      <c r="T237" s="10">
        <f t="shared" si="107"/>
        <v>1</v>
      </c>
      <c r="U237" s="10">
        <f t="shared" si="108"/>
        <v>1</v>
      </c>
      <c r="V237" s="10">
        <f t="shared" si="109"/>
        <v>1</v>
      </c>
      <c r="W237" s="10">
        <f t="shared" si="110"/>
        <v>0</v>
      </c>
      <c r="X237" s="10">
        <f t="shared" si="111"/>
        <v>0</v>
      </c>
      <c r="Y237" s="10">
        <f t="shared" si="112"/>
        <v>0.25</v>
      </c>
      <c r="Z237" s="10">
        <f t="shared" si="113"/>
        <v>1</v>
      </c>
      <c r="AA237" s="10">
        <f t="shared" si="114"/>
        <v>1</v>
      </c>
      <c r="AB237" s="10">
        <f t="shared" si="115"/>
        <v>1</v>
      </c>
      <c r="AC237" s="10">
        <f t="shared" si="116"/>
        <v>1</v>
      </c>
      <c r="AD237" s="10">
        <f t="shared" si="117"/>
        <v>1</v>
      </c>
      <c r="AE237" s="10">
        <f t="shared" si="118"/>
        <v>0</v>
      </c>
      <c r="AF237" s="10">
        <f t="shared" si="119"/>
        <v>0</v>
      </c>
      <c r="AG237" s="10">
        <f t="shared" si="120"/>
        <v>0.25</v>
      </c>
      <c r="AH237" s="10">
        <f t="shared" si="121"/>
        <v>1</v>
      </c>
      <c r="AI237" s="10">
        <f>IF(OR(S237="",'4_BENCHMARK'!$C$4=""),"",ABS(S237-'4_BENCHMARK'!$C$4))</f>
        <v>0</v>
      </c>
      <c r="AJ237" s="10">
        <f>IF(OR(T237="",'4_BENCHMARK'!$C$5=""),"",ABS(T237-'4_BENCHMARK'!$C$5))</f>
        <v>0</v>
      </c>
      <c r="AK237" s="10">
        <f>IF(OR(U237="",'4_BENCHMARK'!$C$6=""),"",ABS(U237-'4_BENCHMARK'!$C$6))</f>
        <v>0</v>
      </c>
      <c r="AL237" s="10">
        <f>IF(OR(V237="",'4_BENCHMARK'!$C$7=""),"",ABS(V237-'4_BENCHMARK'!$C$7))</f>
        <v>0</v>
      </c>
      <c r="AM237" s="10">
        <f>IF(OR(W237="",'4_BENCHMARK'!$C$8=""),"",ABS(W237-'4_BENCHMARK'!$C$8))</f>
        <v>0</v>
      </c>
      <c r="AN237" s="10">
        <f>IF(OR(X237="",'4_BENCHMARK'!$C$9=""),"",ABS(X237-'4_BENCHMARK'!$C$9))</f>
        <v>0</v>
      </c>
      <c r="AO237" s="10">
        <f>IF(OR(Y237="",'4_BENCHMARK'!$C$10=""),"",ABS(Y237-'4_BENCHMARK'!$C$10))</f>
        <v>0.25</v>
      </c>
      <c r="AP237" s="10">
        <f>IF(OR(Z237="",'4_BENCHMARK'!$C$11=""),"",ABS(Z237-'4_BENCHMARK'!$C$11))</f>
        <v>0</v>
      </c>
      <c r="AQ237" s="13">
        <f t="shared" si="122"/>
        <v>0.96875</v>
      </c>
      <c r="AR237" s="10"/>
      <c r="AS237" s="36" t="s">
        <v>141</v>
      </c>
      <c r="AT237" s="13">
        <f t="shared" si="123"/>
        <v>0.958333333333333</v>
      </c>
      <c r="AU237" s="1">
        <f t="shared" si="124"/>
        <v>5</v>
      </c>
      <c r="AV237" s="1">
        <f t="shared" si="125"/>
        <v>5</v>
      </c>
      <c r="AW237" s="1">
        <f t="shared" si="126"/>
        <v>5</v>
      </c>
      <c r="AX237" s="1">
        <f t="shared" si="127"/>
        <v>5</v>
      </c>
      <c r="AY237" s="1">
        <f t="shared" si="128"/>
        <v>1</v>
      </c>
      <c r="AZ237" s="1">
        <f t="shared" si="129"/>
        <v>1</v>
      </c>
      <c r="BA237" s="1">
        <f t="shared" si="130"/>
        <v>2</v>
      </c>
      <c r="BB237" s="1">
        <f t="shared" si="131"/>
        <v>5</v>
      </c>
      <c r="BC237" s="1" t="str">
        <f t="shared" si="132"/>
        <v/>
      </c>
      <c r="BD237" s="1" t="str">
        <f t="shared" si="133"/>
        <v/>
      </c>
      <c r="BE237" s="1" t="str">
        <f t="shared" si="134"/>
        <v/>
      </c>
      <c r="BF237" s="1" t="str">
        <f t="shared" si="135"/>
        <v/>
      </c>
      <c r="BG237" s="1" t="str">
        <f t="shared" si="136"/>
        <v/>
      </c>
      <c r="BH237" s="1" t="str">
        <f t="shared" si="137"/>
        <v/>
      </c>
      <c r="BI237" s="1" t="str">
        <f t="shared" si="138"/>
        <v/>
      </c>
      <c r="BJ237" s="1" t="str">
        <f t="shared" si="139"/>
        <v/>
      </c>
    </row>
    <row r="238" ht="14.25" customHeight="1" spans="1:62">
      <c r="A238" s="10">
        <v>234</v>
      </c>
      <c r="B238" s="10" t="s">
        <v>861</v>
      </c>
      <c r="C238" s="10">
        <v>1929</v>
      </c>
      <c r="D238" s="10">
        <f t="shared" si="105"/>
        <v>1920</v>
      </c>
      <c r="E238" s="10" t="s">
        <v>848</v>
      </c>
      <c r="F238" s="35" t="s">
        <v>849</v>
      </c>
      <c r="G238" s="10" t="s">
        <v>862</v>
      </c>
      <c r="H238" s="10" t="s">
        <v>140</v>
      </c>
      <c r="I238" s="10" t="s">
        <v>140</v>
      </c>
      <c r="J238" s="10"/>
      <c r="K238" s="10">
        <v>5</v>
      </c>
      <c r="L238" s="10">
        <v>5</v>
      </c>
      <c r="M238" s="10">
        <v>5</v>
      </c>
      <c r="N238" s="10">
        <v>5</v>
      </c>
      <c r="O238" s="10">
        <v>5</v>
      </c>
      <c r="P238" s="10">
        <v>5</v>
      </c>
      <c r="Q238" s="10">
        <v>2</v>
      </c>
      <c r="R238" s="10">
        <v>5</v>
      </c>
      <c r="S238" s="10">
        <f t="shared" si="106"/>
        <v>1</v>
      </c>
      <c r="T238" s="10">
        <f t="shared" si="107"/>
        <v>1</v>
      </c>
      <c r="U238" s="10">
        <f t="shared" si="108"/>
        <v>1</v>
      </c>
      <c r="V238" s="10">
        <f t="shared" si="109"/>
        <v>1</v>
      </c>
      <c r="W238" s="10">
        <f t="shared" si="110"/>
        <v>1</v>
      </c>
      <c r="X238" s="10">
        <f t="shared" si="111"/>
        <v>1</v>
      </c>
      <c r="Y238" s="10">
        <f t="shared" si="112"/>
        <v>0.25</v>
      </c>
      <c r="Z238" s="10">
        <f t="shared" si="113"/>
        <v>1</v>
      </c>
      <c r="AA238" s="10">
        <f t="shared" si="114"/>
        <v>1</v>
      </c>
      <c r="AB238" s="10">
        <f t="shared" si="115"/>
        <v>1</v>
      </c>
      <c r="AC238" s="10">
        <f t="shared" si="116"/>
        <v>1</v>
      </c>
      <c r="AD238" s="10">
        <f t="shared" si="117"/>
        <v>1</v>
      </c>
      <c r="AE238" s="10">
        <f t="shared" si="118"/>
        <v>1</v>
      </c>
      <c r="AF238" s="10">
        <f t="shared" si="119"/>
        <v>1</v>
      </c>
      <c r="AG238" s="10">
        <f t="shared" si="120"/>
        <v>0.25</v>
      </c>
      <c r="AH238" s="10">
        <f t="shared" si="121"/>
        <v>1</v>
      </c>
      <c r="AI238" s="10">
        <f>IF(OR(S238="",'4_BENCHMARK'!$C$4=""),"",ABS(S238-'4_BENCHMARK'!$C$4))</f>
        <v>0</v>
      </c>
      <c r="AJ238" s="10">
        <f>IF(OR(T238="",'4_BENCHMARK'!$C$5=""),"",ABS(T238-'4_BENCHMARK'!$C$5))</f>
        <v>0</v>
      </c>
      <c r="AK238" s="10">
        <f>IF(OR(U238="",'4_BENCHMARK'!$C$6=""),"",ABS(U238-'4_BENCHMARK'!$C$6))</f>
        <v>0</v>
      </c>
      <c r="AL238" s="10">
        <f>IF(OR(V238="",'4_BENCHMARK'!$C$7=""),"",ABS(V238-'4_BENCHMARK'!$C$7))</f>
        <v>0</v>
      </c>
      <c r="AM238" s="10">
        <f>IF(OR(W238="",'4_BENCHMARK'!$C$8=""),"",ABS(W238-'4_BENCHMARK'!$C$8))</f>
        <v>1</v>
      </c>
      <c r="AN238" s="10">
        <f>IF(OR(X238="",'4_BENCHMARK'!$C$9=""),"",ABS(X238-'4_BENCHMARK'!$C$9))</f>
        <v>1</v>
      </c>
      <c r="AO238" s="10">
        <f>IF(OR(Y238="",'4_BENCHMARK'!$C$10=""),"",ABS(Y238-'4_BENCHMARK'!$C$10))</f>
        <v>0.25</v>
      </c>
      <c r="AP238" s="10">
        <f>IF(OR(Z238="",'4_BENCHMARK'!$C$11=""),"",ABS(Z238-'4_BENCHMARK'!$C$11))</f>
        <v>0</v>
      </c>
      <c r="AQ238" s="13">
        <f t="shared" si="122"/>
        <v>0.71875</v>
      </c>
      <c r="AR238" s="10"/>
      <c r="AS238" s="36" t="s">
        <v>141</v>
      </c>
      <c r="AT238" s="13">
        <f t="shared" si="123"/>
        <v>0.958333333333333</v>
      </c>
      <c r="AU238" s="1">
        <f t="shared" si="124"/>
        <v>5</v>
      </c>
      <c r="AV238" s="1">
        <f t="shared" si="125"/>
        <v>5</v>
      </c>
      <c r="AW238" s="1">
        <f t="shared" si="126"/>
        <v>5</v>
      </c>
      <c r="AX238" s="1">
        <f t="shared" si="127"/>
        <v>5</v>
      </c>
      <c r="AY238" s="1">
        <f t="shared" si="128"/>
        <v>5</v>
      </c>
      <c r="AZ238" s="1">
        <f t="shared" si="129"/>
        <v>5</v>
      </c>
      <c r="BA238" s="1">
        <f t="shared" si="130"/>
        <v>2</v>
      </c>
      <c r="BB238" s="1">
        <f t="shared" si="131"/>
        <v>5</v>
      </c>
      <c r="BC238" s="1" t="str">
        <f t="shared" si="132"/>
        <v/>
      </c>
      <c r="BD238" s="1" t="str">
        <f t="shared" si="133"/>
        <v/>
      </c>
      <c r="BE238" s="1" t="str">
        <f t="shared" si="134"/>
        <v/>
      </c>
      <c r="BF238" s="1" t="str">
        <f t="shared" si="135"/>
        <v/>
      </c>
      <c r="BG238" s="1" t="str">
        <f t="shared" si="136"/>
        <v/>
      </c>
      <c r="BH238" s="1" t="str">
        <f t="shared" si="137"/>
        <v/>
      </c>
      <c r="BI238" s="1" t="str">
        <f t="shared" si="138"/>
        <v/>
      </c>
      <c r="BJ238" s="1" t="str">
        <f t="shared" si="139"/>
        <v/>
      </c>
    </row>
    <row r="239" ht="14.25" customHeight="1" spans="1:62">
      <c r="A239" s="10">
        <v>235</v>
      </c>
      <c r="B239" s="10" t="s">
        <v>863</v>
      </c>
      <c r="C239" s="10">
        <v>1988</v>
      </c>
      <c r="D239" s="10">
        <f t="shared" si="105"/>
        <v>1980</v>
      </c>
      <c r="E239" s="10" t="s">
        <v>848</v>
      </c>
      <c r="F239" s="35" t="s">
        <v>849</v>
      </c>
      <c r="G239" s="10" t="s">
        <v>864</v>
      </c>
      <c r="H239" s="10" t="s">
        <v>140</v>
      </c>
      <c r="I239" s="10" t="s">
        <v>140</v>
      </c>
      <c r="J239" s="10"/>
      <c r="K239" s="10">
        <v>5</v>
      </c>
      <c r="L239" s="10">
        <v>5</v>
      </c>
      <c r="M239" s="10">
        <v>5</v>
      </c>
      <c r="N239" s="10">
        <v>5</v>
      </c>
      <c r="O239" s="10">
        <v>1</v>
      </c>
      <c r="P239" s="10">
        <v>1</v>
      </c>
      <c r="Q239" s="10">
        <v>2</v>
      </c>
      <c r="R239" s="10">
        <v>5</v>
      </c>
      <c r="S239" s="10">
        <f t="shared" si="106"/>
        <v>1</v>
      </c>
      <c r="T239" s="10">
        <f t="shared" si="107"/>
        <v>1</v>
      </c>
      <c r="U239" s="10">
        <f t="shared" si="108"/>
        <v>1</v>
      </c>
      <c r="V239" s="10">
        <f t="shared" si="109"/>
        <v>1</v>
      </c>
      <c r="W239" s="10">
        <f t="shared" si="110"/>
        <v>0</v>
      </c>
      <c r="X239" s="10">
        <f t="shared" si="111"/>
        <v>0</v>
      </c>
      <c r="Y239" s="10">
        <f t="shared" si="112"/>
        <v>0.25</v>
      </c>
      <c r="Z239" s="10">
        <f t="shared" si="113"/>
        <v>1</v>
      </c>
      <c r="AA239" s="10" t="str">
        <f t="shared" si="114"/>
        <v/>
      </c>
      <c r="AB239" s="10" t="str">
        <f t="shared" si="115"/>
        <v/>
      </c>
      <c r="AC239" s="10" t="str">
        <f t="shared" si="116"/>
        <v/>
      </c>
      <c r="AD239" s="10" t="str">
        <f t="shared" si="117"/>
        <v/>
      </c>
      <c r="AE239" s="10" t="str">
        <f t="shared" si="118"/>
        <v/>
      </c>
      <c r="AF239" s="10" t="str">
        <f t="shared" si="119"/>
        <v/>
      </c>
      <c r="AG239" s="10" t="str">
        <f t="shared" si="120"/>
        <v/>
      </c>
      <c r="AH239" s="10" t="str">
        <f t="shared" si="121"/>
        <v/>
      </c>
      <c r="AI239" s="10">
        <f>IF(OR(S239="",'4_BENCHMARK'!$C$4=""),"",ABS(S239-'4_BENCHMARK'!$C$4))</f>
        <v>0</v>
      </c>
      <c r="AJ239" s="10">
        <f>IF(OR(T239="",'4_BENCHMARK'!$C$5=""),"",ABS(T239-'4_BENCHMARK'!$C$5))</f>
        <v>0</v>
      </c>
      <c r="AK239" s="10">
        <f>IF(OR(U239="",'4_BENCHMARK'!$C$6=""),"",ABS(U239-'4_BENCHMARK'!$C$6))</f>
        <v>0</v>
      </c>
      <c r="AL239" s="10">
        <f>IF(OR(V239="",'4_BENCHMARK'!$C$7=""),"",ABS(V239-'4_BENCHMARK'!$C$7))</f>
        <v>0</v>
      </c>
      <c r="AM239" s="10">
        <f>IF(OR(W239="",'4_BENCHMARK'!$C$8=""),"",ABS(W239-'4_BENCHMARK'!$C$8))</f>
        <v>0</v>
      </c>
      <c r="AN239" s="10">
        <f>IF(OR(X239="",'4_BENCHMARK'!$C$9=""),"",ABS(X239-'4_BENCHMARK'!$C$9))</f>
        <v>0</v>
      </c>
      <c r="AO239" s="10">
        <f>IF(OR(Y239="",'4_BENCHMARK'!$C$10=""),"",ABS(Y239-'4_BENCHMARK'!$C$10))</f>
        <v>0.25</v>
      </c>
      <c r="AP239" s="10">
        <f>IF(OR(Z239="",'4_BENCHMARK'!$C$11=""),"",ABS(Z239-'4_BENCHMARK'!$C$11))</f>
        <v>0</v>
      </c>
      <c r="AQ239" s="13">
        <f t="shared" si="122"/>
        <v>0.96875</v>
      </c>
      <c r="AR239" s="10"/>
      <c r="AS239" s="36" t="s">
        <v>141</v>
      </c>
      <c r="AT239" s="13">
        <f t="shared" si="123"/>
        <v>0.958333333333333</v>
      </c>
      <c r="AU239" s="1" t="str">
        <f t="shared" si="124"/>
        <v/>
      </c>
      <c r="AV239" s="1" t="str">
        <f t="shared" si="125"/>
        <v/>
      </c>
      <c r="AW239" s="1" t="str">
        <f t="shared" si="126"/>
        <v/>
      </c>
      <c r="AX239" s="1" t="str">
        <f t="shared" si="127"/>
        <v/>
      </c>
      <c r="AY239" s="1" t="str">
        <f t="shared" si="128"/>
        <v/>
      </c>
      <c r="AZ239" s="1" t="str">
        <f t="shared" si="129"/>
        <v/>
      </c>
      <c r="BA239" s="1" t="str">
        <f t="shared" si="130"/>
        <v/>
      </c>
      <c r="BB239" s="1" t="str">
        <f t="shared" si="131"/>
        <v/>
      </c>
      <c r="BC239" s="1" t="str">
        <f t="shared" si="132"/>
        <v/>
      </c>
      <c r="BD239" s="1" t="str">
        <f t="shared" si="133"/>
        <v/>
      </c>
      <c r="BE239" s="1" t="str">
        <f t="shared" si="134"/>
        <v/>
      </c>
      <c r="BF239" s="1" t="str">
        <f t="shared" si="135"/>
        <v/>
      </c>
      <c r="BG239" s="1" t="str">
        <f t="shared" si="136"/>
        <v/>
      </c>
      <c r="BH239" s="1" t="str">
        <f t="shared" si="137"/>
        <v/>
      </c>
      <c r="BI239" s="1" t="str">
        <f t="shared" si="138"/>
        <v/>
      </c>
      <c r="BJ239" s="1" t="str">
        <f t="shared" si="139"/>
        <v/>
      </c>
    </row>
    <row r="240" ht="14.25" customHeight="1" spans="1:62">
      <c r="A240" s="10">
        <v>236</v>
      </c>
      <c r="B240" s="36" t="s">
        <v>865</v>
      </c>
      <c r="C240" s="10">
        <v>1997</v>
      </c>
      <c r="D240" s="10">
        <f t="shared" si="105"/>
        <v>1990</v>
      </c>
      <c r="E240" s="36" t="s">
        <v>848</v>
      </c>
      <c r="F240" s="35" t="s">
        <v>849</v>
      </c>
      <c r="G240" s="36" t="s">
        <v>866</v>
      </c>
      <c r="H240" s="10" t="s">
        <v>140</v>
      </c>
      <c r="I240" s="10" t="s">
        <v>140</v>
      </c>
      <c r="J240" s="10"/>
      <c r="K240" s="10">
        <v>5</v>
      </c>
      <c r="L240" s="10">
        <v>5</v>
      </c>
      <c r="M240" s="10">
        <v>5</v>
      </c>
      <c r="N240" s="10">
        <v>5</v>
      </c>
      <c r="O240" s="10">
        <v>5</v>
      </c>
      <c r="P240" s="10">
        <v>5</v>
      </c>
      <c r="Q240" s="10">
        <v>2</v>
      </c>
      <c r="R240" s="10">
        <v>5</v>
      </c>
      <c r="S240" s="10">
        <f t="shared" si="106"/>
        <v>1</v>
      </c>
      <c r="T240" s="10">
        <f t="shared" si="107"/>
        <v>1</v>
      </c>
      <c r="U240" s="10">
        <f t="shared" si="108"/>
        <v>1</v>
      </c>
      <c r="V240" s="10">
        <f t="shared" si="109"/>
        <v>1</v>
      </c>
      <c r="W240" s="10">
        <f t="shared" si="110"/>
        <v>1</v>
      </c>
      <c r="X240" s="10">
        <f t="shared" si="111"/>
        <v>1</v>
      </c>
      <c r="Y240" s="10">
        <f t="shared" si="112"/>
        <v>0.25</v>
      </c>
      <c r="Z240" s="10">
        <f t="shared" si="113"/>
        <v>1</v>
      </c>
      <c r="AA240" s="10" t="str">
        <f t="shared" si="114"/>
        <v/>
      </c>
      <c r="AB240" s="10" t="str">
        <f t="shared" si="115"/>
        <v/>
      </c>
      <c r="AC240" s="10" t="str">
        <f t="shared" si="116"/>
        <v/>
      </c>
      <c r="AD240" s="10" t="str">
        <f t="shared" si="117"/>
        <v/>
      </c>
      <c r="AE240" s="10" t="str">
        <f t="shared" si="118"/>
        <v/>
      </c>
      <c r="AF240" s="10" t="str">
        <f t="shared" si="119"/>
        <v/>
      </c>
      <c r="AG240" s="10" t="str">
        <f t="shared" si="120"/>
        <v/>
      </c>
      <c r="AH240" s="10" t="str">
        <f t="shared" si="121"/>
        <v/>
      </c>
      <c r="AI240" s="10">
        <f>IF(OR(S240="",'4_BENCHMARK'!$C$4=""),"",ABS(S240-'4_BENCHMARK'!$C$4))</f>
        <v>0</v>
      </c>
      <c r="AJ240" s="10">
        <f>IF(OR(T240="",'4_BENCHMARK'!$C$5=""),"",ABS(T240-'4_BENCHMARK'!$C$5))</f>
        <v>0</v>
      </c>
      <c r="AK240" s="10">
        <f>IF(OR(U240="",'4_BENCHMARK'!$C$6=""),"",ABS(U240-'4_BENCHMARK'!$C$6))</f>
        <v>0</v>
      </c>
      <c r="AL240" s="10">
        <f>IF(OR(V240="",'4_BENCHMARK'!$C$7=""),"",ABS(V240-'4_BENCHMARK'!$C$7))</f>
        <v>0</v>
      </c>
      <c r="AM240" s="10">
        <f>IF(OR(W240="",'4_BENCHMARK'!$C$8=""),"",ABS(W240-'4_BENCHMARK'!$C$8))</f>
        <v>1</v>
      </c>
      <c r="AN240" s="10">
        <f>IF(OR(X240="",'4_BENCHMARK'!$C$9=""),"",ABS(X240-'4_BENCHMARK'!$C$9))</f>
        <v>1</v>
      </c>
      <c r="AO240" s="10">
        <f>IF(OR(Y240="",'4_BENCHMARK'!$C$10=""),"",ABS(Y240-'4_BENCHMARK'!$C$10))</f>
        <v>0.25</v>
      </c>
      <c r="AP240" s="10">
        <f>IF(OR(Z240="",'4_BENCHMARK'!$C$11=""),"",ABS(Z240-'4_BENCHMARK'!$C$11))</f>
        <v>0</v>
      </c>
      <c r="AQ240" s="13">
        <f t="shared" si="122"/>
        <v>0.71875</v>
      </c>
      <c r="AR240" s="10"/>
      <c r="AS240" s="36" t="s">
        <v>141</v>
      </c>
      <c r="AT240" s="13">
        <f t="shared" si="123"/>
        <v>0.958333333333333</v>
      </c>
      <c r="AU240" s="1" t="str">
        <f t="shared" si="124"/>
        <v/>
      </c>
      <c r="AV240" s="1" t="str">
        <f t="shared" si="125"/>
        <v/>
      </c>
      <c r="AW240" s="1" t="str">
        <f t="shared" si="126"/>
        <v/>
      </c>
      <c r="AX240" s="1" t="str">
        <f t="shared" si="127"/>
        <v/>
      </c>
      <c r="AY240" s="1" t="str">
        <f t="shared" si="128"/>
        <v/>
      </c>
      <c r="AZ240" s="1" t="str">
        <f t="shared" si="129"/>
        <v/>
      </c>
      <c r="BA240" s="1" t="str">
        <f t="shared" si="130"/>
        <v/>
      </c>
      <c r="BB240" s="1" t="str">
        <f t="shared" si="131"/>
        <v/>
      </c>
      <c r="BC240" s="1" t="str">
        <f t="shared" si="132"/>
        <v/>
      </c>
      <c r="BD240" s="1" t="str">
        <f t="shared" si="133"/>
        <v/>
      </c>
      <c r="BE240" s="1" t="str">
        <f t="shared" si="134"/>
        <v/>
      </c>
      <c r="BF240" s="1" t="str">
        <f t="shared" si="135"/>
        <v/>
      </c>
      <c r="BG240" s="1" t="str">
        <f t="shared" si="136"/>
        <v/>
      </c>
      <c r="BH240" s="1" t="str">
        <f t="shared" si="137"/>
        <v/>
      </c>
      <c r="BI240" s="1" t="str">
        <f t="shared" si="138"/>
        <v/>
      </c>
      <c r="BJ240" s="1" t="str">
        <f t="shared" si="139"/>
        <v/>
      </c>
    </row>
    <row r="241" ht="14.25" customHeight="1" spans="1:62">
      <c r="A241" s="10">
        <v>237</v>
      </c>
      <c r="B241" s="36" t="s">
        <v>867</v>
      </c>
      <c r="C241" s="10">
        <v>2008</v>
      </c>
      <c r="D241" s="10">
        <f t="shared" si="105"/>
        <v>2000</v>
      </c>
      <c r="E241" s="36" t="s">
        <v>848</v>
      </c>
      <c r="F241" s="35" t="s">
        <v>849</v>
      </c>
      <c r="G241" s="36" t="s">
        <v>868</v>
      </c>
      <c r="H241" s="10" t="s">
        <v>140</v>
      </c>
      <c r="I241" s="10" t="s">
        <v>140</v>
      </c>
      <c r="J241" s="10"/>
      <c r="K241" s="10">
        <v>5</v>
      </c>
      <c r="L241" s="10">
        <v>5</v>
      </c>
      <c r="M241" s="10">
        <v>5</v>
      </c>
      <c r="N241" s="10">
        <v>5</v>
      </c>
      <c r="O241" s="10">
        <v>5</v>
      </c>
      <c r="P241" s="10">
        <v>5</v>
      </c>
      <c r="Q241" s="10">
        <v>2</v>
      </c>
      <c r="R241" s="10">
        <v>5</v>
      </c>
      <c r="S241" s="10">
        <f t="shared" si="106"/>
        <v>1</v>
      </c>
      <c r="T241" s="10">
        <f t="shared" si="107"/>
        <v>1</v>
      </c>
      <c r="U241" s="10">
        <f t="shared" si="108"/>
        <v>1</v>
      </c>
      <c r="V241" s="10">
        <f t="shared" si="109"/>
        <v>1</v>
      </c>
      <c r="W241" s="10">
        <f t="shared" si="110"/>
        <v>1</v>
      </c>
      <c r="X241" s="10">
        <f t="shared" si="111"/>
        <v>1</v>
      </c>
      <c r="Y241" s="10">
        <f t="shared" si="112"/>
        <v>0.25</v>
      </c>
      <c r="Z241" s="10">
        <f t="shared" si="113"/>
        <v>1</v>
      </c>
      <c r="AA241" s="10" t="str">
        <f t="shared" si="114"/>
        <v/>
      </c>
      <c r="AB241" s="10" t="str">
        <f t="shared" si="115"/>
        <v/>
      </c>
      <c r="AC241" s="10" t="str">
        <f t="shared" si="116"/>
        <v/>
      </c>
      <c r="AD241" s="10" t="str">
        <f t="shared" si="117"/>
        <v/>
      </c>
      <c r="AE241" s="10" t="str">
        <f t="shared" si="118"/>
        <v/>
      </c>
      <c r="AF241" s="10" t="str">
        <f t="shared" si="119"/>
        <v/>
      </c>
      <c r="AG241" s="10" t="str">
        <f t="shared" si="120"/>
        <v/>
      </c>
      <c r="AH241" s="10" t="str">
        <f t="shared" si="121"/>
        <v/>
      </c>
      <c r="AI241" s="10">
        <f>IF(OR(S241="",'4_BENCHMARK'!$C$4=""),"",ABS(S241-'4_BENCHMARK'!$C$4))</f>
        <v>0</v>
      </c>
      <c r="AJ241" s="10">
        <f>IF(OR(T241="",'4_BENCHMARK'!$C$5=""),"",ABS(T241-'4_BENCHMARK'!$C$5))</f>
        <v>0</v>
      </c>
      <c r="AK241" s="10">
        <f>IF(OR(U241="",'4_BENCHMARK'!$C$6=""),"",ABS(U241-'4_BENCHMARK'!$C$6))</f>
        <v>0</v>
      </c>
      <c r="AL241" s="10">
        <f>IF(OR(V241="",'4_BENCHMARK'!$C$7=""),"",ABS(V241-'4_BENCHMARK'!$C$7))</f>
        <v>0</v>
      </c>
      <c r="AM241" s="10">
        <f>IF(OR(W241="",'4_BENCHMARK'!$C$8=""),"",ABS(W241-'4_BENCHMARK'!$C$8))</f>
        <v>1</v>
      </c>
      <c r="AN241" s="10">
        <f>IF(OR(X241="",'4_BENCHMARK'!$C$9=""),"",ABS(X241-'4_BENCHMARK'!$C$9))</f>
        <v>1</v>
      </c>
      <c r="AO241" s="10">
        <f>IF(OR(Y241="",'4_BENCHMARK'!$C$10=""),"",ABS(Y241-'4_BENCHMARK'!$C$10))</f>
        <v>0.25</v>
      </c>
      <c r="AP241" s="10">
        <f>IF(OR(Z241="",'4_BENCHMARK'!$C$11=""),"",ABS(Z241-'4_BENCHMARK'!$C$11))</f>
        <v>0</v>
      </c>
      <c r="AQ241" s="13">
        <f t="shared" si="122"/>
        <v>0.71875</v>
      </c>
      <c r="AR241" s="10"/>
      <c r="AS241" s="36" t="s">
        <v>230</v>
      </c>
      <c r="AT241" s="13">
        <f t="shared" si="123"/>
        <v>0.958333333333333</v>
      </c>
      <c r="AU241" s="1" t="str">
        <f t="shared" si="124"/>
        <v/>
      </c>
      <c r="AV241" s="1" t="str">
        <f t="shared" si="125"/>
        <v/>
      </c>
      <c r="AW241" s="1" t="str">
        <f t="shared" si="126"/>
        <v/>
      </c>
      <c r="AX241" s="1" t="str">
        <f t="shared" si="127"/>
        <v/>
      </c>
      <c r="AY241" s="1" t="str">
        <f t="shared" si="128"/>
        <v/>
      </c>
      <c r="AZ241" s="1" t="str">
        <f t="shared" si="129"/>
        <v/>
      </c>
      <c r="BA241" s="1" t="str">
        <f t="shared" si="130"/>
        <v/>
      </c>
      <c r="BB241" s="1" t="str">
        <f t="shared" si="131"/>
        <v/>
      </c>
      <c r="BC241" s="1">
        <f t="shared" si="132"/>
        <v>5</v>
      </c>
      <c r="BD241" s="1">
        <f t="shared" si="133"/>
        <v>5</v>
      </c>
      <c r="BE241" s="1">
        <f t="shared" si="134"/>
        <v>5</v>
      </c>
      <c r="BF241" s="1">
        <f t="shared" si="135"/>
        <v>5</v>
      </c>
      <c r="BG241" s="1">
        <f t="shared" si="136"/>
        <v>5</v>
      </c>
      <c r="BH241" s="1">
        <f t="shared" si="137"/>
        <v>5</v>
      </c>
      <c r="BI241" s="1">
        <f t="shared" si="138"/>
        <v>2</v>
      </c>
      <c r="BJ241" s="1">
        <f t="shared" si="139"/>
        <v>5</v>
      </c>
    </row>
    <row r="242" ht="14.25" customHeight="1" spans="1:62">
      <c r="A242" s="10">
        <v>238</v>
      </c>
      <c r="B242" s="10" t="s">
        <v>869</v>
      </c>
      <c r="C242" s="10">
        <v>2018</v>
      </c>
      <c r="D242" s="10">
        <f t="shared" si="105"/>
        <v>2010</v>
      </c>
      <c r="E242" s="10" t="s">
        <v>848</v>
      </c>
      <c r="F242" s="35" t="s">
        <v>849</v>
      </c>
      <c r="G242" s="10" t="s">
        <v>870</v>
      </c>
      <c r="H242" s="10" t="s">
        <v>140</v>
      </c>
      <c r="I242" s="10" t="s">
        <v>140</v>
      </c>
      <c r="J242" s="10"/>
      <c r="K242" s="10">
        <v>5</v>
      </c>
      <c r="L242" s="10">
        <v>5</v>
      </c>
      <c r="M242" s="10">
        <v>5</v>
      </c>
      <c r="N242" s="10">
        <v>5</v>
      </c>
      <c r="O242" s="10">
        <v>5</v>
      </c>
      <c r="P242" s="10">
        <v>5</v>
      </c>
      <c r="Q242" s="10">
        <v>2</v>
      </c>
      <c r="R242" s="10">
        <v>5</v>
      </c>
      <c r="S242" s="10">
        <f t="shared" si="106"/>
        <v>1</v>
      </c>
      <c r="T242" s="10">
        <f t="shared" si="107"/>
        <v>1</v>
      </c>
      <c r="U242" s="10">
        <f t="shared" si="108"/>
        <v>1</v>
      </c>
      <c r="V242" s="10">
        <f t="shared" si="109"/>
        <v>1</v>
      </c>
      <c r="W242" s="10">
        <f t="shared" si="110"/>
        <v>1</v>
      </c>
      <c r="X242" s="10">
        <f t="shared" si="111"/>
        <v>1</v>
      </c>
      <c r="Y242" s="10">
        <f t="shared" si="112"/>
        <v>0.25</v>
      </c>
      <c r="Z242" s="10">
        <f t="shared" si="113"/>
        <v>1</v>
      </c>
      <c r="AA242" s="10" t="str">
        <f t="shared" si="114"/>
        <v/>
      </c>
      <c r="AB242" s="10" t="str">
        <f t="shared" si="115"/>
        <v/>
      </c>
      <c r="AC242" s="10" t="str">
        <f t="shared" si="116"/>
        <v/>
      </c>
      <c r="AD242" s="10" t="str">
        <f t="shared" si="117"/>
        <v/>
      </c>
      <c r="AE242" s="10" t="str">
        <f t="shared" si="118"/>
        <v/>
      </c>
      <c r="AF242" s="10" t="str">
        <f t="shared" si="119"/>
        <v/>
      </c>
      <c r="AG242" s="10" t="str">
        <f t="shared" si="120"/>
        <v/>
      </c>
      <c r="AH242" s="10" t="str">
        <f t="shared" si="121"/>
        <v/>
      </c>
      <c r="AI242" s="10">
        <f>IF(OR(S242="",'4_BENCHMARK'!$C$4=""),"",ABS(S242-'4_BENCHMARK'!$C$4))</f>
        <v>0</v>
      </c>
      <c r="AJ242" s="10">
        <f>IF(OR(T242="",'4_BENCHMARK'!$C$5=""),"",ABS(T242-'4_BENCHMARK'!$C$5))</f>
        <v>0</v>
      </c>
      <c r="AK242" s="10">
        <f>IF(OR(U242="",'4_BENCHMARK'!$C$6=""),"",ABS(U242-'4_BENCHMARK'!$C$6))</f>
        <v>0</v>
      </c>
      <c r="AL242" s="10">
        <f>IF(OR(V242="",'4_BENCHMARK'!$C$7=""),"",ABS(V242-'4_BENCHMARK'!$C$7))</f>
        <v>0</v>
      </c>
      <c r="AM242" s="10">
        <f>IF(OR(W242="",'4_BENCHMARK'!$C$8=""),"",ABS(W242-'4_BENCHMARK'!$C$8))</f>
        <v>1</v>
      </c>
      <c r="AN242" s="10">
        <f>IF(OR(X242="",'4_BENCHMARK'!$C$9=""),"",ABS(X242-'4_BENCHMARK'!$C$9))</f>
        <v>1</v>
      </c>
      <c r="AO242" s="10">
        <f>IF(OR(Y242="",'4_BENCHMARK'!$C$10=""),"",ABS(Y242-'4_BENCHMARK'!$C$10))</f>
        <v>0.25</v>
      </c>
      <c r="AP242" s="10">
        <f>IF(OR(Z242="",'4_BENCHMARK'!$C$11=""),"",ABS(Z242-'4_BENCHMARK'!$C$11))</f>
        <v>0</v>
      </c>
      <c r="AQ242" s="13">
        <f t="shared" si="122"/>
        <v>0.71875</v>
      </c>
      <c r="AR242" s="10"/>
      <c r="AS242" s="36" t="s">
        <v>141</v>
      </c>
      <c r="AT242" s="13">
        <f t="shared" si="123"/>
        <v>0.958333333333333</v>
      </c>
      <c r="AU242" s="1" t="str">
        <f t="shared" si="124"/>
        <v/>
      </c>
      <c r="AV242" s="1" t="str">
        <f t="shared" si="125"/>
        <v/>
      </c>
      <c r="AW242" s="1" t="str">
        <f t="shared" si="126"/>
        <v/>
      </c>
      <c r="AX242" s="1" t="str">
        <f t="shared" si="127"/>
        <v/>
      </c>
      <c r="AY242" s="1" t="str">
        <f t="shared" si="128"/>
        <v/>
      </c>
      <c r="AZ242" s="1" t="str">
        <f t="shared" si="129"/>
        <v/>
      </c>
      <c r="BA242" s="1" t="str">
        <f t="shared" si="130"/>
        <v/>
      </c>
      <c r="BB242" s="1" t="str">
        <f t="shared" si="131"/>
        <v/>
      </c>
      <c r="BC242" s="1">
        <f t="shared" si="132"/>
        <v>5</v>
      </c>
      <c r="BD242" s="1">
        <f t="shared" si="133"/>
        <v>5</v>
      </c>
      <c r="BE242" s="1">
        <f t="shared" si="134"/>
        <v>5</v>
      </c>
      <c r="BF242" s="1">
        <f t="shared" si="135"/>
        <v>5</v>
      </c>
      <c r="BG242" s="1">
        <f t="shared" si="136"/>
        <v>5</v>
      </c>
      <c r="BH242" s="1">
        <f t="shared" si="137"/>
        <v>5</v>
      </c>
      <c r="BI242" s="1">
        <f t="shared" si="138"/>
        <v>2</v>
      </c>
      <c r="BJ242" s="1">
        <f t="shared" si="139"/>
        <v>5</v>
      </c>
    </row>
    <row r="243" ht="14.25" customHeight="1" spans="1:62">
      <c r="A243" s="10">
        <v>239</v>
      </c>
      <c r="B243" s="10" t="s">
        <v>871</v>
      </c>
      <c r="C243" s="10">
        <v>2024</v>
      </c>
      <c r="D243" s="10">
        <f t="shared" si="105"/>
        <v>2020</v>
      </c>
      <c r="E243" s="10" t="s">
        <v>848</v>
      </c>
      <c r="F243" s="35" t="s">
        <v>849</v>
      </c>
      <c r="G243" s="10" t="s">
        <v>872</v>
      </c>
      <c r="H243" s="10" t="s">
        <v>140</v>
      </c>
      <c r="I243" s="10" t="s">
        <v>140</v>
      </c>
      <c r="J243" s="10"/>
      <c r="K243" s="10">
        <v>5</v>
      </c>
      <c r="L243" s="10">
        <v>5</v>
      </c>
      <c r="M243" s="10">
        <v>5</v>
      </c>
      <c r="N243" s="10">
        <v>5</v>
      </c>
      <c r="O243" s="10">
        <v>1</v>
      </c>
      <c r="P243" s="10">
        <v>1</v>
      </c>
      <c r="Q243" s="10">
        <v>2</v>
      </c>
      <c r="R243" s="10">
        <v>5</v>
      </c>
      <c r="S243" s="10">
        <f t="shared" si="106"/>
        <v>1</v>
      </c>
      <c r="T243" s="10">
        <f t="shared" si="107"/>
        <v>1</v>
      </c>
      <c r="U243" s="10">
        <f t="shared" si="108"/>
        <v>1</v>
      </c>
      <c r="V243" s="10">
        <f t="shared" si="109"/>
        <v>1</v>
      </c>
      <c r="W243" s="10">
        <f t="shared" si="110"/>
        <v>0</v>
      </c>
      <c r="X243" s="10">
        <f t="shared" si="111"/>
        <v>0</v>
      </c>
      <c r="Y243" s="10">
        <f t="shared" si="112"/>
        <v>0.25</v>
      </c>
      <c r="Z243" s="10">
        <f t="shared" si="113"/>
        <v>1</v>
      </c>
      <c r="AA243" s="10" t="str">
        <f t="shared" si="114"/>
        <v/>
      </c>
      <c r="AB243" s="10" t="str">
        <f t="shared" si="115"/>
        <v/>
      </c>
      <c r="AC243" s="10" t="str">
        <f t="shared" si="116"/>
        <v/>
      </c>
      <c r="AD243" s="10" t="str">
        <f t="shared" si="117"/>
        <v/>
      </c>
      <c r="AE243" s="10" t="str">
        <f t="shared" si="118"/>
        <v/>
      </c>
      <c r="AF243" s="10" t="str">
        <f t="shared" si="119"/>
        <v/>
      </c>
      <c r="AG243" s="10" t="str">
        <f t="shared" si="120"/>
        <v/>
      </c>
      <c r="AH243" s="10" t="str">
        <f t="shared" si="121"/>
        <v/>
      </c>
      <c r="AI243" s="10">
        <f>IF(OR(S243="",'4_BENCHMARK'!$C$4=""),"",ABS(S243-'4_BENCHMARK'!$C$4))</f>
        <v>0</v>
      </c>
      <c r="AJ243" s="10">
        <f>IF(OR(T243="",'4_BENCHMARK'!$C$5=""),"",ABS(T243-'4_BENCHMARK'!$C$5))</f>
        <v>0</v>
      </c>
      <c r="AK243" s="10">
        <f>IF(OR(U243="",'4_BENCHMARK'!$C$6=""),"",ABS(U243-'4_BENCHMARK'!$C$6))</f>
        <v>0</v>
      </c>
      <c r="AL243" s="10">
        <f>IF(OR(V243="",'4_BENCHMARK'!$C$7=""),"",ABS(V243-'4_BENCHMARK'!$C$7))</f>
        <v>0</v>
      </c>
      <c r="AM243" s="10">
        <f>IF(OR(W243="",'4_BENCHMARK'!$C$8=""),"",ABS(W243-'4_BENCHMARK'!$C$8))</f>
        <v>0</v>
      </c>
      <c r="AN243" s="10">
        <f>IF(OR(X243="",'4_BENCHMARK'!$C$9=""),"",ABS(X243-'4_BENCHMARK'!$C$9))</f>
        <v>0</v>
      </c>
      <c r="AO243" s="10">
        <f>IF(OR(Y243="",'4_BENCHMARK'!$C$10=""),"",ABS(Y243-'4_BENCHMARK'!$C$10))</f>
        <v>0.25</v>
      </c>
      <c r="AP243" s="10">
        <f>IF(OR(Z243="",'4_BENCHMARK'!$C$11=""),"",ABS(Z243-'4_BENCHMARK'!$C$11))</f>
        <v>0</v>
      </c>
      <c r="AQ243" s="13">
        <f t="shared" si="122"/>
        <v>0.96875</v>
      </c>
      <c r="AR243" s="10"/>
      <c r="AS243" s="36" t="s">
        <v>230</v>
      </c>
      <c r="AT243" s="13">
        <f t="shared" si="123"/>
        <v>0.958333333333333</v>
      </c>
      <c r="AU243" s="1" t="str">
        <f t="shared" si="124"/>
        <v/>
      </c>
      <c r="AV243" s="1" t="str">
        <f t="shared" si="125"/>
        <v/>
      </c>
      <c r="AW243" s="1" t="str">
        <f t="shared" si="126"/>
        <v/>
      </c>
      <c r="AX243" s="1" t="str">
        <f t="shared" si="127"/>
        <v/>
      </c>
      <c r="AY243" s="1" t="str">
        <f t="shared" si="128"/>
        <v/>
      </c>
      <c r="AZ243" s="1" t="str">
        <f t="shared" si="129"/>
        <v/>
      </c>
      <c r="BA243" s="1" t="str">
        <f t="shared" si="130"/>
        <v/>
      </c>
      <c r="BB243" s="1" t="str">
        <f t="shared" si="131"/>
        <v/>
      </c>
      <c r="BC243" s="1">
        <f t="shared" si="132"/>
        <v>5</v>
      </c>
      <c r="BD243" s="1">
        <f t="shared" si="133"/>
        <v>5</v>
      </c>
      <c r="BE243" s="1">
        <f t="shared" si="134"/>
        <v>5</v>
      </c>
      <c r="BF243" s="1">
        <f t="shared" si="135"/>
        <v>5</v>
      </c>
      <c r="BG243" s="1">
        <f t="shared" si="136"/>
        <v>1</v>
      </c>
      <c r="BH243" s="1">
        <f t="shared" si="137"/>
        <v>1</v>
      </c>
      <c r="BI243" s="1">
        <f t="shared" si="138"/>
        <v>2</v>
      </c>
      <c r="BJ243" s="1">
        <f t="shared" si="139"/>
        <v>5</v>
      </c>
    </row>
    <row r="244" ht="14.25" customHeight="1" spans="1:62">
      <c r="A244" s="10">
        <v>240</v>
      </c>
      <c r="B244" s="10" t="s">
        <v>873</v>
      </c>
      <c r="C244" s="10">
        <v>1880</v>
      </c>
      <c r="D244" s="10">
        <f t="shared" si="105"/>
        <v>1880</v>
      </c>
      <c r="E244" s="10" t="s">
        <v>136</v>
      </c>
      <c r="F244" s="35" t="s">
        <v>874</v>
      </c>
      <c r="G244" s="10" t="s">
        <v>875</v>
      </c>
      <c r="H244" s="10" t="s">
        <v>139</v>
      </c>
      <c r="I244" s="10" t="s">
        <v>140</v>
      </c>
      <c r="J244" s="10" t="s">
        <v>876</v>
      </c>
      <c r="K244" s="10">
        <v>5</v>
      </c>
      <c r="L244" s="10">
        <v>5</v>
      </c>
      <c r="M244" s="10">
        <v>5</v>
      </c>
      <c r="N244" s="10">
        <v>5</v>
      </c>
      <c r="O244" s="10">
        <v>1</v>
      </c>
      <c r="P244" s="10">
        <v>1</v>
      </c>
      <c r="Q244" s="10">
        <v>3</v>
      </c>
      <c r="R244" s="10">
        <v>5</v>
      </c>
      <c r="S244" s="10">
        <f t="shared" si="106"/>
        <v>1</v>
      </c>
      <c r="T244" s="10">
        <f t="shared" si="107"/>
        <v>1</v>
      </c>
      <c r="U244" s="10">
        <f t="shared" si="108"/>
        <v>1</v>
      </c>
      <c r="V244" s="10">
        <f t="shared" si="109"/>
        <v>1</v>
      </c>
      <c r="W244" s="10">
        <f t="shared" si="110"/>
        <v>0</v>
      </c>
      <c r="X244" s="10">
        <f t="shared" si="111"/>
        <v>0</v>
      </c>
      <c r="Y244" s="10">
        <f t="shared" si="112"/>
        <v>0.5</v>
      </c>
      <c r="Z244" s="10">
        <f t="shared" si="113"/>
        <v>1</v>
      </c>
      <c r="AA244" s="10">
        <f t="shared" si="114"/>
        <v>1</v>
      </c>
      <c r="AB244" s="10">
        <f t="shared" si="115"/>
        <v>1</v>
      </c>
      <c r="AC244" s="10">
        <f t="shared" si="116"/>
        <v>1</v>
      </c>
      <c r="AD244" s="10">
        <f t="shared" si="117"/>
        <v>1</v>
      </c>
      <c r="AE244" s="10">
        <f t="shared" si="118"/>
        <v>0</v>
      </c>
      <c r="AF244" s="10">
        <f t="shared" si="119"/>
        <v>0</v>
      </c>
      <c r="AG244" s="10">
        <f t="shared" si="120"/>
        <v>0.5</v>
      </c>
      <c r="AH244" s="10">
        <f t="shared" si="121"/>
        <v>1</v>
      </c>
      <c r="AI244" s="10">
        <f>IF(OR(S244="",'4_BENCHMARK'!$C$4=""),"",ABS(S244-'4_BENCHMARK'!$C$4))</f>
        <v>0</v>
      </c>
      <c r="AJ244" s="10">
        <f>IF(OR(T244="",'4_BENCHMARK'!$C$5=""),"",ABS(T244-'4_BENCHMARK'!$C$5))</f>
        <v>0</v>
      </c>
      <c r="AK244" s="10">
        <f>IF(OR(U244="",'4_BENCHMARK'!$C$6=""),"",ABS(U244-'4_BENCHMARK'!$C$6))</f>
        <v>0</v>
      </c>
      <c r="AL244" s="10">
        <f>IF(OR(V244="",'4_BENCHMARK'!$C$7=""),"",ABS(V244-'4_BENCHMARK'!$C$7))</f>
        <v>0</v>
      </c>
      <c r="AM244" s="10">
        <f>IF(OR(W244="",'4_BENCHMARK'!$C$8=""),"",ABS(W244-'4_BENCHMARK'!$C$8))</f>
        <v>0</v>
      </c>
      <c r="AN244" s="10">
        <f>IF(OR(X244="",'4_BENCHMARK'!$C$9=""),"",ABS(X244-'4_BENCHMARK'!$C$9))</f>
        <v>0</v>
      </c>
      <c r="AO244" s="10">
        <f>IF(OR(Y244="",'4_BENCHMARK'!$C$10=""),"",ABS(Y244-'4_BENCHMARK'!$C$10))</f>
        <v>0</v>
      </c>
      <c r="AP244" s="10">
        <f>IF(OR(Z244="",'4_BENCHMARK'!$C$11=""),"",ABS(Z244-'4_BENCHMARK'!$C$11))</f>
        <v>0</v>
      </c>
      <c r="AQ244" s="13">
        <f t="shared" si="122"/>
        <v>1</v>
      </c>
      <c r="AR244" s="10"/>
      <c r="AS244" s="36" t="s">
        <v>141</v>
      </c>
      <c r="AT244" s="13">
        <f t="shared" si="123"/>
        <v>1</v>
      </c>
      <c r="AU244" s="1">
        <f t="shared" si="124"/>
        <v>5</v>
      </c>
      <c r="AV244" s="1">
        <f t="shared" si="125"/>
        <v>5</v>
      </c>
      <c r="AW244" s="1">
        <f t="shared" si="126"/>
        <v>5</v>
      </c>
      <c r="AX244" s="1">
        <f t="shared" si="127"/>
        <v>5</v>
      </c>
      <c r="AY244" s="1">
        <f t="shared" si="128"/>
        <v>1</v>
      </c>
      <c r="AZ244" s="1">
        <f t="shared" si="129"/>
        <v>1</v>
      </c>
      <c r="BA244" s="1">
        <f t="shared" si="130"/>
        <v>3</v>
      </c>
      <c r="BB244" s="1">
        <f t="shared" si="131"/>
        <v>5</v>
      </c>
      <c r="BC244" s="1" t="str">
        <f t="shared" si="132"/>
        <v/>
      </c>
      <c r="BD244" s="1" t="str">
        <f t="shared" si="133"/>
        <v/>
      </c>
      <c r="BE244" s="1" t="str">
        <f t="shared" si="134"/>
        <v/>
      </c>
      <c r="BF244" s="1" t="str">
        <f t="shared" si="135"/>
        <v/>
      </c>
      <c r="BG244" s="1" t="str">
        <f t="shared" si="136"/>
        <v/>
      </c>
      <c r="BH244" s="1" t="str">
        <f t="shared" si="137"/>
        <v/>
      </c>
      <c r="BI244" s="1" t="str">
        <f t="shared" si="138"/>
        <v/>
      </c>
      <c r="BJ244" s="1" t="str">
        <f t="shared" si="139"/>
        <v/>
      </c>
    </row>
    <row r="245" ht="14.25" customHeight="1" spans="1:62">
      <c r="A245" s="10">
        <v>241</v>
      </c>
      <c r="B245" s="10" t="s">
        <v>877</v>
      </c>
      <c r="C245" s="10">
        <v>1880</v>
      </c>
      <c r="D245" s="10">
        <f t="shared" si="105"/>
        <v>1880</v>
      </c>
      <c r="E245" s="10" t="s">
        <v>801</v>
      </c>
      <c r="F245" s="35" t="s">
        <v>878</v>
      </c>
      <c r="G245" s="10" t="s">
        <v>879</v>
      </c>
      <c r="H245" s="10" t="s">
        <v>139</v>
      </c>
      <c r="I245" s="10" t="s">
        <v>140</v>
      </c>
      <c r="J245" s="10" t="s">
        <v>767</v>
      </c>
      <c r="K245" s="10">
        <v>5</v>
      </c>
      <c r="L245" s="10">
        <v>5</v>
      </c>
      <c r="M245" s="10">
        <v>5</v>
      </c>
      <c r="N245" s="10">
        <v>5</v>
      </c>
      <c r="O245" s="10">
        <v>1</v>
      </c>
      <c r="P245" s="10">
        <v>1</v>
      </c>
      <c r="Q245" s="10">
        <v>3</v>
      </c>
      <c r="R245" s="10">
        <v>5</v>
      </c>
      <c r="S245" s="10">
        <f t="shared" si="106"/>
        <v>1</v>
      </c>
      <c r="T245" s="10">
        <f t="shared" si="107"/>
        <v>1</v>
      </c>
      <c r="U245" s="10">
        <f t="shared" si="108"/>
        <v>1</v>
      </c>
      <c r="V245" s="10">
        <f t="shared" si="109"/>
        <v>1</v>
      </c>
      <c r="W245" s="10">
        <f t="shared" si="110"/>
        <v>0</v>
      </c>
      <c r="X245" s="10">
        <f t="shared" si="111"/>
        <v>0</v>
      </c>
      <c r="Y245" s="10">
        <f t="shared" si="112"/>
        <v>0.5</v>
      </c>
      <c r="Z245" s="10">
        <f t="shared" si="113"/>
        <v>1</v>
      </c>
      <c r="AA245" s="10">
        <f t="shared" si="114"/>
        <v>1</v>
      </c>
      <c r="AB245" s="10">
        <f t="shared" si="115"/>
        <v>1</v>
      </c>
      <c r="AC245" s="10">
        <f t="shared" si="116"/>
        <v>1</v>
      </c>
      <c r="AD245" s="10">
        <f t="shared" si="117"/>
        <v>1</v>
      </c>
      <c r="AE245" s="10">
        <f t="shared" si="118"/>
        <v>0</v>
      </c>
      <c r="AF245" s="10">
        <f t="shared" si="119"/>
        <v>0</v>
      </c>
      <c r="AG245" s="10">
        <f t="shared" si="120"/>
        <v>0.5</v>
      </c>
      <c r="AH245" s="10">
        <f t="shared" si="121"/>
        <v>1</v>
      </c>
      <c r="AI245" s="10">
        <f>IF(OR(S245="",'4_BENCHMARK'!$C$4=""),"",ABS(S245-'4_BENCHMARK'!$C$4))</f>
        <v>0</v>
      </c>
      <c r="AJ245" s="10">
        <f>IF(OR(T245="",'4_BENCHMARK'!$C$5=""),"",ABS(T245-'4_BENCHMARK'!$C$5))</f>
        <v>0</v>
      </c>
      <c r="AK245" s="10">
        <f>IF(OR(U245="",'4_BENCHMARK'!$C$6=""),"",ABS(U245-'4_BENCHMARK'!$C$6))</f>
        <v>0</v>
      </c>
      <c r="AL245" s="10">
        <f>IF(OR(V245="",'4_BENCHMARK'!$C$7=""),"",ABS(V245-'4_BENCHMARK'!$C$7))</f>
        <v>0</v>
      </c>
      <c r="AM245" s="10">
        <f>IF(OR(W245="",'4_BENCHMARK'!$C$8=""),"",ABS(W245-'4_BENCHMARK'!$C$8))</f>
        <v>0</v>
      </c>
      <c r="AN245" s="10">
        <f>IF(OR(X245="",'4_BENCHMARK'!$C$9=""),"",ABS(X245-'4_BENCHMARK'!$C$9))</f>
        <v>0</v>
      </c>
      <c r="AO245" s="10">
        <f>IF(OR(Y245="",'4_BENCHMARK'!$C$10=""),"",ABS(Y245-'4_BENCHMARK'!$C$10))</f>
        <v>0</v>
      </c>
      <c r="AP245" s="10">
        <f>IF(OR(Z245="",'4_BENCHMARK'!$C$11=""),"",ABS(Z245-'4_BENCHMARK'!$C$11))</f>
        <v>0</v>
      </c>
      <c r="AQ245" s="13">
        <f t="shared" si="122"/>
        <v>1</v>
      </c>
      <c r="AR245" s="10"/>
      <c r="AS245" s="36" t="s">
        <v>141</v>
      </c>
      <c r="AT245" s="13">
        <f t="shared" si="123"/>
        <v>1</v>
      </c>
      <c r="AU245" s="1">
        <f t="shared" si="124"/>
        <v>5</v>
      </c>
      <c r="AV245" s="1">
        <f t="shared" si="125"/>
        <v>5</v>
      </c>
      <c r="AW245" s="1">
        <f t="shared" si="126"/>
        <v>5</v>
      </c>
      <c r="AX245" s="1">
        <f t="shared" si="127"/>
        <v>5</v>
      </c>
      <c r="AY245" s="1">
        <f t="shared" si="128"/>
        <v>1</v>
      </c>
      <c r="AZ245" s="1">
        <f t="shared" si="129"/>
        <v>1</v>
      </c>
      <c r="BA245" s="1">
        <f t="shared" si="130"/>
        <v>3</v>
      </c>
      <c r="BB245" s="1">
        <f t="shared" si="131"/>
        <v>5</v>
      </c>
      <c r="BC245" s="1" t="str">
        <f t="shared" si="132"/>
        <v/>
      </c>
      <c r="BD245" s="1" t="str">
        <f t="shared" si="133"/>
        <v/>
      </c>
      <c r="BE245" s="1" t="str">
        <f t="shared" si="134"/>
        <v/>
      </c>
      <c r="BF245" s="1" t="str">
        <f t="shared" si="135"/>
        <v/>
      </c>
      <c r="BG245" s="1" t="str">
        <f t="shared" si="136"/>
        <v/>
      </c>
      <c r="BH245" s="1" t="str">
        <f t="shared" si="137"/>
        <v/>
      </c>
      <c r="BI245" s="1" t="str">
        <f t="shared" si="138"/>
        <v/>
      </c>
      <c r="BJ245" s="1" t="str">
        <f t="shared" si="139"/>
        <v/>
      </c>
    </row>
    <row r="246" ht="14.25" customHeight="1" spans="1:62">
      <c r="A246" s="10">
        <v>242</v>
      </c>
      <c r="B246" s="10" t="s">
        <v>880</v>
      </c>
      <c r="C246" s="10">
        <v>1880</v>
      </c>
      <c r="D246" s="10">
        <f t="shared" si="105"/>
        <v>1880</v>
      </c>
      <c r="E246" s="10" t="s">
        <v>801</v>
      </c>
      <c r="F246" s="35" t="s">
        <v>881</v>
      </c>
      <c r="G246" s="10" t="s">
        <v>882</v>
      </c>
      <c r="H246" s="10" t="s">
        <v>139</v>
      </c>
      <c r="I246" s="10" t="s">
        <v>140</v>
      </c>
      <c r="J246" s="10" t="s">
        <v>767</v>
      </c>
      <c r="K246" s="10">
        <v>5</v>
      </c>
      <c r="L246" s="10">
        <v>5</v>
      </c>
      <c r="M246" s="10">
        <v>5</v>
      </c>
      <c r="N246" s="10">
        <v>5</v>
      </c>
      <c r="O246" s="10">
        <v>1</v>
      </c>
      <c r="P246" s="10">
        <v>1</v>
      </c>
      <c r="Q246" s="10">
        <v>3</v>
      </c>
      <c r="R246" s="10">
        <v>5</v>
      </c>
      <c r="S246" s="10">
        <f t="shared" si="106"/>
        <v>1</v>
      </c>
      <c r="T246" s="10">
        <f t="shared" si="107"/>
        <v>1</v>
      </c>
      <c r="U246" s="10">
        <f t="shared" si="108"/>
        <v>1</v>
      </c>
      <c r="V246" s="10">
        <f t="shared" si="109"/>
        <v>1</v>
      </c>
      <c r="W246" s="10">
        <f t="shared" si="110"/>
        <v>0</v>
      </c>
      <c r="X246" s="10">
        <f t="shared" si="111"/>
        <v>0</v>
      </c>
      <c r="Y246" s="10">
        <f t="shared" si="112"/>
        <v>0.5</v>
      </c>
      <c r="Z246" s="10">
        <f t="shared" si="113"/>
        <v>1</v>
      </c>
      <c r="AA246" s="10">
        <f t="shared" si="114"/>
        <v>1</v>
      </c>
      <c r="AB246" s="10">
        <f t="shared" si="115"/>
        <v>1</v>
      </c>
      <c r="AC246" s="10">
        <f t="shared" si="116"/>
        <v>1</v>
      </c>
      <c r="AD246" s="10">
        <f t="shared" si="117"/>
        <v>1</v>
      </c>
      <c r="AE246" s="10">
        <f t="shared" si="118"/>
        <v>0</v>
      </c>
      <c r="AF246" s="10">
        <f t="shared" si="119"/>
        <v>0</v>
      </c>
      <c r="AG246" s="10">
        <f t="shared" si="120"/>
        <v>0.5</v>
      </c>
      <c r="AH246" s="10">
        <f t="shared" si="121"/>
        <v>1</v>
      </c>
      <c r="AI246" s="10">
        <f>IF(OR(S246="",'4_BENCHMARK'!$C$4=""),"",ABS(S246-'4_BENCHMARK'!$C$4))</f>
        <v>0</v>
      </c>
      <c r="AJ246" s="10">
        <f>IF(OR(T246="",'4_BENCHMARK'!$C$5=""),"",ABS(T246-'4_BENCHMARK'!$C$5))</f>
        <v>0</v>
      </c>
      <c r="AK246" s="10">
        <f>IF(OR(U246="",'4_BENCHMARK'!$C$6=""),"",ABS(U246-'4_BENCHMARK'!$C$6))</f>
        <v>0</v>
      </c>
      <c r="AL246" s="10">
        <f>IF(OR(V246="",'4_BENCHMARK'!$C$7=""),"",ABS(V246-'4_BENCHMARK'!$C$7))</f>
        <v>0</v>
      </c>
      <c r="AM246" s="10">
        <f>IF(OR(W246="",'4_BENCHMARK'!$C$8=""),"",ABS(W246-'4_BENCHMARK'!$C$8))</f>
        <v>0</v>
      </c>
      <c r="AN246" s="10">
        <f>IF(OR(X246="",'4_BENCHMARK'!$C$9=""),"",ABS(X246-'4_BENCHMARK'!$C$9))</f>
        <v>0</v>
      </c>
      <c r="AO246" s="10">
        <f>IF(OR(Y246="",'4_BENCHMARK'!$C$10=""),"",ABS(Y246-'4_BENCHMARK'!$C$10))</f>
        <v>0</v>
      </c>
      <c r="AP246" s="10">
        <f>IF(OR(Z246="",'4_BENCHMARK'!$C$11=""),"",ABS(Z246-'4_BENCHMARK'!$C$11))</f>
        <v>0</v>
      </c>
      <c r="AQ246" s="13">
        <f t="shared" si="122"/>
        <v>1</v>
      </c>
      <c r="AR246" s="10" t="s">
        <v>140</v>
      </c>
      <c r="AS246" s="36" t="s">
        <v>141</v>
      </c>
      <c r="AT246" s="13">
        <f t="shared" si="123"/>
        <v>1</v>
      </c>
      <c r="AU246" s="1">
        <f t="shared" si="124"/>
        <v>5</v>
      </c>
      <c r="AV246" s="1">
        <f t="shared" si="125"/>
        <v>5</v>
      </c>
      <c r="AW246" s="1">
        <f t="shared" si="126"/>
        <v>5</v>
      </c>
      <c r="AX246" s="1">
        <f t="shared" si="127"/>
        <v>5</v>
      </c>
      <c r="AY246" s="1">
        <f t="shared" si="128"/>
        <v>1</v>
      </c>
      <c r="AZ246" s="1">
        <f t="shared" si="129"/>
        <v>1</v>
      </c>
      <c r="BA246" s="1">
        <f t="shared" si="130"/>
        <v>3</v>
      </c>
      <c r="BB246" s="1">
        <f t="shared" si="131"/>
        <v>5</v>
      </c>
      <c r="BC246" s="1" t="str">
        <f t="shared" si="132"/>
        <v/>
      </c>
      <c r="BD246" s="1" t="str">
        <f t="shared" si="133"/>
        <v/>
      </c>
      <c r="BE246" s="1" t="str">
        <f t="shared" si="134"/>
        <v/>
      </c>
      <c r="BF246" s="1" t="str">
        <f t="shared" si="135"/>
        <v/>
      </c>
      <c r="BG246" s="1" t="str">
        <f t="shared" si="136"/>
        <v/>
      </c>
      <c r="BH246" s="1" t="str">
        <f t="shared" si="137"/>
        <v/>
      </c>
      <c r="BI246" s="1" t="str">
        <f t="shared" si="138"/>
        <v/>
      </c>
      <c r="BJ246" s="1" t="str">
        <f t="shared" si="139"/>
        <v/>
      </c>
    </row>
    <row r="247" ht="14.25" customHeight="1" spans="1:62">
      <c r="A247" s="10">
        <v>243</v>
      </c>
      <c r="B247" s="10" t="s">
        <v>883</v>
      </c>
      <c r="C247" s="10">
        <v>1880</v>
      </c>
      <c r="D247" s="10">
        <f t="shared" si="105"/>
        <v>1880</v>
      </c>
      <c r="E247" s="10" t="s">
        <v>801</v>
      </c>
      <c r="F247" s="35" t="s">
        <v>884</v>
      </c>
      <c r="G247" s="10" t="s">
        <v>885</v>
      </c>
      <c r="H247" s="10" t="s">
        <v>139</v>
      </c>
      <c r="I247" s="10" t="s">
        <v>140</v>
      </c>
      <c r="J247" s="10" t="s">
        <v>767</v>
      </c>
      <c r="K247" s="10">
        <v>5</v>
      </c>
      <c r="L247" s="10">
        <v>5</v>
      </c>
      <c r="M247" s="10">
        <v>5</v>
      </c>
      <c r="N247" s="10">
        <v>5</v>
      </c>
      <c r="O247" s="10">
        <v>1</v>
      </c>
      <c r="P247" s="10">
        <v>1</v>
      </c>
      <c r="Q247" s="10">
        <v>3</v>
      </c>
      <c r="R247" s="10">
        <v>5</v>
      </c>
      <c r="S247" s="10">
        <f t="shared" si="106"/>
        <v>1</v>
      </c>
      <c r="T247" s="10">
        <f t="shared" si="107"/>
        <v>1</v>
      </c>
      <c r="U247" s="10">
        <f t="shared" si="108"/>
        <v>1</v>
      </c>
      <c r="V247" s="10">
        <f t="shared" si="109"/>
        <v>1</v>
      </c>
      <c r="W247" s="10">
        <f t="shared" si="110"/>
        <v>0</v>
      </c>
      <c r="X247" s="10">
        <f t="shared" si="111"/>
        <v>0</v>
      </c>
      <c r="Y247" s="10">
        <f t="shared" si="112"/>
        <v>0.5</v>
      </c>
      <c r="Z247" s="10">
        <f t="shared" si="113"/>
        <v>1</v>
      </c>
      <c r="AA247" s="10">
        <f t="shared" si="114"/>
        <v>1</v>
      </c>
      <c r="AB247" s="10">
        <f t="shared" si="115"/>
        <v>1</v>
      </c>
      <c r="AC247" s="10">
        <f t="shared" si="116"/>
        <v>1</v>
      </c>
      <c r="AD247" s="10">
        <f t="shared" si="117"/>
        <v>1</v>
      </c>
      <c r="AE247" s="10">
        <f t="shared" si="118"/>
        <v>0</v>
      </c>
      <c r="AF247" s="10">
        <f t="shared" si="119"/>
        <v>0</v>
      </c>
      <c r="AG247" s="10">
        <f t="shared" si="120"/>
        <v>0.5</v>
      </c>
      <c r="AH247" s="10">
        <f t="shared" si="121"/>
        <v>1</v>
      </c>
      <c r="AI247" s="10">
        <f>IF(OR(S247="",'4_BENCHMARK'!$C$4=""),"",ABS(S247-'4_BENCHMARK'!$C$4))</f>
        <v>0</v>
      </c>
      <c r="AJ247" s="10">
        <f>IF(OR(T247="",'4_BENCHMARK'!$C$5=""),"",ABS(T247-'4_BENCHMARK'!$C$5))</f>
        <v>0</v>
      </c>
      <c r="AK247" s="10">
        <f>IF(OR(U247="",'4_BENCHMARK'!$C$6=""),"",ABS(U247-'4_BENCHMARK'!$C$6))</f>
        <v>0</v>
      </c>
      <c r="AL247" s="10">
        <f>IF(OR(V247="",'4_BENCHMARK'!$C$7=""),"",ABS(V247-'4_BENCHMARK'!$C$7))</f>
        <v>0</v>
      </c>
      <c r="AM247" s="10">
        <f>IF(OR(W247="",'4_BENCHMARK'!$C$8=""),"",ABS(W247-'4_BENCHMARK'!$C$8))</f>
        <v>0</v>
      </c>
      <c r="AN247" s="10">
        <f>IF(OR(X247="",'4_BENCHMARK'!$C$9=""),"",ABS(X247-'4_BENCHMARK'!$C$9))</f>
        <v>0</v>
      </c>
      <c r="AO247" s="10">
        <f>IF(OR(Y247="",'4_BENCHMARK'!$C$10=""),"",ABS(Y247-'4_BENCHMARK'!$C$10))</f>
        <v>0</v>
      </c>
      <c r="AP247" s="10">
        <f>IF(OR(Z247="",'4_BENCHMARK'!$C$11=""),"",ABS(Z247-'4_BENCHMARK'!$C$11))</f>
        <v>0</v>
      </c>
      <c r="AQ247" s="13">
        <f t="shared" si="122"/>
        <v>1</v>
      </c>
      <c r="AR247" s="10"/>
      <c r="AS247" s="36" t="s">
        <v>141</v>
      </c>
      <c r="AT247" s="13">
        <f t="shared" si="123"/>
        <v>1</v>
      </c>
      <c r="AU247" s="1">
        <f t="shared" si="124"/>
        <v>5</v>
      </c>
      <c r="AV247" s="1">
        <f t="shared" si="125"/>
        <v>5</v>
      </c>
      <c r="AW247" s="1">
        <f t="shared" si="126"/>
        <v>5</v>
      </c>
      <c r="AX247" s="1">
        <f t="shared" si="127"/>
        <v>5</v>
      </c>
      <c r="AY247" s="1">
        <f t="shared" si="128"/>
        <v>1</v>
      </c>
      <c r="AZ247" s="1">
        <f t="shared" si="129"/>
        <v>1</v>
      </c>
      <c r="BA247" s="1">
        <f t="shared" si="130"/>
        <v>3</v>
      </c>
      <c r="BB247" s="1">
        <f t="shared" si="131"/>
        <v>5</v>
      </c>
      <c r="BC247" s="1" t="str">
        <f t="shared" si="132"/>
        <v/>
      </c>
      <c r="BD247" s="1" t="str">
        <f t="shared" si="133"/>
        <v/>
      </c>
      <c r="BE247" s="1" t="str">
        <f t="shared" si="134"/>
        <v/>
      </c>
      <c r="BF247" s="1" t="str">
        <f t="shared" si="135"/>
        <v/>
      </c>
      <c r="BG247" s="1" t="str">
        <f t="shared" si="136"/>
        <v/>
      </c>
      <c r="BH247" s="1" t="str">
        <f t="shared" si="137"/>
        <v/>
      </c>
      <c r="BI247" s="1" t="str">
        <f t="shared" si="138"/>
        <v/>
      </c>
      <c r="BJ247" s="1" t="str">
        <f t="shared" si="139"/>
        <v/>
      </c>
    </row>
    <row r="248" ht="14.25" customHeight="1" spans="1:62">
      <c r="A248" s="10">
        <v>244</v>
      </c>
      <c r="B248" s="10" t="s">
        <v>886</v>
      </c>
      <c r="C248" s="10">
        <v>1880</v>
      </c>
      <c r="D248" s="10">
        <f t="shared" si="105"/>
        <v>1880</v>
      </c>
      <c r="E248" s="10" t="s">
        <v>801</v>
      </c>
      <c r="F248" s="35" t="s">
        <v>887</v>
      </c>
      <c r="G248" s="10" t="s">
        <v>888</v>
      </c>
      <c r="H248" s="10" t="s">
        <v>139</v>
      </c>
      <c r="I248" s="10" t="s">
        <v>140</v>
      </c>
      <c r="J248" s="10" t="s">
        <v>767</v>
      </c>
      <c r="K248" s="10">
        <v>5</v>
      </c>
      <c r="L248" s="10">
        <v>5</v>
      </c>
      <c r="M248" s="10">
        <v>5</v>
      </c>
      <c r="N248" s="10">
        <v>5</v>
      </c>
      <c r="O248" s="10">
        <v>1</v>
      </c>
      <c r="P248" s="10">
        <v>1</v>
      </c>
      <c r="Q248" s="10">
        <v>3</v>
      </c>
      <c r="R248" s="10">
        <v>5</v>
      </c>
      <c r="S248" s="10">
        <f t="shared" si="106"/>
        <v>1</v>
      </c>
      <c r="T248" s="10">
        <f t="shared" si="107"/>
        <v>1</v>
      </c>
      <c r="U248" s="10">
        <f t="shared" si="108"/>
        <v>1</v>
      </c>
      <c r="V248" s="10">
        <f t="shared" si="109"/>
        <v>1</v>
      </c>
      <c r="W248" s="10">
        <f t="shared" si="110"/>
        <v>0</v>
      </c>
      <c r="X248" s="10">
        <f t="shared" si="111"/>
        <v>0</v>
      </c>
      <c r="Y248" s="10">
        <f t="shared" si="112"/>
        <v>0.5</v>
      </c>
      <c r="Z248" s="10">
        <f t="shared" si="113"/>
        <v>1</v>
      </c>
      <c r="AA248" s="10">
        <f t="shared" si="114"/>
        <v>1</v>
      </c>
      <c r="AB248" s="10">
        <f t="shared" si="115"/>
        <v>1</v>
      </c>
      <c r="AC248" s="10">
        <f t="shared" si="116"/>
        <v>1</v>
      </c>
      <c r="AD248" s="10">
        <f t="shared" si="117"/>
        <v>1</v>
      </c>
      <c r="AE248" s="10">
        <f t="shared" si="118"/>
        <v>0</v>
      </c>
      <c r="AF248" s="10">
        <f t="shared" si="119"/>
        <v>0</v>
      </c>
      <c r="AG248" s="10">
        <f t="shared" si="120"/>
        <v>0.5</v>
      </c>
      <c r="AH248" s="10">
        <f t="shared" si="121"/>
        <v>1</v>
      </c>
      <c r="AI248" s="10">
        <f>IF(OR(S248="",'4_BENCHMARK'!$C$4=""),"",ABS(S248-'4_BENCHMARK'!$C$4))</f>
        <v>0</v>
      </c>
      <c r="AJ248" s="10">
        <f>IF(OR(T248="",'4_BENCHMARK'!$C$5=""),"",ABS(T248-'4_BENCHMARK'!$C$5))</f>
        <v>0</v>
      </c>
      <c r="AK248" s="10">
        <f>IF(OR(U248="",'4_BENCHMARK'!$C$6=""),"",ABS(U248-'4_BENCHMARK'!$C$6))</f>
        <v>0</v>
      </c>
      <c r="AL248" s="10">
        <f>IF(OR(V248="",'4_BENCHMARK'!$C$7=""),"",ABS(V248-'4_BENCHMARK'!$C$7))</f>
        <v>0</v>
      </c>
      <c r="AM248" s="10">
        <f>IF(OR(W248="",'4_BENCHMARK'!$C$8=""),"",ABS(W248-'4_BENCHMARK'!$C$8))</f>
        <v>0</v>
      </c>
      <c r="AN248" s="10">
        <f>IF(OR(X248="",'4_BENCHMARK'!$C$9=""),"",ABS(X248-'4_BENCHMARK'!$C$9))</f>
        <v>0</v>
      </c>
      <c r="AO248" s="10">
        <f>IF(OR(Y248="",'4_BENCHMARK'!$C$10=""),"",ABS(Y248-'4_BENCHMARK'!$C$10))</f>
        <v>0</v>
      </c>
      <c r="AP248" s="10">
        <f>IF(OR(Z248="",'4_BENCHMARK'!$C$11=""),"",ABS(Z248-'4_BENCHMARK'!$C$11))</f>
        <v>0</v>
      </c>
      <c r="AQ248" s="13">
        <f t="shared" si="122"/>
        <v>1</v>
      </c>
      <c r="AR248" s="10"/>
      <c r="AS248" s="36" t="s">
        <v>141</v>
      </c>
      <c r="AT248" s="13">
        <f t="shared" si="123"/>
        <v>1</v>
      </c>
      <c r="AU248" s="1">
        <f t="shared" si="124"/>
        <v>5</v>
      </c>
      <c r="AV248" s="1">
        <f t="shared" si="125"/>
        <v>5</v>
      </c>
      <c r="AW248" s="1">
        <f t="shared" si="126"/>
        <v>5</v>
      </c>
      <c r="AX248" s="1">
        <f t="shared" si="127"/>
        <v>5</v>
      </c>
      <c r="AY248" s="1">
        <f t="shared" si="128"/>
        <v>1</v>
      </c>
      <c r="AZ248" s="1">
        <f t="shared" si="129"/>
        <v>1</v>
      </c>
      <c r="BA248" s="1">
        <f t="shared" si="130"/>
        <v>3</v>
      </c>
      <c r="BB248" s="1">
        <f t="shared" si="131"/>
        <v>5</v>
      </c>
      <c r="BC248" s="1" t="str">
        <f t="shared" si="132"/>
        <v/>
      </c>
      <c r="BD248" s="1" t="str">
        <f t="shared" si="133"/>
        <v/>
      </c>
      <c r="BE248" s="1" t="str">
        <f t="shared" si="134"/>
        <v/>
      </c>
      <c r="BF248" s="1" t="str">
        <f t="shared" si="135"/>
        <v/>
      </c>
      <c r="BG248" s="1" t="str">
        <f t="shared" si="136"/>
        <v/>
      </c>
      <c r="BH248" s="1" t="str">
        <f t="shared" si="137"/>
        <v/>
      </c>
      <c r="BI248" s="1" t="str">
        <f t="shared" si="138"/>
        <v/>
      </c>
      <c r="BJ248" s="1" t="str">
        <f t="shared" si="139"/>
        <v/>
      </c>
    </row>
    <row r="249" ht="14.25" customHeight="1" spans="1:62">
      <c r="A249" s="10">
        <v>245</v>
      </c>
      <c r="B249" s="10" t="s">
        <v>889</v>
      </c>
      <c r="C249" s="10">
        <v>1870</v>
      </c>
      <c r="D249" s="10">
        <f t="shared" si="105"/>
        <v>1870</v>
      </c>
      <c r="E249" s="10" t="s">
        <v>801</v>
      </c>
      <c r="F249" s="35" t="s">
        <v>890</v>
      </c>
      <c r="G249" s="10" t="s">
        <v>891</v>
      </c>
      <c r="H249" s="10" t="s">
        <v>139</v>
      </c>
      <c r="I249" s="10" t="s">
        <v>140</v>
      </c>
      <c r="J249" s="10" t="s">
        <v>892</v>
      </c>
      <c r="K249" s="10">
        <v>5</v>
      </c>
      <c r="L249" s="10">
        <v>5</v>
      </c>
      <c r="M249" s="10">
        <v>5</v>
      </c>
      <c r="N249" s="10">
        <v>5</v>
      </c>
      <c r="O249" s="10">
        <v>1</v>
      </c>
      <c r="P249" s="10">
        <v>1</v>
      </c>
      <c r="Q249" s="10">
        <v>3</v>
      </c>
      <c r="R249" s="10">
        <v>5</v>
      </c>
      <c r="S249" s="10">
        <f t="shared" si="106"/>
        <v>1</v>
      </c>
      <c r="T249" s="10">
        <f t="shared" si="107"/>
        <v>1</v>
      </c>
      <c r="U249" s="10">
        <f t="shared" si="108"/>
        <v>1</v>
      </c>
      <c r="V249" s="10">
        <f t="shared" si="109"/>
        <v>1</v>
      </c>
      <c r="W249" s="10">
        <f t="shared" si="110"/>
        <v>0</v>
      </c>
      <c r="X249" s="10">
        <f t="shared" si="111"/>
        <v>0</v>
      </c>
      <c r="Y249" s="10">
        <f t="shared" si="112"/>
        <v>0.5</v>
      </c>
      <c r="Z249" s="10">
        <f t="shared" si="113"/>
        <v>1</v>
      </c>
      <c r="AA249" s="10">
        <f t="shared" si="114"/>
        <v>1</v>
      </c>
      <c r="AB249" s="10">
        <f t="shared" si="115"/>
        <v>1</v>
      </c>
      <c r="AC249" s="10">
        <f t="shared" si="116"/>
        <v>1</v>
      </c>
      <c r="AD249" s="10">
        <f t="shared" si="117"/>
        <v>1</v>
      </c>
      <c r="AE249" s="10">
        <f t="shared" si="118"/>
        <v>0</v>
      </c>
      <c r="AF249" s="10">
        <f t="shared" si="119"/>
        <v>0</v>
      </c>
      <c r="AG249" s="10">
        <f t="shared" si="120"/>
        <v>0.5</v>
      </c>
      <c r="AH249" s="10">
        <f t="shared" si="121"/>
        <v>1</v>
      </c>
      <c r="AI249" s="10">
        <f>IF(OR(S249="",'4_BENCHMARK'!$C$4=""),"",ABS(S249-'4_BENCHMARK'!$C$4))</f>
        <v>0</v>
      </c>
      <c r="AJ249" s="10">
        <f>IF(OR(T249="",'4_BENCHMARK'!$C$5=""),"",ABS(T249-'4_BENCHMARK'!$C$5))</f>
        <v>0</v>
      </c>
      <c r="AK249" s="10">
        <f>IF(OR(U249="",'4_BENCHMARK'!$C$6=""),"",ABS(U249-'4_BENCHMARK'!$C$6))</f>
        <v>0</v>
      </c>
      <c r="AL249" s="10">
        <f>IF(OR(V249="",'4_BENCHMARK'!$C$7=""),"",ABS(V249-'4_BENCHMARK'!$C$7))</f>
        <v>0</v>
      </c>
      <c r="AM249" s="10">
        <f>IF(OR(W249="",'4_BENCHMARK'!$C$8=""),"",ABS(W249-'4_BENCHMARK'!$C$8))</f>
        <v>0</v>
      </c>
      <c r="AN249" s="10">
        <f>IF(OR(X249="",'4_BENCHMARK'!$C$9=""),"",ABS(X249-'4_BENCHMARK'!$C$9))</f>
        <v>0</v>
      </c>
      <c r="AO249" s="10">
        <f>IF(OR(Y249="",'4_BENCHMARK'!$C$10=""),"",ABS(Y249-'4_BENCHMARK'!$C$10))</f>
        <v>0</v>
      </c>
      <c r="AP249" s="10">
        <f>IF(OR(Z249="",'4_BENCHMARK'!$C$11=""),"",ABS(Z249-'4_BENCHMARK'!$C$11))</f>
        <v>0</v>
      </c>
      <c r="AQ249" s="13">
        <f t="shared" si="122"/>
        <v>1</v>
      </c>
      <c r="AR249" s="10"/>
      <c r="AS249" s="36" t="s">
        <v>141</v>
      </c>
      <c r="AT249" s="13">
        <f t="shared" si="123"/>
        <v>1</v>
      </c>
      <c r="AU249" s="1">
        <f t="shared" si="124"/>
        <v>5</v>
      </c>
      <c r="AV249" s="1">
        <f t="shared" si="125"/>
        <v>5</v>
      </c>
      <c r="AW249" s="1">
        <f t="shared" si="126"/>
        <v>5</v>
      </c>
      <c r="AX249" s="1">
        <f t="shared" si="127"/>
        <v>5</v>
      </c>
      <c r="AY249" s="1">
        <f t="shared" si="128"/>
        <v>1</v>
      </c>
      <c r="AZ249" s="1">
        <f t="shared" si="129"/>
        <v>1</v>
      </c>
      <c r="BA249" s="1">
        <f t="shared" si="130"/>
        <v>3</v>
      </c>
      <c r="BB249" s="1">
        <f t="shared" si="131"/>
        <v>5</v>
      </c>
      <c r="BC249" s="1" t="str">
        <f t="shared" si="132"/>
        <v/>
      </c>
      <c r="BD249" s="1" t="str">
        <f t="shared" si="133"/>
        <v/>
      </c>
      <c r="BE249" s="1" t="str">
        <f t="shared" si="134"/>
        <v/>
      </c>
      <c r="BF249" s="1" t="str">
        <f t="shared" si="135"/>
        <v/>
      </c>
      <c r="BG249" s="1" t="str">
        <f t="shared" si="136"/>
        <v/>
      </c>
      <c r="BH249" s="1" t="str">
        <f t="shared" si="137"/>
        <v/>
      </c>
      <c r="BI249" s="1" t="str">
        <f t="shared" si="138"/>
        <v/>
      </c>
      <c r="BJ249" s="1" t="str">
        <f t="shared" si="139"/>
        <v/>
      </c>
    </row>
    <row r="250" ht="14.25" customHeight="1" spans="1:62">
      <c r="A250" s="10">
        <v>246</v>
      </c>
      <c r="B250" s="10" t="s">
        <v>893</v>
      </c>
      <c r="C250" s="10">
        <v>1870</v>
      </c>
      <c r="D250" s="10">
        <f t="shared" si="105"/>
        <v>1870</v>
      </c>
      <c r="E250" s="10" t="s">
        <v>801</v>
      </c>
      <c r="F250" s="35" t="s">
        <v>894</v>
      </c>
      <c r="G250" s="10" t="s">
        <v>895</v>
      </c>
      <c r="H250" s="10" t="s">
        <v>139</v>
      </c>
      <c r="I250" s="10" t="s">
        <v>140</v>
      </c>
      <c r="J250" s="10" t="s">
        <v>892</v>
      </c>
      <c r="K250" s="10">
        <v>5</v>
      </c>
      <c r="L250" s="10">
        <v>5</v>
      </c>
      <c r="M250" s="10">
        <v>5</v>
      </c>
      <c r="N250" s="10">
        <v>5</v>
      </c>
      <c r="O250" s="10">
        <v>1</v>
      </c>
      <c r="P250" s="10">
        <v>1</v>
      </c>
      <c r="Q250" s="10">
        <v>3</v>
      </c>
      <c r="R250" s="10">
        <v>5</v>
      </c>
      <c r="S250" s="10">
        <f t="shared" si="106"/>
        <v>1</v>
      </c>
      <c r="T250" s="10">
        <f t="shared" si="107"/>
        <v>1</v>
      </c>
      <c r="U250" s="10">
        <f t="shared" si="108"/>
        <v>1</v>
      </c>
      <c r="V250" s="10">
        <f t="shared" si="109"/>
        <v>1</v>
      </c>
      <c r="W250" s="10">
        <f t="shared" si="110"/>
        <v>0</v>
      </c>
      <c r="X250" s="10">
        <f t="shared" si="111"/>
        <v>0</v>
      </c>
      <c r="Y250" s="10">
        <f t="shared" si="112"/>
        <v>0.5</v>
      </c>
      <c r="Z250" s="10">
        <f t="shared" si="113"/>
        <v>1</v>
      </c>
      <c r="AA250" s="10">
        <f t="shared" si="114"/>
        <v>1</v>
      </c>
      <c r="AB250" s="10">
        <f t="shared" si="115"/>
        <v>1</v>
      </c>
      <c r="AC250" s="10">
        <f t="shared" si="116"/>
        <v>1</v>
      </c>
      <c r="AD250" s="10">
        <f t="shared" si="117"/>
        <v>1</v>
      </c>
      <c r="AE250" s="10">
        <f t="shared" si="118"/>
        <v>0</v>
      </c>
      <c r="AF250" s="10">
        <f t="shared" si="119"/>
        <v>0</v>
      </c>
      <c r="AG250" s="10">
        <f t="shared" si="120"/>
        <v>0.5</v>
      </c>
      <c r="AH250" s="10">
        <f t="shared" si="121"/>
        <v>1</v>
      </c>
      <c r="AI250" s="10">
        <f>IF(OR(S250="",'4_BENCHMARK'!$C$4=""),"",ABS(S250-'4_BENCHMARK'!$C$4))</f>
        <v>0</v>
      </c>
      <c r="AJ250" s="10">
        <f>IF(OR(T250="",'4_BENCHMARK'!$C$5=""),"",ABS(T250-'4_BENCHMARK'!$C$5))</f>
        <v>0</v>
      </c>
      <c r="AK250" s="10">
        <f>IF(OR(U250="",'4_BENCHMARK'!$C$6=""),"",ABS(U250-'4_BENCHMARK'!$C$6))</f>
        <v>0</v>
      </c>
      <c r="AL250" s="10">
        <f>IF(OR(V250="",'4_BENCHMARK'!$C$7=""),"",ABS(V250-'4_BENCHMARK'!$C$7))</f>
        <v>0</v>
      </c>
      <c r="AM250" s="10">
        <f>IF(OR(W250="",'4_BENCHMARK'!$C$8=""),"",ABS(W250-'4_BENCHMARK'!$C$8))</f>
        <v>0</v>
      </c>
      <c r="AN250" s="10">
        <f>IF(OR(X250="",'4_BENCHMARK'!$C$9=""),"",ABS(X250-'4_BENCHMARK'!$C$9))</f>
        <v>0</v>
      </c>
      <c r="AO250" s="10">
        <f>IF(OR(Y250="",'4_BENCHMARK'!$C$10=""),"",ABS(Y250-'4_BENCHMARK'!$C$10))</f>
        <v>0</v>
      </c>
      <c r="AP250" s="10">
        <f>IF(OR(Z250="",'4_BENCHMARK'!$C$11=""),"",ABS(Z250-'4_BENCHMARK'!$C$11))</f>
        <v>0</v>
      </c>
      <c r="AQ250" s="13">
        <f t="shared" si="122"/>
        <v>1</v>
      </c>
      <c r="AR250" s="10"/>
      <c r="AS250" s="36" t="s">
        <v>141</v>
      </c>
      <c r="AT250" s="13">
        <f t="shared" si="123"/>
        <v>1</v>
      </c>
      <c r="AU250" s="1">
        <f t="shared" si="124"/>
        <v>5</v>
      </c>
      <c r="AV250" s="1">
        <f t="shared" si="125"/>
        <v>5</v>
      </c>
      <c r="AW250" s="1">
        <f t="shared" si="126"/>
        <v>5</v>
      </c>
      <c r="AX250" s="1">
        <f t="shared" si="127"/>
        <v>5</v>
      </c>
      <c r="AY250" s="1">
        <f t="shared" si="128"/>
        <v>1</v>
      </c>
      <c r="AZ250" s="1">
        <f t="shared" si="129"/>
        <v>1</v>
      </c>
      <c r="BA250" s="1">
        <f t="shared" si="130"/>
        <v>3</v>
      </c>
      <c r="BB250" s="1">
        <f t="shared" si="131"/>
        <v>5</v>
      </c>
      <c r="BC250" s="1" t="str">
        <f t="shared" si="132"/>
        <v/>
      </c>
      <c r="BD250" s="1" t="str">
        <f t="shared" si="133"/>
        <v/>
      </c>
      <c r="BE250" s="1" t="str">
        <f t="shared" si="134"/>
        <v/>
      </c>
      <c r="BF250" s="1" t="str">
        <f t="shared" si="135"/>
        <v/>
      </c>
      <c r="BG250" s="1" t="str">
        <f t="shared" si="136"/>
        <v/>
      </c>
      <c r="BH250" s="1" t="str">
        <f t="shared" si="137"/>
        <v/>
      </c>
      <c r="BI250" s="1" t="str">
        <f t="shared" si="138"/>
        <v/>
      </c>
      <c r="BJ250" s="1" t="str">
        <f t="shared" si="139"/>
        <v/>
      </c>
    </row>
    <row r="251" ht="14.25" customHeight="1" spans="1:62">
      <c r="A251" s="10">
        <v>247</v>
      </c>
      <c r="B251" s="10" t="s">
        <v>896</v>
      </c>
      <c r="C251" s="10">
        <v>1870</v>
      </c>
      <c r="D251" s="10">
        <f t="shared" si="105"/>
        <v>1870</v>
      </c>
      <c r="E251" s="10" t="s">
        <v>801</v>
      </c>
      <c r="F251" s="35" t="s">
        <v>897</v>
      </c>
      <c r="G251" s="10" t="s">
        <v>898</v>
      </c>
      <c r="H251" s="10" t="s">
        <v>139</v>
      </c>
      <c r="I251" s="10" t="s">
        <v>140</v>
      </c>
      <c r="J251" s="10" t="s">
        <v>892</v>
      </c>
      <c r="K251" s="10">
        <v>5</v>
      </c>
      <c r="L251" s="10">
        <v>5</v>
      </c>
      <c r="M251" s="10">
        <v>5</v>
      </c>
      <c r="N251" s="10">
        <v>5</v>
      </c>
      <c r="O251" s="10">
        <v>1</v>
      </c>
      <c r="P251" s="10">
        <v>1</v>
      </c>
      <c r="Q251" s="10">
        <v>2</v>
      </c>
      <c r="R251" s="10">
        <v>5</v>
      </c>
      <c r="S251" s="10">
        <f t="shared" si="106"/>
        <v>1</v>
      </c>
      <c r="T251" s="10">
        <f t="shared" si="107"/>
        <v>1</v>
      </c>
      <c r="U251" s="10">
        <f t="shared" si="108"/>
        <v>1</v>
      </c>
      <c r="V251" s="10">
        <f t="shared" si="109"/>
        <v>1</v>
      </c>
      <c r="W251" s="10">
        <f t="shared" si="110"/>
        <v>0</v>
      </c>
      <c r="X251" s="10">
        <f t="shared" si="111"/>
        <v>0</v>
      </c>
      <c r="Y251" s="10">
        <f t="shared" si="112"/>
        <v>0.25</v>
      </c>
      <c r="Z251" s="10">
        <f t="shared" si="113"/>
        <v>1</v>
      </c>
      <c r="AA251" s="10">
        <f t="shared" si="114"/>
        <v>1</v>
      </c>
      <c r="AB251" s="10">
        <f t="shared" si="115"/>
        <v>1</v>
      </c>
      <c r="AC251" s="10">
        <f t="shared" si="116"/>
        <v>1</v>
      </c>
      <c r="AD251" s="10">
        <f t="shared" si="117"/>
        <v>1</v>
      </c>
      <c r="AE251" s="10">
        <f t="shared" si="118"/>
        <v>0</v>
      </c>
      <c r="AF251" s="10">
        <f t="shared" si="119"/>
        <v>0</v>
      </c>
      <c r="AG251" s="10">
        <f t="shared" si="120"/>
        <v>0.25</v>
      </c>
      <c r="AH251" s="10">
        <f t="shared" si="121"/>
        <v>1</v>
      </c>
      <c r="AI251" s="10">
        <f>IF(OR(S251="",'4_BENCHMARK'!$C$4=""),"",ABS(S251-'4_BENCHMARK'!$C$4))</f>
        <v>0</v>
      </c>
      <c r="AJ251" s="10">
        <f>IF(OR(T251="",'4_BENCHMARK'!$C$5=""),"",ABS(T251-'4_BENCHMARK'!$C$5))</f>
        <v>0</v>
      </c>
      <c r="AK251" s="10">
        <f>IF(OR(U251="",'4_BENCHMARK'!$C$6=""),"",ABS(U251-'4_BENCHMARK'!$C$6))</f>
        <v>0</v>
      </c>
      <c r="AL251" s="10">
        <f>IF(OR(V251="",'4_BENCHMARK'!$C$7=""),"",ABS(V251-'4_BENCHMARK'!$C$7))</f>
        <v>0</v>
      </c>
      <c r="AM251" s="10">
        <f>IF(OR(W251="",'4_BENCHMARK'!$C$8=""),"",ABS(W251-'4_BENCHMARK'!$C$8))</f>
        <v>0</v>
      </c>
      <c r="AN251" s="10">
        <f>IF(OR(X251="",'4_BENCHMARK'!$C$9=""),"",ABS(X251-'4_BENCHMARK'!$C$9))</f>
        <v>0</v>
      </c>
      <c r="AO251" s="10">
        <f>IF(OR(Y251="",'4_BENCHMARK'!$C$10=""),"",ABS(Y251-'4_BENCHMARK'!$C$10))</f>
        <v>0.25</v>
      </c>
      <c r="AP251" s="10">
        <f>IF(OR(Z251="",'4_BENCHMARK'!$C$11=""),"",ABS(Z251-'4_BENCHMARK'!$C$11))</f>
        <v>0</v>
      </c>
      <c r="AQ251" s="13">
        <f t="shared" si="122"/>
        <v>0.96875</v>
      </c>
      <c r="AR251" s="10"/>
      <c r="AS251" s="36" t="s">
        <v>141</v>
      </c>
      <c r="AT251" s="13">
        <f t="shared" si="123"/>
        <v>0.958333333333333</v>
      </c>
      <c r="AU251" s="1">
        <f t="shared" si="124"/>
        <v>5</v>
      </c>
      <c r="AV251" s="1">
        <f t="shared" si="125"/>
        <v>5</v>
      </c>
      <c r="AW251" s="1">
        <f t="shared" si="126"/>
        <v>5</v>
      </c>
      <c r="AX251" s="1">
        <f t="shared" si="127"/>
        <v>5</v>
      </c>
      <c r="AY251" s="1">
        <f t="shared" si="128"/>
        <v>1</v>
      </c>
      <c r="AZ251" s="1">
        <f t="shared" si="129"/>
        <v>1</v>
      </c>
      <c r="BA251" s="1">
        <f t="shared" si="130"/>
        <v>2</v>
      </c>
      <c r="BB251" s="1">
        <f t="shared" si="131"/>
        <v>5</v>
      </c>
      <c r="BC251" s="1" t="str">
        <f t="shared" si="132"/>
        <v/>
      </c>
      <c r="BD251" s="1" t="str">
        <f t="shared" si="133"/>
        <v/>
      </c>
      <c r="BE251" s="1" t="str">
        <f t="shared" si="134"/>
        <v/>
      </c>
      <c r="BF251" s="1" t="str">
        <f t="shared" si="135"/>
        <v/>
      </c>
      <c r="BG251" s="1" t="str">
        <f t="shared" si="136"/>
        <v/>
      </c>
      <c r="BH251" s="1" t="str">
        <f t="shared" si="137"/>
        <v/>
      </c>
      <c r="BI251" s="1" t="str">
        <f t="shared" si="138"/>
        <v/>
      </c>
      <c r="BJ251" s="1" t="str">
        <f t="shared" si="139"/>
        <v/>
      </c>
    </row>
    <row r="252" ht="14.25" customHeight="1" spans="1:62">
      <c r="A252" s="10">
        <v>248</v>
      </c>
      <c r="B252" s="10" t="s">
        <v>899</v>
      </c>
      <c r="C252" s="10">
        <v>1870</v>
      </c>
      <c r="D252" s="10">
        <f t="shared" si="105"/>
        <v>1870</v>
      </c>
      <c r="E252" s="10" t="s">
        <v>801</v>
      </c>
      <c r="F252" s="35" t="s">
        <v>900</v>
      </c>
      <c r="G252" s="10" t="s">
        <v>901</v>
      </c>
      <c r="H252" s="10" t="s">
        <v>139</v>
      </c>
      <c r="I252" s="10" t="s">
        <v>140</v>
      </c>
      <c r="J252" s="10" t="s">
        <v>892</v>
      </c>
      <c r="K252" s="10">
        <v>5</v>
      </c>
      <c r="L252" s="10">
        <v>5</v>
      </c>
      <c r="M252" s="10">
        <v>5</v>
      </c>
      <c r="N252" s="10">
        <v>5</v>
      </c>
      <c r="O252" s="10">
        <v>1</v>
      </c>
      <c r="P252" s="10">
        <v>1</v>
      </c>
      <c r="Q252" s="10">
        <v>3</v>
      </c>
      <c r="R252" s="10">
        <v>5</v>
      </c>
      <c r="S252" s="10">
        <f t="shared" si="106"/>
        <v>1</v>
      </c>
      <c r="T252" s="10">
        <f t="shared" si="107"/>
        <v>1</v>
      </c>
      <c r="U252" s="10">
        <f t="shared" si="108"/>
        <v>1</v>
      </c>
      <c r="V252" s="10">
        <f t="shared" si="109"/>
        <v>1</v>
      </c>
      <c r="W252" s="10">
        <f t="shared" si="110"/>
        <v>0</v>
      </c>
      <c r="X252" s="10">
        <f t="shared" si="111"/>
        <v>0</v>
      </c>
      <c r="Y252" s="10">
        <f t="shared" si="112"/>
        <v>0.5</v>
      </c>
      <c r="Z252" s="10">
        <f t="shared" si="113"/>
        <v>1</v>
      </c>
      <c r="AA252" s="10">
        <f t="shared" si="114"/>
        <v>1</v>
      </c>
      <c r="AB252" s="10">
        <f t="shared" si="115"/>
        <v>1</v>
      </c>
      <c r="AC252" s="10">
        <f t="shared" si="116"/>
        <v>1</v>
      </c>
      <c r="AD252" s="10">
        <f t="shared" si="117"/>
        <v>1</v>
      </c>
      <c r="AE252" s="10">
        <f t="shared" si="118"/>
        <v>0</v>
      </c>
      <c r="AF252" s="10">
        <f t="shared" si="119"/>
        <v>0</v>
      </c>
      <c r="AG252" s="10">
        <f t="shared" si="120"/>
        <v>0.5</v>
      </c>
      <c r="AH252" s="10">
        <f t="shared" si="121"/>
        <v>1</v>
      </c>
      <c r="AI252" s="10">
        <f>IF(OR(S252="",'4_BENCHMARK'!$C$4=""),"",ABS(S252-'4_BENCHMARK'!$C$4))</f>
        <v>0</v>
      </c>
      <c r="AJ252" s="10">
        <f>IF(OR(T252="",'4_BENCHMARK'!$C$5=""),"",ABS(T252-'4_BENCHMARK'!$C$5))</f>
        <v>0</v>
      </c>
      <c r="AK252" s="10">
        <f>IF(OR(U252="",'4_BENCHMARK'!$C$6=""),"",ABS(U252-'4_BENCHMARK'!$C$6))</f>
        <v>0</v>
      </c>
      <c r="AL252" s="10">
        <f>IF(OR(V252="",'4_BENCHMARK'!$C$7=""),"",ABS(V252-'4_BENCHMARK'!$C$7))</f>
        <v>0</v>
      </c>
      <c r="AM252" s="10">
        <f>IF(OR(W252="",'4_BENCHMARK'!$C$8=""),"",ABS(W252-'4_BENCHMARK'!$C$8))</f>
        <v>0</v>
      </c>
      <c r="AN252" s="10">
        <f>IF(OR(X252="",'4_BENCHMARK'!$C$9=""),"",ABS(X252-'4_BENCHMARK'!$C$9))</f>
        <v>0</v>
      </c>
      <c r="AO252" s="10">
        <f>IF(OR(Y252="",'4_BENCHMARK'!$C$10=""),"",ABS(Y252-'4_BENCHMARK'!$C$10))</f>
        <v>0</v>
      </c>
      <c r="AP252" s="10">
        <f>IF(OR(Z252="",'4_BENCHMARK'!$C$11=""),"",ABS(Z252-'4_BENCHMARK'!$C$11))</f>
        <v>0</v>
      </c>
      <c r="AQ252" s="13">
        <f t="shared" si="122"/>
        <v>1</v>
      </c>
      <c r="AR252" s="10"/>
      <c r="AS252" s="36" t="s">
        <v>141</v>
      </c>
      <c r="AT252" s="13">
        <f t="shared" si="123"/>
        <v>1</v>
      </c>
      <c r="AU252" s="1">
        <f t="shared" si="124"/>
        <v>5</v>
      </c>
      <c r="AV252" s="1">
        <f t="shared" si="125"/>
        <v>5</v>
      </c>
      <c r="AW252" s="1">
        <f t="shared" si="126"/>
        <v>5</v>
      </c>
      <c r="AX252" s="1">
        <f t="shared" si="127"/>
        <v>5</v>
      </c>
      <c r="AY252" s="1">
        <f t="shared" si="128"/>
        <v>1</v>
      </c>
      <c r="AZ252" s="1">
        <f t="shared" si="129"/>
        <v>1</v>
      </c>
      <c r="BA252" s="1">
        <f t="shared" si="130"/>
        <v>3</v>
      </c>
      <c r="BB252" s="1">
        <f t="shared" si="131"/>
        <v>5</v>
      </c>
      <c r="BC252" s="1" t="str">
        <f t="shared" si="132"/>
        <v/>
      </c>
      <c r="BD252" s="1" t="str">
        <f t="shared" si="133"/>
        <v/>
      </c>
      <c r="BE252" s="1" t="str">
        <f t="shared" si="134"/>
        <v/>
      </c>
      <c r="BF252" s="1" t="str">
        <f t="shared" si="135"/>
        <v/>
      </c>
      <c r="BG252" s="1" t="str">
        <f t="shared" si="136"/>
        <v/>
      </c>
      <c r="BH252" s="1" t="str">
        <f t="shared" si="137"/>
        <v/>
      </c>
      <c r="BI252" s="1" t="str">
        <f t="shared" si="138"/>
        <v/>
      </c>
      <c r="BJ252" s="1" t="str">
        <f t="shared" si="139"/>
        <v/>
      </c>
    </row>
    <row r="253" ht="14.25" customHeight="1" spans="1:62">
      <c r="A253" s="10">
        <v>249</v>
      </c>
      <c r="B253" s="10" t="s">
        <v>902</v>
      </c>
      <c r="C253" s="10">
        <v>1870</v>
      </c>
      <c r="D253" s="10">
        <f t="shared" si="105"/>
        <v>1870</v>
      </c>
      <c r="E253" s="10" t="s">
        <v>801</v>
      </c>
      <c r="F253" s="35" t="s">
        <v>903</v>
      </c>
      <c r="G253" s="10" t="s">
        <v>904</v>
      </c>
      <c r="H253" s="10" t="s">
        <v>139</v>
      </c>
      <c r="I253" s="10" t="s">
        <v>140</v>
      </c>
      <c r="J253" s="10" t="s">
        <v>892</v>
      </c>
      <c r="K253" s="10">
        <v>5</v>
      </c>
      <c r="L253" s="10">
        <v>5</v>
      </c>
      <c r="M253" s="10">
        <v>5</v>
      </c>
      <c r="N253" s="10">
        <v>5</v>
      </c>
      <c r="O253" s="10">
        <v>1</v>
      </c>
      <c r="P253" s="10">
        <v>1</v>
      </c>
      <c r="Q253" s="10">
        <v>3</v>
      </c>
      <c r="R253" s="10">
        <v>5</v>
      </c>
      <c r="S253" s="10">
        <f t="shared" si="106"/>
        <v>1</v>
      </c>
      <c r="T253" s="10">
        <f t="shared" si="107"/>
        <v>1</v>
      </c>
      <c r="U253" s="10">
        <f t="shared" si="108"/>
        <v>1</v>
      </c>
      <c r="V253" s="10">
        <f t="shared" si="109"/>
        <v>1</v>
      </c>
      <c r="W253" s="10">
        <f t="shared" si="110"/>
        <v>0</v>
      </c>
      <c r="X253" s="10">
        <f t="shared" si="111"/>
        <v>0</v>
      </c>
      <c r="Y253" s="10">
        <f t="shared" si="112"/>
        <v>0.5</v>
      </c>
      <c r="Z253" s="10">
        <f t="shared" si="113"/>
        <v>1</v>
      </c>
      <c r="AA253" s="10">
        <f t="shared" si="114"/>
        <v>1</v>
      </c>
      <c r="AB253" s="10">
        <f t="shared" si="115"/>
        <v>1</v>
      </c>
      <c r="AC253" s="10">
        <f t="shared" si="116"/>
        <v>1</v>
      </c>
      <c r="AD253" s="10">
        <f t="shared" si="117"/>
        <v>1</v>
      </c>
      <c r="AE253" s="10">
        <f t="shared" si="118"/>
        <v>0</v>
      </c>
      <c r="AF253" s="10">
        <f t="shared" si="119"/>
        <v>0</v>
      </c>
      <c r="AG253" s="10">
        <f t="shared" si="120"/>
        <v>0.5</v>
      </c>
      <c r="AH253" s="10">
        <f t="shared" si="121"/>
        <v>1</v>
      </c>
      <c r="AI253" s="10">
        <f>IF(OR(S253="",'4_BENCHMARK'!$C$4=""),"",ABS(S253-'4_BENCHMARK'!$C$4))</f>
        <v>0</v>
      </c>
      <c r="AJ253" s="10">
        <f>IF(OR(T253="",'4_BENCHMARK'!$C$5=""),"",ABS(T253-'4_BENCHMARK'!$C$5))</f>
        <v>0</v>
      </c>
      <c r="AK253" s="10">
        <f>IF(OR(U253="",'4_BENCHMARK'!$C$6=""),"",ABS(U253-'4_BENCHMARK'!$C$6))</f>
        <v>0</v>
      </c>
      <c r="AL253" s="10">
        <f>IF(OR(V253="",'4_BENCHMARK'!$C$7=""),"",ABS(V253-'4_BENCHMARK'!$C$7))</f>
        <v>0</v>
      </c>
      <c r="AM253" s="10">
        <f>IF(OR(W253="",'4_BENCHMARK'!$C$8=""),"",ABS(W253-'4_BENCHMARK'!$C$8))</f>
        <v>0</v>
      </c>
      <c r="AN253" s="10">
        <f>IF(OR(X253="",'4_BENCHMARK'!$C$9=""),"",ABS(X253-'4_BENCHMARK'!$C$9))</f>
        <v>0</v>
      </c>
      <c r="AO253" s="10">
        <f>IF(OR(Y253="",'4_BENCHMARK'!$C$10=""),"",ABS(Y253-'4_BENCHMARK'!$C$10))</f>
        <v>0</v>
      </c>
      <c r="AP253" s="10">
        <f>IF(OR(Z253="",'4_BENCHMARK'!$C$11=""),"",ABS(Z253-'4_BENCHMARK'!$C$11))</f>
        <v>0</v>
      </c>
      <c r="AQ253" s="13">
        <f t="shared" si="122"/>
        <v>1</v>
      </c>
      <c r="AR253" s="10"/>
      <c r="AS253" s="36" t="s">
        <v>141</v>
      </c>
      <c r="AT253" s="13">
        <f t="shared" si="123"/>
        <v>1</v>
      </c>
      <c r="AU253" s="1">
        <f t="shared" si="124"/>
        <v>5</v>
      </c>
      <c r="AV253" s="1">
        <f t="shared" si="125"/>
        <v>5</v>
      </c>
      <c r="AW253" s="1">
        <f t="shared" si="126"/>
        <v>5</v>
      </c>
      <c r="AX253" s="1">
        <f t="shared" si="127"/>
        <v>5</v>
      </c>
      <c r="AY253" s="1">
        <f t="shared" si="128"/>
        <v>1</v>
      </c>
      <c r="AZ253" s="1">
        <f t="shared" si="129"/>
        <v>1</v>
      </c>
      <c r="BA253" s="1">
        <f t="shared" si="130"/>
        <v>3</v>
      </c>
      <c r="BB253" s="1">
        <f t="shared" si="131"/>
        <v>5</v>
      </c>
      <c r="BC253" s="1" t="str">
        <f t="shared" si="132"/>
        <v/>
      </c>
      <c r="BD253" s="1" t="str">
        <f t="shared" si="133"/>
        <v/>
      </c>
      <c r="BE253" s="1" t="str">
        <f t="shared" si="134"/>
        <v/>
      </c>
      <c r="BF253" s="1" t="str">
        <f t="shared" si="135"/>
        <v/>
      </c>
      <c r="BG253" s="1" t="str">
        <f t="shared" si="136"/>
        <v/>
      </c>
      <c r="BH253" s="1" t="str">
        <f t="shared" si="137"/>
        <v/>
      </c>
      <c r="BI253" s="1" t="str">
        <f t="shared" si="138"/>
        <v/>
      </c>
      <c r="BJ253" s="1" t="str">
        <f t="shared" si="139"/>
        <v/>
      </c>
    </row>
    <row r="254" ht="14.25" customHeight="1" spans="1:62">
      <c r="A254" s="10">
        <v>250</v>
      </c>
      <c r="B254" s="10" t="s">
        <v>905</v>
      </c>
      <c r="C254" s="10">
        <v>1870</v>
      </c>
      <c r="D254" s="10">
        <f t="shared" si="105"/>
        <v>1870</v>
      </c>
      <c r="E254" s="10" t="s">
        <v>136</v>
      </c>
      <c r="F254" s="35" t="s">
        <v>906</v>
      </c>
      <c r="G254" s="10" t="s">
        <v>907</v>
      </c>
      <c r="H254" s="10" t="s">
        <v>139</v>
      </c>
      <c r="I254" s="10" t="s">
        <v>140</v>
      </c>
      <c r="J254" s="10" t="s">
        <v>908</v>
      </c>
      <c r="K254" s="10">
        <v>5</v>
      </c>
      <c r="L254" s="10">
        <v>5</v>
      </c>
      <c r="M254" s="10">
        <v>5</v>
      </c>
      <c r="N254" s="10">
        <v>5</v>
      </c>
      <c r="O254" s="10">
        <v>1</v>
      </c>
      <c r="P254" s="10">
        <v>1</v>
      </c>
      <c r="Q254" s="10">
        <v>3</v>
      </c>
      <c r="R254" s="10">
        <v>5</v>
      </c>
      <c r="S254" s="10">
        <f t="shared" si="106"/>
        <v>1</v>
      </c>
      <c r="T254" s="10">
        <f t="shared" si="107"/>
        <v>1</v>
      </c>
      <c r="U254" s="10">
        <f t="shared" si="108"/>
        <v>1</v>
      </c>
      <c r="V254" s="10">
        <f t="shared" si="109"/>
        <v>1</v>
      </c>
      <c r="W254" s="10">
        <f t="shared" si="110"/>
        <v>0</v>
      </c>
      <c r="X254" s="10">
        <f t="shared" si="111"/>
        <v>0</v>
      </c>
      <c r="Y254" s="10">
        <f t="shared" si="112"/>
        <v>0.5</v>
      </c>
      <c r="Z254" s="10">
        <f t="shared" si="113"/>
        <v>1</v>
      </c>
      <c r="AA254" s="10">
        <f t="shared" si="114"/>
        <v>1</v>
      </c>
      <c r="AB254" s="10">
        <f t="shared" si="115"/>
        <v>1</v>
      </c>
      <c r="AC254" s="10">
        <f t="shared" si="116"/>
        <v>1</v>
      </c>
      <c r="AD254" s="10">
        <f t="shared" si="117"/>
        <v>1</v>
      </c>
      <c r="AE254" s="10">
        <f t="shared" si="118"/>
        <v>0</v>
      </c>
      <c r="AF254" s="10">
        <f t="shared" si="119"/>
        <v>0</v>
      </c>
      <c r="AG254" s="10">
        <f t="shared" si="120"/>
        <v>0.5</v>
      </c>
      <c r="AH254" s="10">
        <f t="shared" si="121"/>
        <v>1</v>
      </c>
      <c r="AI254" s="10">
        <f>IF(OR(S254="",'4_BENCHMARK'!$C$4=""),"",ABS(S254-'4_BENCHMARK'!$C$4))</f>
        <v>0</v>
      </c>
      <c r="AJ254" s="10">
        <f>IF(OR(T254="",'4_BENCHMARK'!$C$5=""),"",ABS(T254-'4_BENCHMARK'!$C$5))</f>
        <v>0</v>
      </c>
      <c r="AK254" s="10">
        <f>IF(OR(U254="",'4_BENCHMARK'!$C$6=""),"",ABS(U254-'4_BENCHMARK'!$C$6))</f>
        <v>0</v>
      </c>
      <c r="AL254" s="10">
        <f>IF(OR(V254="",'4_BENCHMARK'!$C$7=""),"",ABS(V254-'4_BENCHMARK'!$C$7))</f>
        <v>0</v>
      </c>
      <c r="AM254" s="10">
        <f>IF(OR(W254="",'4_BENCHMARK'!$C$8=""),"",ABS(W254-'4_BENCHMARK'!$C$8))</f>
        <v>0</v>
      </c>
      <c r="AN254" s="10">
        <f>IF(OR(X254="",'4_BENCHMARK'!$C$9=""),"",ABS(X254-'4_BENCHMARK'!$C$9))</f>
        <v>0</v>
      </c>
      <c r="AO254" s="10">
        <f>IF(OR(Y254="",'4_BENCHMARK'!$C$10=""),"",ABS(Y254-'4_BENCHMARK'!$C$10))</f>
        <v>0</v>
      </c>
      <c r="AP254" s="10">
        <f>IF(OR(Z254="",'4_BENCHMARK'!$C$11=""),"",ABS(Z254-'4_BENCHMARK'!$C$11))</f>
        <v>0</v>
      </c>
      <c r="AQ254" s="13">
        <f t="shared" si="122"/>
        <v>1</v>
      </c>
      <c r="AR254" s="10"/>
      <c r="AS254" s="36" t="s">
        <v>141</v>
      </c>
      <c r="AT254" s="13">
        <f t="shared" si="123"/>
        <v>1</v>
      </c>
      <c r="AU254" s="1">
        <f t="shared" si="124"/>
        <v>5</v>
      </c>
      <c r="AV254" s="1">
        <f t="shared" si="125"/>
        <v>5</v>
      </c>
      <c r="AW254" s="1">
        <f t="shared" si="126"/>
        <v>5</v>
      </c>
      <c r="AX254" s="1">
        <f t="shared" si="127"/>
        <v>5</v>
      </c>
      <c r="AY254" s="1">
        <f t="shared" si="128"/>
        <v>1</v>
      </c>
      <c r="AZ254" s="1">
        <f t="shared" si="129"/>
        <v>1</v>
      </c>
      <c r="BA254" s="1">
        <f t="shared" si="130"/>
        <v>3</v>
      </c>
      <c r="BB254" s="1">
        <f t="shared" si="131"/>
        <v>5</v>
      </c>
      <c r="BC254" s="1" t="str">
        <f t="shared" si="132"/>
        <v/>
      </c>
      <c r="BD254" s="1" t="str">
        <f t="shared" si="133"/>
        <v/>
      </c>
      <c r="BE254" s="1" t="str">
        <f t="shared" si="134"/>
        <v/>
      </c>
      <c r="BF254" s="1" t="str">
        <f t="shared" si="135"/>
        <v/>
      </c>
      <c r="BG254" s="1" t="str">
        <f t="shared" si="136"/>
        <v/>
      </c>
      <c r="BH254" s="1" t="str">
        <f t="shared" si="137"/>
        <v/>
      </c>
      <c r="BI254" s="1" t="str">
        <f t="shared" si="138"/>
        <v/>
      </c>
      <c r="BJ254" s="1" t="str">
        <f t="shared" si="139"/>
        <v/>
      </c>
    </row>
    <row r="255" ht="14.25" customHeight="1" spans="1:62">
      <c r="A255" s="10">
        <v>251</v>
      </c>
      <c r="B255" s="10" t="s">
        <v>909</v>
      </c>
      <c r="C255" s="10">
        <v>1940</v>
      </c>
      <c r="D255" s="10">
        <f t="shared" si="105"/>
        <v>1940</v>
      </c>
      <c r="E255" s="10" t="s">
        <v>801</v>
      </c>
      <c r="F255" s="35" t="s">
        <v>910</v>
      </c>
      <c r="G255" s="10" t="s">
        <v>911</v>
      </c>
      <c r="H255" s="10" t="s">
        <v>139</v>
      </c>
      <c r="I255" s="10" t="s">
        <v>140</v>
      </c>
      <c r="J255" s="10" t="s">
        <v>545</v>
      </c>
      <c r="K255" s="10">
        <v>5</v>
      </c>
      <c r="L255" s="10">
        <v>5</v>
      </c>
      <c r="M255" s="10">
        <v>5</v>
      </c>
      <c r="N255" s="10">
        <v>5</v>
      </c>
      <c r="O255" s="10">
        <v>5</v>
      </c>
      <c r="P255" s="10">
        <v>5</v>
      </c>
      <c r="Q255" s="10">
        <v>2</v>
      </c>
      <c r="R255" s="10">
        <v>5</v>
      </c>
      <c r="S255" s="10">
        <f t="shared" si="106"/>
        <v>1</v>
      </c>
      <c r="T255" s="10">
        <f t="shared" si="107"/>
        <v>1</v>
      </c>
      <c r="U255" s="10">
        <f t="shared" si="108"/>
        <v>1</v>
      </c>
      <c r="V255" s="10">
        <f t="shared" si="109"/>
        <v>1</v>
      </c>
      <c r="W255" s="10">
        <f t="shared" si="110"/>
        <v>1</v>
      </c>
      <c r="X255" s="10">
        <f t="shared" si="111"/>
        <v>1</v>
      </c>
      <c r="Y255" s="10">
        <f t="shared" si="112"/>
        <v>0.25</v>
      </c>
      <c r="Z255" s="10">
        <f t="shared" si="113"/>
        <v>1</v>
      </c>
      <c r="AA255" s="10">
        <f t="shared" si="114"/>
        <v>1</v>
      </c>
      <c r="AB255" s="10">
        <f t="shared" si="115"/>
        <v>1</v>
      </c>
      <c r="AC255" s="10">
        <f t="shared" si="116"/>
        <v>1</v>
      </c>
      <c r="AD255" s="10">
        <f t="shared" si="117"/>
        <v>1</v>
      </c>
      <c r="AE255" s="10">
        <f t="shared" si="118"/>
        <v>1</v>
      </c>
      <c r="AF255" s="10">
        <f t="shared" si="119"/>
        <v>1</v>
      </c>
      <c r="AG255" s="10">
        <f t="shared" si="120"/>
        <v>0.25</v>
      </c>
      <c r="AH255" s="10">
        <f t="shared" si="121"/>
        <v>1</v>
      </c>
      <c r="AI255" s="10">
        <f>IF(OR(S255="",'4_BENCHMARK'!$C$4=""),"",ABS(S255-'4_BENCHMARK'!$C$4))</f>
        <v>0</v>
      </c>
      <c r="AJ255" s="10">
        <f>IF(OR(T255="",'4_BENCHMARK'!$C$5=""),"",ABS(T255-'4_BENCHMARK'!$C$5))</f>
        <v>0</v>
      </c>
      <c r="AK255" s="10">
        <f>IF(OR(U255="",'4_BENCHMARK'!$C$6=""),"",ABS(U255-'4_BENCHMARK'!$C$6))</f>
        <v>0</v>
      </c>
      <c r="AL255" s="10">
        <f>IF(OR(V255="",'4_BENCHMARK'!$C$7=""),"",ABS(V255-'4_BENCHMARK'!$C$7))</f>
        <v>0</v>
      </c>
      <c r="AM255" s="10">
        <f>IF(OR(W255="",'4_BENCHMARK'!$C$8=""),"",ABS(W255-'4_BENCHMARK'!$C$8))</f>
        <v>1</v>
      </c>
      <c r="AN255" s="10">
        <f>IF(OR(X255="",'4_BENCHMARK'!$C$9=""),"",ABS(X255-'4_BENCHMARK'!$C$9))</f>
        <v>1</v>
      </c>
      <c r="AO255" s="10">
        <f>IF(OR(Y255="",'4_BENCHMARK'!$C$10=""),"",ABS(Y255-'4_BENCHMARK'!$C$10))</f>
        <v>0.25</v>
      </c>
      <c r="AP255" s="10">
        <f>IF(OR(Z255="",'4_BENCHMARK'!$C$11=""),"",ABS(Z255-'4_BENCHMARK'!$C$11))</f>
        <v>0</v>
      </c>
      <c r="AQ255" s="13">
        <f t="shared" si="122"/>
        <v>0.71875</v>
      </c>
      <c r="AR255" s="10"/>
      <c r="AS255" s="36" t="s">
        <v>149</v>
      </c>
      <c r="AT255" s="13">
        <f t="shared" si="123"/>
        <v>0.958333333333333</v>
      </c>
      <c r="AU255" s="1">
        <f t="shared" si="124"/>
        <v>5</v>
      </c>
      <c r="AV255" s="1">
        <f t="shared" si="125"/>
        <v>5</v>
      </c>
      <c r="AW255" s="1">
        <f t="shared" si="126"/>
        <v>5</v>
      </c>
      <c r="AX255" s="1">
        <f t="shared" si="127"/>
        <v>5</v>
      </c>
      <c r="AY255" s="1">
        <f t="shared" si="128"/>
        <v>5</v>
      </c>
      <c r="AZ255" s="1">
        <f t="shared" si="129"/>
        <v>5</v>
      </c>
      <c r="BA255" s="1">
        <f t="shared" si="130"/>
        <v>2</v>
      </c>
      <c r="BB255" s="1">
        <f t="shared" si="131"/>
        <v>5</v>
      </c>
      <c r="BC255" s="1" t="str">
        <f t="shared" si="132"/>
        <v/>
      </c>
      <c r="BD255" s="1" t="str">
        <f t="shared" si="133"/>
        <v/>
      </c>
      <c r="BE255" s="1" t="str">
        <f t="shared" si="134"/>
        <v/>
      </c>
      <c r="BF255" s="1" t="str">
        <f t="shared" si="135"/>
        <v/>
      </c>
      <c r="BG255" s="1" t="str">
        <f t="shared" si="136"/>
        <v/>
      </c>
      <c r="BH255" s="1" t="str">
        <f t="shared" si="137"/>
        <v/>
      </c>
      <c r="BI255" s="1" t="str">
        <f t="shared" si="138"/>
        <v/>
      </c>
      <c r="BJ255" s="1" t="str">
        <f t="shared" si="139"/>
        <v/>
      </c>
    </row>
    <row r="256" ht="14.25" customHeight="1" spans="1:62">
      <c r="A256" s="10">
        <v>252</v>
      </c>
      <c r="B256" s="10" t="s">
        <v>912</v>
      </c>
      <c r="C256" s="10">
        <v>1940</v>
      </c>
      <c r="D256" s="10">
        <f t="shared" si="105"/>
        <v>1940</v>
      </c>
      <c r="E256" s="10" t="s">
        <v>801</v>
      </c>
      <c r="F256" s="35" t="s">
        <v>913</v>
      </c>
      <c r="G256" s="10" t="s">
        <v>914</v>
      </c>
      <c r="H256" s="10" t="s">
        <v>139</v>
      </c>
      <c r="I256" s="10" t="s">
        <v>140</v>
      </c>
      <c r="J256" s="10" t="s">
        <v>545</v>
      </c>
      <c r="K256" s="10">
        <v>5</v>
      </c>
      <c r="L256" s="10">
        <v>5</v>
      </c>
      <c r="M256" s="10">
        <v>5</v>
      </c>
      <c r="N256" s="10">
        <v>5</v>
      </c>
      <c r="O256" s="10">
        <v>5</v>
      </c>
      <c r="P256" s="10">
        <v>5</v>
      </c>
      <c r="Q256" s="10">
        <v>2</v>
      </c>
      <c r="R256" s="10">
        <v>5</v>
      </c>
      <c r="S256" s="10">
        <f t="shared" si="106"/>
        <v>1</v>
      </c>
      <c r="T256" s="10">
        <f t="shared" si="107"/>
        <v>1</v>
      </c>
      <c r="U256" s="10">
        <f t="shared" si="108"/>
        <v>1</v>
      </c>
      <c r="V256" s="10">
        <f t="shared" si="109"/>
        <v>1</v>
      </c>
      <c r="W256" s="10">
        <f t="shared" si="110"/>
        <v>1</v>
      </c>
      <c r="X256" s="10">
        <f t="shared" si="111"/>
        <v>1</v>
      </c>
      <c r="Y256" s="10">
        <f t="shared" si="112"/>
        <v>0.25</v>
      </c>
      <c r="Z256" s="10">
        <f t="shared" si="113"/>
        <v>1</v>
      </c>
      <c r="AA256" s="10">
        <f t="shared" si="114"/>
        <v>1</v>
      </c>
      <c r="AB256" s="10">
        <f t="shared" si="115"/>
        <v>1</v>
      </c>
      <c r="AC256" s="10">
        <f t="shared" si="116"/>
        <v>1</v>
      </c>
      <c r="AD256" s="10">
        <f t="shared" si="117"/>
        <v>1</v>
      </c>
      <c r="AE256" s="10">
        <f t="shared" si="118"/>
        <v>1</v>
      </c>
      <c r="AF256" s="10">
        <f t="shared" si="119"/>
        <v>1</v>
      </c>
      <c r="AG256" s="10">
        <f t="shared" si="120"/>
        <v>0.25</v>
      </c>
      <c r="AH256" s="10">
        <f t="shared" si="121"/>
        <v>1</v>
      </c>
      <c r="AI256" s="10">
        <f>IF(OR(S256="",'4_BENCHMARK'!$C$4=""),"",ABS(S256-'4_BENCHMARK'!$C$4))</f>
        <v>0</v>
      </c>
      <c r="AJ256" s="10">
        <f>IF(OR(T256="",'4_BENCHMARK'!$C$5=""),"",ABS(T256-'4_BENCHMARK'!$C$5))</f>
        <v>0</v>
      </c>
      <c r="AK256" s="10">
        <f>IF(OR(U256="",'4_BENCHMARK'!$C$6=""),"",ABS(U256-'4_BENCHMARK'!$C$6))</f>
        <v>0</v>
      </c>
      <c r="AL256" s="10">
        <f>IF(OR(V256="",'4_BENCHMARK'!$C$7=""),"",ABS(V256-'4_BENCHMARK'!$C$7))</f>
        <v>0</v>
      </c>
      <c r="AM256" s="10">
        <f>IF(OR(W256="",'4_BENCHMARK'!$C$8=""),"",ABS(W256-'4_BENCHMARK'!$C$8))</f>
        <v>1</v>
      </c>
      <c r="AN256" s="10">
        <f>IF(OR(X256="",'4_BENCHMARK'!$C$9=""),"",ABS(X256-'4_BENCHMARK'!$C$9))</f>
        <v>1</v>
      </c>
      <c r="AO256" s="10">
        <f>IF(OR(Y256="",'4_BENCHMARK'!$C$10=""),"",ABS(Y256-'4_BENCHMARK'!$C$10))</f>
        <v>0.25</v>
      </c>
      <c r="AP256" s="10">
        <f>IF(OR(Z256="",'4_BENCHMARK'!$C$11=""),"",ABS(Z256-'4_BENCHMARK'!$C$11))</f>
        <v>0</v>
      </c>
      <c r="AQ256" s="13">
        <f t="shared" si="122"/>
        <v>0.71875</v>
      </c>
      <c r="AR256" s="10"/>
      <c r="AS256" s="36" t="s">
        <v>149</v>
      </c>
      <c r="AT256" s="13">
        <f t="shared" si="123"/>
        <v>0.958333333333333</v>
      </c>
      <c r="AU256" s="1">
        <f t="shared" si="124"/>
        <v>5</v>
      </c>
      <c r="AV256" s="1">
        <f t="shared" si="125"/>
        <v>5</v>
      </c>
      <c r="AW256" s="1">
        <f t="shared" si="126"/>
        <v>5</v>
      </c>
      <c r="AX256" s="1">
        <f t="shared" si="127"/>
        <v>5</v>
      </c>
      <c r="AY256" s="1">
        <f t="shared" si="128"/>
        <v>5</v>
      </c>
      <c r="AZ256" s="1">
        <f t="shared" si="129"/>
        <v>5</v>
      </c>
      <c r="BA256" s="1">
        <f t="shared" si="130"/>
        <v>2</v>
      </c>
      <c r="BB256" s="1">
        <f t="shared" si="131"/>
        <v>5</v>
      </c>
      <c r="BC256" s="1" t="str">
        <f t="shared" si="132"/>
        <v/>
      </c>
      <c r="BD256" s="1" t="str">
        <f t="shared" si="133"/>
        <v/>
      </c>
      <c r="BE256" s="1" t="str">
        <f t="shared" si="134"/>
        <v/>
      </c>
      <c r="BF256" s="1" t="str">
        <f t="shared" si="135"/>
        <v/>
      </c>
      <c r="BG256" s="1" t="str">
        <f t="shared" si="136"/>
        <v/>
      </c>
      <c r="BH256" s="1" t="str">
        <f t="shared" si="137"/>
        <v/>
      </c>
      <c r="BI256" s="1" t="str">
        <f t="shared" si="138"/>
        <v/>
      </c>
      <c r="BJ256" s="1" t="str">
        <f t="shared" si="139"/>
        <v/>
      </c>
    </row>
    <row r="257" ht="14.25" customHeight="1" spans="1:62">
      <c r="A257" s="10">
        <v>253</v>
      </c>
      <c r="B257" s="10" t="s">
        <v>912</v>
      </c>
      <c r="C257" s="10">
        <v>1940</v>
      </c>
      <c r="D257" s="10">
        <f t="shared" si="105"/>
        <v>1940</v>
      </c>
      <c r="E257" s="10" t="s">
        <v>801</v>
      </c>
      <c r="F257" s="35" t="s">
        <v>915</v>
      </c>
      <c r="G257" s="10" t="s">
        <v>916</v>
      </c>
      <c r="H257" s="10" t="s">
        <v>139</v>
      </c>
      <c r="I257" s="10" t="s">
        <v>140</v>
      </c>
      <c r="J257" s="10" t="s">
        <v>545</v>
      </c>
      <c r="K257" s="10">
        <v>5</v>
      </c>
      <c r="L257" s="10">
        <v>5</v>
      </c>
      <c r="M257" s="10">
        <v>5</v>
      </c>
      <c r="N257" s="10">
        <v>5</v>
      </c>
      <c r="O257" s="10">
        <v>5</v>
      </c>
      <c r="P257" s="10">
        <v>5</v>
      </c>
      <c r="Q257" s="10">
        <v>2</v>
      </c>
      <c r="R257" s="10">
        <v>5</v>
      </c>
      <c r="S257" s="10">
        <f t="shared" si="106"/>
        <v>1</v>
      </c>
      <c r="T257" s="10">
        <f t="shared" si="107"/>
        <v>1</v>
      </c>
      <c r="U257" s="10">
        <f t="shared" si="108"/>
        <v>1</v>
      </c>
      <c r="V257" s="10">
        <f t="shared" si="109"/>
        <v>1</v>
      </c>
      <c r="W257" s="10">
        <f t="shared" si="110"/>
        <v>1</v>
      </c>
      <c r="X257" s="10">
        <f t="shared" si="111"/>
        <v>1</v>
      </c>
      <c r="Y257" s="10">
        <f t="shared" si="112"/>
        <v>0.25</v>
      </c>
      <c r="Z257" s="10">
        <f t="shared" si="113"/>
        <v>1</v>
      </c>
      <c r="AA257" s="10">
        <f t="shared" si="114"/>
        <v>1</v>
      </c>
      <c r="AB257" s="10">
        <f t="shared" si="115"/>
        <v>1</v>
      </c>
      <c r="AC257" s="10">
        <f t="shared" si="116"/>
        <v>1</v>
      </c>
      <c r="AD257" s="10">
        <f t="shared" si="117"/>
        <v>1</v>
      </c>
      <c r="AE257" s="10">
        <f t="shared" si="118"/>
        <v>1</v>
      </c>
      <c r="AF257" s="10">
        <f t="shared" si="119"/>
        <v>1</v>
      </c>
      <c r="AG257" s="10">
        <f t="shared" si="120"/>
        <v>0.25</v>
      </c>
      <c r="AH257" s="10">
        <f t="shared" si="121"/>
        <v>1</v>
      </c>
      <c r="AI257" s="10">
        <f>IF(OR(S257="",'4_BENCHMARK'!$C$4=""),"",ABS(S257-'4_BENCHMARK'!$C$4))</f>
        <v>0</v>
      </c>
      <c r="AJ257" s="10">
        <f>IF(OR(T257="",'4_BENCHMARK'!$C$5=""),"",ABS(T257-'4_BENCHMARK'!$C$5))</f>
        <v>0</v>
      </c>
      <c r="AK257" s="10">
        <f>IF(OR(U257="",'4_BENCHMARK'!$C$6=""),"",ABS(U257-'4_BENCHMARK'!$C$6))</f>
        <v>0</v>
      </c>
      <c r="AL257" s="10">
        <f>IF(OR(V257="",'4_BENCHMARK'!$C$7=""),"",ABS(V257-'4_BENCHMARK'!$C$7))</f>
        <v>0</v>
      </c>
      <c r="AM257" s="10">
        <f>IF(OR(W257="",'4_BENCHMARK'!$C$8=""),"",ABS(W257-'4_BENCHMARK'!$C$8))</f>
        <v>1</v>
      </c>
      <c r="AN257" s="10">
        <f>IF(OR(X257="",'4_BENCHMARK'!$C$9=""),"",ABS(X257-'4_BENCHMARK'!$C$9))</f>
        <v>1</v>
      </c>
      <c r="AO257" s="10">
        <f>IF(OR(Y257="",'4_BENCHMARK'!$C$10=""),"",ABS(Y257-'4_BENCHMARK'!$C$10))</f>
        <v>0.25</v>
      </c>
      <c r="AP257" s="10">
        <f>IF(OR(Z257="",'4_BENCHMARK'!$C$11=""),"",ABS(Z257-'4_BENCHMARK'!$C$11))</f>
        <v>0</v>
      </c>
      <c r="AQ257" s="13">
        <f t="shared" si="122"/>
        <v>0.71875</v>
      </c>
      <c r="AR257" s="10"/>
      <c r="AS257" s="36" t="s">
        <v>149</v>
      </c>
      <c r="AT257" s="13">
        <f t="shared" si="123"/>
        <v>0.958333333333333</v>
      </c>
      <c r="AU257" s="1">
        <f t="shared" si="124"/>
        <v>5</v>
      </c>
      <c r="AV257" s="1">
        <f t="shared" si="125"/>
        <v>5</v>
      </c>
      <c r="AW257" s="1">
        <f t="shared" si="126"/>
        <v>5</v>
      </c>
      <c r="AX257" s="1">
        <f t="shared" si="127"/>
        <v>5</v>
      </c>
      <c r="AY257" s="1">
        <f t="shared" si="128"/>
        <v>5</v>
      </c>
      <c r="AZ257" s="1">
        <f t="shared" si="129"/>
        <v>5</v>
      </c>
      <c r="BA257" s="1">
        <f t="shared" si="130"/>
        <v>2</v>
      </c>
      <c r="BB257" s="1">
        <f t="shared" si="131"/>
        <v>5</v>
      </c>
      <c r="BC257" s="1" t="str">
        <f t="shared" si="132"/>
        <v/>
      </c>
      <c r="BD257" s="1" t="str">
        <f t="shared" si="133"/>
        <v/>
      </c>
      <c r="BE257" s="1" t="str">
        <f t="shared" si="134"/>
        <v/>
      </c>
      <c r="BF257" s="1" t="str">
        <f t="shared" si="135"/>
        <v/>
      </c>
      <c r="BG257" s="1" t="str">
        <f t="shared" si="136"/>
        <v/>
      </c>
      <c r="BH257" s="1" t="str">
        <f t="shared" si="137"/>
        <v/>
      </c>
      <c r="BI257" s="1" t="str">
        <f t="shared" si="138"/>
        <v/>
      </c>
      <c r="BJ257" s="1" t="str">
        <f t="shared" si="139"/>
        <v/>
      </c>
    </row>
    <row r="258" ht="14.25" customHeight="1" spans="1:62">
      <c r="A258" s="10">
        <v>254</v>
      </c>
      <c r="B258" s="10" t="s">
        <v>917</v>
      </c>
      <c r="C258" s="10">
        <v>1940</v>
      </c>
      <c r="D258" s="10">
        <f t="shared" si="105"/>
        <v>1940</v>
      </c>
      <c r="E258" s="10" t="s">
        <v>801</v>
      </c>
      <c r="F258" s="35" t="s">
        <v>918</v>
      </c>
      <c r="G258" s="10" t="s">
        <v>919</v>
      </c>
      <c r="H258" s="10" t="s">
        <v>139</v>
      </c>
      <c r="I258" s="10" t="s">
        <v>140</v>
      </c>
      <c r="J258" s="10" t="s">
        <v>545</v>
      </c>
      <c r="K258" s="10">
        <v>5</v>
      </c>
      <c r="L258" s="10">
        <v>5</v>
      </c>
      <c r="M258" s="10">
        <v>5</v>
      </c>
      <c r="N258" s="10">
        <v>5</v>
      </c>
      <c r="O258" s="10">
        <v>5</v>
      </c>
      <c r="P258" s="10">
        <v>5</v>
      </c>
      <c r="Q258" s="10">
        <v>3</v>
      </c>
      <c r="R258" s="10">
        <v>5</v>
      </c>
      <c r="S258" s="10">
        <f t="shared" si="106"/>
        <v>1</v>
      </c>
      <c r="T258" s="10">
        <f t="shared" si="107"/>
        <v>1</v>
      </c>
      <c r="U258" s="10">
        <f t="shared" si="108"/>
        <v>1</v>
      </c>
      <c r="V258" s="10">
        <f t="shared" si="109"/>
        <v>1</v>
      </c>
      <c r="W258" s="10">
        <f t="shared" si="110"/>
        <v>1</v>
      </c>
      <c r="X258" s="10">
        <f t="shared" si="111"/>
        <v>1</v>
      </c>
      <c r="Y258" s="10">
        <f t="shared" si="112"/>
        <v>0.5</v>
      </c>
      <c r="Z258" s="10">
        <f t="shared" si="113"/>
        <v>1</v>
      </c>
      <c r="AA258" s="10">
        <f t="shared" si="114"/>
        <v>1</v>
      </c>
      <c r="AB258" s="10">
        <f t="shared" si="115"/>
        <v>1</v>
      </c>
      <c r="AC258" s="10">
        <f t="shared" si="116"/>
        <v>1</v>
      </c>
      <c r="AD258" s="10">
        <f t="shared" si="117"/>
        <v>1</v>
      </c>
      <c r="AE258" s="10">
        <f t="shared" si="118"/>
        <v>1</v>
      </c>
      <c r="AF258" s="10">
        <f t="shared" si="119"/>
        <v>1</v>
      </c>
      <c r="AG258" s="10">
        <f t="shared" si="120"/>
        <v>0.5</v>
      </c>
      <c r="AH258" s="10">
        <f t="shared" si="121"/>
        <v>1</v>
      </c>
      <c r="AI258" s="10">
        <f>IF(OR(S258="",'4_BENCHMARK'!$C$4=""),"",ABS(S258-'4_BENCHMARK'!$C$4))</f>
        <v>0</v>
      </c>
      <c r="AJ258" s="10">
        <f>IF(OR(T258="",'4_BENCHMARK'!$C$5=""),"",ABS(T258-'4_BENCHMARK'!$C$5))</f>
        <v>0</v>
      </c>
      <c r="AK258" s="10">
        <f>IF(OR(U258="",'4_BENCHMARK'!$C$6=""),"",ABS(U258-'4_BENCHMARK'!$C$6))</f>
        <v>0</v>
      </c>
      <c r="AL258" s="10">
        <f>IF(OR(V258="",'4_BENCHMARK'!$C$7=""),"",ABS(V258-'4_BENCHMARK'!$C$7))</f>
        <v>0</v>
      </c>
      <c r="AM258" s="10">
        <f>IF(OR(W258="",'4_BENCHMARK'!$C$8=""),"",ABS(W258-'4_BENCHMARK'!$C$8))</f>
        <v>1</v>
      </c>
      <c r="AN258" s="10">
        <f>IF(OR(X258="",'4_BENCHMARK'!$C$9=""),"",ABS(X258-'4_BENCHMARK'!$C$9))</f>
        <v>1</v>
      </c>
      <c r="AO258" s="10">
        <f>IF(OR(Y258="",'4_BENCHMARK'!$C$10=""),"",ABS(Y258-'4_BENCHMARK'!$C$10))</f>
        <v>0</v>
      </c>
      <c r="AP258" s="10">
        <f>IF(OR(Z258="",'4_BENCHMARK'!$C$11=""),"",ABS(Z258-'4_BENCHMARK'!$C$11))</f>
        <v>0</v>
      </c>
      <c r="AQ258" s="13">
        <f t="shared" si="122"/>
        <v>0.75</v>
      </c>
      <c r="AR258" s="10"/>
      <c r="AS258" s="36" t="s">
        <v>141</v>
      </c>
      <c r="AT258" s="13">
        <f t="shared" si="123"/>
        <v>1</v>
      </c>
      <c r="AU258" s="1">
        <f t="shared" si="124"/>
        <v>5</v>
      </c>
      <c r="AV258" s="1">
        <f t="shared" si="125"/>
        <v>5</v>
      </c>
      <c r="AW258" s="1">
        <f t="shared" si="126"/>
        <v>5</v>
      </c>
      <c r="AX258" s="1">
        <f t="shared" si="127"/>
        <v>5</v>
      </c>
      <c r="AY258" s="1">
        <f t="shared" si="128"/>
        <v>5</v>
      </c>
      <c r="AZ258" s="1">
        <f t="shared" si="129"/>
        <v>5</v>
      </c>
      <c r="BA258" s="1">
        <f t="shared" si="130"/>
        <v>3</v>
      </c>
      <c r="BB258" s="1">
        <f t="shared" si="131"/>
        <v>5</v>
      </c>
      <c r="BC258" s="1" t="str">
        <f t="shared" si="132"/>
        <v/>
      </c>
      <c r="BD258" s="1" t="str">
        <f t="shared" si="133"/>
        <v/>
      </c>
      <c r="BE258" s="1" t="str">
        <f t="shared" si="134"/>
        <v/>
      </c>
      <c r="BF258" s="1" t="str">
        <f t="shared" si="135"/>
        <v/>
      </c>
      <c r="BG258" s="1" t="str">
        <f t="shared" si="136"/>
        <v/>
      </c>
      <c r="BH258" s="1" t="str">
        <f t="shared" si="137"/>
        <v/>
      </c>
      <c r="BI258" s="1" t="str">
        <f t="shared" si="138"/>
        <v/>
      </c>
      <c r="BJ258" s="1" t="str">
        <f t="shared" si="139"/>
        <v/>
      </c>
    </row>
    <row r="259" ht="14.25" customHeight="1" spans="1:62">
      <c r="A259" s="10">
        <v>255</v>
      </c>
      <c r="B259" s="10" t="s">
        <v>920</v>
      </c>
      <c r="C259" s="10">
        <v>1945</v>
      </c>
      <c r="D259" s="10">
        <f t="shared" si="105"/>
        <v>1940</v>
      </c>
      <c r="E259" s="10" t="s">
        <v>801</v>
      </c>
      <c r="F259" s="35" t="s">
        <v>921</v>
      </c>
      <c r="G259" s="10" t="s">
        <v>922</v>
      </c>
      <c r="H259" s="10" t="s">
        <v>139</v>
      </c>
      <c r="I259" s="10" t="s">
        <v>140</v>
      </c>
      <c r="J259" s="10" t="s">
        <v>923</v>
      </c>
      <c r="K259" s="10">
        <v>5</v>
      </c>
      <c r="L259" s="10">
        <v>5</v>
      </c>
      <c r="M259" s="10">
        <v>5</v>
      </c>
      <c r="N259" s="10">
        <v>5</v>
      </c>
      <c r="O259" s="10">
        <v>5</v>
      </c>
      <c r="P259" s="10">
        <v>5</v>
      </c>
      <c r="Q259" s="10">
        <v>2</v>
      </c>
      <c r="R259" s="10">
        <v>5</v>
      </c>
      <c r="S259" s="10">
        <f t="shared" si="106"/>
        <v>1</v>
      </c>
      <c r="T259" s="10">
        <f t="shared" si="107"/>
        <v>1</v>
      </c>
      <c r="U259" s="10">
        <f t="shared" si="108"/>
        <v>1</v>
      </c>
      <c r="V259" s="10">
        <f t="shared" si="109"/>
        <v>1</v>
      </c>
      <c r="W259" s="10">
        <f t="shared" si="110"/>
        <v>1</v>
      </c>
      <c r="X259" s="10">
        <f t="shared" si="111"/>
        <v>1</v>
      </c>
      <c r="Y259" s="10">
        <f t="shared" si="112"/>
        <v>0.25</v>
      </c>
      <c r="Z259" s="10">
        <f t="shared" si="113"/>
        <v>1</v>
      </c>
      <c r="AA259" s="10">
        <f t="shared" si="114"/>
        <v>1</v>
      </c>
      <c r="AB259" s="10">
        <f t="shared" si="115"/>
        <v>1</v>
      </c>
      <c r="AC259" s="10">
        <f t="shared" si="116"/>
        <v>1</v>
      </c>
      <c r="AD259" s="10">
        <f t="shared" si="117"/>
        <v>1</v>
      </c>
      <c r="AE259" s="10">
        <f t="shared" si="118"/>
        <v>1</v>
      </c>
      <c r="AF259" s="10">
        <f t="shared" si="119"/>
        <v>1</v>
      </c>
      <c r="AG259" s="10">
        <f t="shared" si="120"/>
        <v>0.25</v>
      </c>
      <c r="AH259" s="10">
        <f t="shared" si="121"/>
        <v>1</v>
      </c>
      <c r="AI259" s="10">
        <f>IF(OR(S259="",'4_BENCHMARK'!$C$4=""),"",ABS(S259-'4_BENCHMARK'!$C$4))</f>
        <v>0</v>
      </c>
      <c r="AJ259" s="10">
        <f>IF(OR(T259="",'4_BENCHMARK'!$C$5=""),"",ABS(T259-'4_BENCHMARK'!$C$5))</f>
        <v>0</v>
      </c>
      <c r="AK259" s="10">
        <f>IF(OR(U259="",'4_BENCHMARK'!$C$6=""),"",ABS(U259-'4_BENCHMARK'!$C$6))</f>
        <v>0</v>
      </c>
      <c r="AL259" s="10">
        <f>IF(OR(V259="",'4_BENCHMARK'!$C$7=""),"",ABS(V259-'4_BENCHMARK'!$C$7))</f>
        <v>0</v>
      </c>
      <c r="AM259" s="10">
        <f>IF(OR(W259="",'4_BENCHMARK'!$C$8=""),"",ABS(W259-'4_BENCHMARK'!$C$8))</f>
        <v>1</v>
      </c>
      <c r="AN259" s="10">
        <f>IF(OR(X259="",'4_BENCHMARK'!$C$9=""),"",ABS(X259-'4_BENCHMARK'!$C$9))</f>
        <v>1</v>
      </c>
      <c r="AO259" s="10">
        <f>IF(OR(Y259="",'4_BENCHMARK'!$C$10=""),"",ABS(Y259-'4_BENCHMARK'!$C$10))</f>
        <v>0.25</v>
      </c>
      <c r="AP259" s="10">
        <f>IF(OR(Z259="",'4_BENCHMARK'!$C$11=""),"",ABS(Z259-'4_BENCHMARK'!$C$11))</f>
        <v>0</v>
      </c>
      <c r="AQ259" s="13">
        <f t="shared" si="122"/>
        <v>0.71875</v>
      </c>
      <c r="AR259" s="10"/>
      <c r="AS259" s="36" t="s">
        <v>141</v>
      </c>
      <c r="AT259" s="13">
        <f t="shared" si="123"/>
        <v>0.958333333333333</v>
      </c>
      <c r="AU259" s="1">
        <f t="shared" si="124"/>
        <v>5</v>
      </c>
      <c r="AV259" s="1">
        <f t="shared" si="125"/>
        <v>5</v>
      </c>
      <c r="AW259" s="1">
        <f t="shared" si="126"/>
        <v>5</v>
      </c>
      <c r="AX259" s="1">
        <f t="shared" si="127"/>
        <v>5</v>
      </c>
      <c r="AY259" s="1">
        <f t="shared" si="128"/>
        <v>5</v>
      </c>
      <c r="AZ259" s="1">
        <f t="shared" si="129"/>
        <v>5</v>
      </c>
      <c r="BA259" s="1">
        <f t="shared" si="130"/>
        <v>2</v>
      </c>
      <c r="BB259" s="1">
        <f t="shared" si="131"/>
        <v>5</v>
      </c>
      <c r="BC259" s="1" t="str">
        <f t="shared" si="132"/>
        <v/>
      </c>
      <c r="BD259" s="1" t="str">
        <f t="shared" si="133"/>
        <v/>
      </c>
      <c r="BE259" s="1" t="str">
        <f t="shared" si="134"/>
        <v/>
      </c>
      <c r="BF259" s="1" t="str">
        <f t="shared" si="135"/>
        <v/>
      </c>
      <c r="BG259" s="1" t="str">
        <f t="shared" si="136"/>
        <v/>
      </c>
      <c r="BH259" s="1" t="str">
        <f t="shared" si="137"/>
        <v/>
      </c>
      <c r="BI259" s="1" t="str">
        <f t="shared" si="138"/>
        <v/>
      </c>
      <c r="BJ259" s="1" t="str">
        <f t="shared" si="139"/>
        <v/>
      </c>
    </row>
    <row r="260" ht="14.25" customHeight="1" spans="1:62">
      <c r="A260" s="10">
        <v>256</v>
      </c>
      <c r="B260" s="10" t="s">
        <v>924</v>
      </c>
      <c r="C260" s="10">
        <v>1940</v>
      </c>
      <c r="D260" s="10">
        <f t="shared" si="105"/>
        <v>1940</v>
      </c>
      <c r="E260" s="10" t="s">
        <v>801</v>
      </c>
      <c r="F260" s="35" t="s">
        <v>925</v>
      </c>
      <c r="G260" s="10" t="s">
        <v>926</v>
      </c>
      <c r="H260" s="10" t="s">
        <v>139</v>
      </c>
      <c r="I260" s="10" t="s">
        <v>140</v>
      </c>
      <c r="J260" s="10" t="s">
        <v>545</v>
      </c>
      <c r="K260" s="10">
        <v>5</v>
      </c>
      <c r="L260" s="10">
        <v>5</v>
      </c>
      <c r="M260" s="10">
        <v>5</v>
      </c>
      <c r="N260" s="10">
        <v>5</v>
      </c>
      <c r="O260" s="10">
        <v>5</v>
      </c>
      <c r="P260" s="10">
        <v>5</v>
      </c>
      <c r="Q260" s="10">
        <v>3</v>
      </c>
      <c r="R260" s="10">
        <v>5</v>
      </c>
      <c r="S260" s="10">
        <f t="shared" si="106"/>
        <v>1</v>
      </c>
      <c r="T260" s="10">
        <f t="shared" si="107"/>
        <v>1</v>
      </c>
      <c r="U260" s="10">
        <f t="shared" si="108"/>
        <v>1</v>
      </c>
      <c r="V260" s="10">
        <f t="shared" si="109"/>
        <v>1</v>
      </c>
      <c r="W260" s="10">
        <f t="shared" si="110"/>
        <v>1</v>
      </c>
      <c r="X260" s="10">
        <f t="shared" si="111"/>
        <v>1</v>
      </c>
      <c r="Y260" s="10">
        <f t="shared" si="112"/>
        <v>0.5</v>
      </c>
      <c r="Z260" s="10">
        <f t="shared" si="113"/>
        <v>1</v>
      </c>
      <c r="AA260" s="10">
        <f t="shared" si="114"/>
        <v>1</v>
      </c>
      <c r="AB260" s="10">
        <f t="shared" si="115"/>
        <v>1</v>
      </c>
      <c r="AC260" s="10">
        <f t="shared" si="116"/>
        <v>1</v>
      </c>
      <c r="AD260" s="10">
        <f t="shared" si="117"/>
        <v>1</v>
      </c>
      <c r="AE260" s="10">
        <f t="shared" si="118"/>
        <v>1</v>
      </c>
      <c r="AF260" s="10">
        <f t="shared" si="119"/>
        <v>1</v>
      </c>
      <c r="AG260" s="10">
        <f t="shared" si="120"/>
        <v>0.5</v>
      </c>
      <c r="AH260" s="10">
        <f t="shared" si="121"/>
        <v>1</v>
      </c>
      <c r="AI260" s="10">
        <f>IF(OR(S260="",'4_BENCHMARK'!$C$4=""),"",ABS(S260-'4_BENCHMARK'!$C$4))</f>
        <v>0</v>
      </c>
      <c r="AJ260" s="10">
        <f>IF(OR(T260="",'4_BENCHMARK'!$C$5=""),"",ABS(T260-'4_BENCHMARK'!$C$5))</f>
        <v>0</v>
      </c>
      <c r="AK260" s="10">
        <f>IF(OR(U260="",'4_BENCHMARK'!$C$6=""),"",ABS(U260-'4_BENCHMARK'!$C$6))</f>
        <v>0</v>
      </c>
      <c r="AL260" s="10">
        <f>IF(OR(V260="",'4_BENCHMARK'!$C$7=""),"",ABS(V260-'4_BENCHMARK'!$C$7))</f>
        <v>0</v>
      </c>
      <c r="AM260" s="10">
        <f>IF(OR(W260="",'4_BENCHMARK'!$C$8=""),"",ABS(W260-'4_BENCHMARK'!$C$8))</f>
        <v>1</v>
      </c>
      <c r="AN260" s="10">
        <f>IF(OR(X260="",'4_BENCHMARK'!$C$9=""),"",ABS(X260-'4_BENCHMARK'!$C$9))</f>
        <v>1</v>
      </c>
      <c r="AO260" s="10">
        <f>IF(OR(Y260="",'4_BENCHMARK'!$C$10=""),"",ABS(Y260-'4_BENCHMARK'!$C$10))</f>
        <v>0</v>
      </c>
      <c r="AP260" s="10">
        <f>IF(OR(Z260="",'4_BENCHMARK'!$C$11=""),"",ABS(Z260-'4_BENCHMARK'!$C$11))</f>
        <v>0</v>
      </c>
      <c r="AQ260" s="13">
        <f t="shared" si="122"/>
        <v>0.75</v>
      </c>
      <c r="AR260" s="10"/>
      <c r="AS260" s="36" t="s">
        <v>149</v>
      </c>
      <c r="AT260" s="13">
        <f t="shared" si="123"/>
        <v>1</v>
      </c>
      <c r="AU260" s="1">
        <f t="shared" si="124"/>
        <v>5</v>
      </c>
      <c r="AV260" s="1">
        <f t="shared" si="125"/>
        <v>5</v>
      </c>
      <c r="AW260" s="1">
        <f t="shared" si="126"/>
        <v>5</v>
      </c>
      <c r="AX260" s="1">
        <f t="shared" si="127"/>
        <v>5</v>
      </c>
      <c r="AY260" s="1">
        <f t="shared" si="128"/>
        <v>5</v>
      </c>
      <c r="AZ260" s="1">
        <f t="shared" si="129"/>
        <v>5</v>
      </c>
      <c r="BA260" s="1">
        <f t="shared" si="130"/>
        <v>3</v>
      </c>
      <c r="BB260" s="1">
        <f t="shared" si="131"/>
        <v>5</v>
      </c>
      <c r="BC260" s="1" t="str">
        <f t="shared" si="132"/>
        <v/>
      </c>
      <c r="BD260" s="1" t="str">
        <f t="shared" si="133"/>
        <v/>
      </c>
      <c r="BE260" s="1" t="str">
        <f t="shared" si="134"/>
        <v/>
      </c>
      <c r="BF260" s="1" t="str">
        <f t="shared" si="135"/>
        <v/>
      </c>
      <c r="BG260" s="1" t="str">
        <f t="shared" si="136"/>
        <v/>
      </c>
      <c r="BH260" s="1" t="str">
        <f t="shared" si="137"/>
        <v/>
      </c>
      <c r="BI260" s="1" t="str">
        <f t="shared" si="138"/>
        <v/>
      </c>
      <c r="BJ260" s="1" t="str">
        <f t="shared" si="139"/>
        <v/>
      </c>
    </row>
    <row r="261" ht="14.25" customHeight="1" spans="1:62">
      <c r="A261" s="10">
        <v>257</v>
      </c>
      <c r="B261" s="10" t="s">
        <v>927</v>
      </c>
      <c r="C261" s="10">
        <v>1940</v>
      </c>
      <c r="D261" s="10">
        <f t="shared" ref="D261:D295" si="140">IF(C261="","",FLOOR(C261,10))</f>
        <v>1940</v>
      </c>
      <c r="E261" s="10" t="s">
        <v>801</v>
      </c>
      <c r="F261" s="35" t="s">
        <v>913</v>
      </c>
      <c r="G261" s="10" t="s">
        <v>928</v>
      </c>
      <c r="H261" s="10" t="s">
        <v>139</v>
      </c>
      <c r="I261" s="10" t="s">
        <v>140</v>
      </c>
      <c r="J261" s="10" t="s">
        <v>545</v>
      </c>
      <c r="K261" s="10">
        <v>5</v>
      </c>
      <c r="L261" s="10">
        <v>5</v>
      </c>
      <c r="M261" s="10">
        <v>5</v>
      </c>
      <c r="N261" s="10">
        <v>5</v>
      </c>
      <c r="O261" s="10">
        <v>5</v>
      </c>
      <c r="P261" s="10">
        <v>5</v>
      </c>
      <c r="Q261" s="10">
        <v>2</v>
      </c>
      <c r="R261" s="10">
        <v>5</v>
      </c>
      <c r="S261" s="10">
        <f t="shared" ref="S261:S324" si="141">IF(K261="","",(K261-1)/4)</f>
        <v>1</v>
      </c>
      <c r="T261" s="10">
        <f t="shared" ref="T261:T324" si="142">IF(L261="","",(L261-1)/4)</f>
        <v>1</v>
      </c>
      <c r="U261" s="10">
        <f t="shared" ref="U261:U324" si="143">IF(M261="","",(M261-1)/4)</f>
        <v>1</v>
      </c>
      <c r="V261" s="10">
        <f t="shared" ref="V261:V324" si="144">IF(N261="","",(N261-1)/4)</f>
        <v>1</v>
      </c>
      <c r="W261" s="10">
        <f t="shared" ref="W261:W324" si="145">IF(O261="","",(O261-1)/4)</f>
        <v>1</v>
      </c>
      <c r="X261" s="10">
        <f t="shared" ref="X261:X324" si="146">IF(P261="","",(P261-1)/4)</f>
        <v>1</v>
      </c>
      <c r="Y261" s="10">
        <f t="shared" ref="Y261:Y324" si="147">IF(Q261="","",(Q261-1)/4)</f>
        <v>0.25</v>
      </c>
      <c r="Z261" s="10">
        <f t="shared" ref="Z261:Z324" si="148">IF(R261="","",(R261-1)/4)</f>
        <v>1</v>
      </c>
      <c r="AA261" s="10">
        <f t="shared" ref="AA261:AA324" si="149">IF(AND(S261&lt;&gt;"",C261&lt;=1949,I261="yes"),S261,"")</f>
        <v>1</v>
      </c>
      <c r="AB261" s="10">
        <f t="shared" ref="AB261:AB324" si="150">IF(AND(T261&lt;&gt;"",C261&lt;=1949,I261="yes"),T261,"")</f>
        <v>1</v>
      </c>
      <c r="AC261" s="10">
        <f t="shared" ref="AC261:AC324" si="151">IF(AND(U261&lt;&gt;"",C261&lt;=1949,I261="yes"),U261,"")</f>
        <v>1</v>
      </c>
      <c r="AD261" s="10">
        <f t="shared" ref="AD261:AD324" si="152">IF(AND(V261&lt;&gt;"",C261&lt;=1949,I261="yes"),V261,"")</f>
        <v>1</v>
      </c>
      <c r="AE261" s="10">
        <f t="shared" ref="AE261:AE324" si="153">IF(AND(W261&lt;&gt;"",C261&lt;=1949,I261="yes"),W261,"")</f>
        <v>1</v>
      </c>
      <c r="AF261" s="10">
        <f t="shared" ref="AF261:AF324" si="154">IF(AND(X261&lt;&gt;"",C261&lt;=1949,I261="yes"),X261,"")</f>
        <v>1</v>
      </c>
      <c r="AG261" s="10">
        <f t="shared" ref="AG261:AG324" si="155">IF(AND(Y261&lt;&gt;"",C261&lt;=1949,I261="yes"),Y261,"")</f>
        <v>0.25</v>
      </c>
      <c r="AH261" s="10">
        <f t="shared" ref="AH261:AH324" si="156">IF(AND(Z261&lt;&gt;"",C261&lt;=1949,I261="yes"),Z261,"")</f>
        <v>1</v>
      </c>
      <c r="AI261" s="10">
        <f>IF(OR(S261="",'4_BENCHMARK'!$C$4=""),"",ABS(S261-'4_BENCHMARK'!$C$4))</f>
        <v>0</v>
      </c>
      <c r="AJ261" s="10">
        <f>IF(OR(T261="",'4_BENCHMARK'!$C$5=""),"",ABS(T261-'4_BENCHMARK'!$C$5))</f>
        <v>0</v>
      </c>
      <c r="AK261" s="10">
        <f>IF(OR(U261="",'4_BENCHMARK'!$C$6=""),"",ABS(U261-'4_BENCHMARK'!$C$6))</f>
        <v>0</v>
      </c>
      <c r="AL261" s="10">
        <f>IF(OR(V261="",'4_BENCHMARK'!$C$7=""),"",ABS(V261-'4_BENCHMARK'!$C$7))</f>
        <v>0</v>
      </c>
      <c r="AM261" s="10">
        <f>IF(OR(W261="",'4_BENCHMARK'!$C$8=""),"",ABS(W261-'4_BENCHMARK'!$C$8))</f>
        <v>1</v>
      </c>
      <c r="AN261" s="10">
        <f>IF(OR(X261="",'4_BENCHMARK'!$C$9=""),"",ABS(X261-'4_BENCHMARK'!$C$9))</f>
        <v>1</v>
      </c>
      <c r="AO261" s="10">
        <f>IF(OR(Y261="",'4_BENCHMARK'!$C$10=""),"",ABS(Y261-'4_BENCHMARK'!$C$10))</f>
        <v>0.25</v>
      </c>
      <c r="AP261" s="10">
        <f>IF(OR(Z261="",'4_BENCHMARK'!$C$11=""),"",ABS(Z261-'4_BENCHMARK'!$C$11))</f>
        <v>0</v>
      </c>
      <c r="AQ261" s="13">
        <f t="shared" ref="AQ261:AQ324" si="157">IF(COUNT(AI261:AP261)&lt;8,"",1-AVERAGE(AI261:AP261))</f>
        <v>0.71875</v>
      </c>
      <c r="AR261" s="10"/>
      <c r="AS261" s="36" t="s">
        <v>149</v>
      </c>
      <c r="AT261" s="13">
        <f t="shared" ref="AT261:AT324" si="158">IF(COUNT(AI261:AL261,AO261:AP261)&lt;6,"",1-AVERAGE(AI261:AL261,AO261:AP261))</f>
        <v>0.958333333333333</v>
      </c>
      <c r="AU261" s="1">
        <f t="shared" ref="AU261:AU324" si="159">IF(AND($I261="yes",$C261&lt;=1949,K261&lt;&gt;""),K261,"")</f>
        <v>5</v>
      </c>
      <c r="AV261" s="1">
        <f t="shared" ref="AV261:AV324" si="160">IF(AND($I261="yes",$C261&lt;=1949,L261&lt;&gt;""),L261,"")</f>
        <v>5</v>
      </c>
      <c r="AW261" s="1">
        <f t="shared" ref="AW261:AW324" si="161">IF(AND($I261="yes",$C261&lt;=1949,M261&lt;&gt;""),M261,"")</f>
        <v>5</v>
      </c>
      <c r="AX261" s="1">
        <f t="shared" ref="AX261:AX324" si="162">IF(AND($I261="yes",$C261&lt;=1949,N261&lt;&gt;""),N261,"")</f>
        <v>5</v>
      </c>
      <c r="AY261" s="1">
        <f t="shared" ref="AY261:AY324" si="163">IF(AND($I261="yes",$C261&lt;=1949,O261&lt;&gt;""),O261,"")</f>
        <v>5</v>
      </c>
      <c r="AZ261" s="1">
        <f t="shared" ref="AZ261:AZ324" si="164">IF(AND($I261="yes",$C261&lt;=1949,P261&lt;&gt;""),P261,"")</f>
        <v>5</v>
      </c>
      <c r="BA261" s="1">
        <f t="shared" ref="BA261:BA324" si="165">IF(AND($I261="yes",$C261&lt;=1949,Q261&lt;&gt;""),Q261,"")</f>
        <v>2</v>
      </c>
      <c r="BB261" s="1">
        <f t="shared" ref="BB261:BB324" si="166">IF(AND($I261="yes",$C261&lt;=1949,R261&lt;&gt;""),R261,"")</f>
        <v>5</v>
      </c>
      <c r="BC261" s="1" t="str">
        <f t="shared" ref="BC261:BC324" si="167">IF(AND($I261="yes",$C261&gt;=2000,K261&lt;&gt;""),K261,"")</f>
        <v/>
      </c>
      <c r="BD261" s="1" t="str">
        <f t="shared" ref="BD261:BD324" si="168">IF(AND($I261="yes",$C261&gt;=2000,L261&lt;&gt;""),L261,"")</f>
        <v/>
      </c>
      <c r="BE261" s="1" t="str">
        <f t="shared" ref="BE261:BE324" si="169">IF(AND($I261="yes",$C261&gt;=2000,M261&lt;&gt;""),M261,"")</f>
        <v/>
      </c>
      <c r="BF261" s="1" t="str">
        <f t="shared" ref="BF261:BF324" si="170">IF(AND($I261="yes",$C261&gt;=2000,N261&lt;&gt;""),N261,"")</f>
        <v/>
      </c>
      <c r="BG261" s="1" t="str">
        <f t="shared" ref="BG261:BG324" si="171">IF(AND($I261="yes",$C261&gt;=2000,O261&lt;&gt;""),O261,"")</f>
        <v/>
      </c>
      <c r="BH261" s="1" t="str">
        <f t="shared" ref="BH261:BH324" si="172">IF(AND($I261="yes",$C261&gt;=2000,P261&lt;&gt;""),P261,"")</f>
        <v/>
      </c>
      <c r="BI261" s="1" t="str">
        <f t="shared" ref="BI261:BI324" si="173">IF(AND($I261="yes",$C261&gt;=2000,Q261&lt;&gt;""),Q261,"")</f>
        <v/>
      </c>
      <c r="BJ261" s="1" t="str">
        <f t="shared" ref="BJ261:BJ324" si="174">IF(AND($I261="yes",$C261&gt;=2000,R261&lt;&gt;""),R261,"")</f>
        <v/>
      </c>
    </row>
    <row r="262" ht="14.25" customHeight="1" spans="1:62">
      <c r="A262" s="10">
        <v>258</v>
      </c>
      <c r="B262" s="10" t="s">
        <v>929</v>
      </c>
      <c r="C262" s="10">
        <v>1910</v>
      </c>
      <c r="D262" s="10">
        <f t="shared" si="140"/>
        <v>1910</v>
      </c>
      <c r="E262" s="10" t="s">
        <v>930</v>
      </c>
      <c r="F262" s="35" t="s">
        <v>931</v>
      </c>
      <c r="G262" s="10" t="s">
        <v>932</v>
      </c>
      <c r="H262" s="10" t="s">
        <v>139</v>
      </c>
      <c r="I262" s="10" t="s">
        <v>140</v>
      </c>
      <c r="J262" s="10" t="s">
        <v>252</v>
      </c>
      <c r="K262" s="10">
        <v>5</v>
      </c>
      <c r="L262" s="10">
        <v>5</v>
      </c>
      <c r="M262" s="10">
        <v>5</v>
      </c>
      <c r="N262" s="10">
        <v>5</v>
      </c>
      <c r="O262" s="10">
        <v>5</v>
      </c>
      <c r="P262" s="10">
        <v>5</v>
      </c>
      <c r="Q262" s="10">
        <v>3</v>
      </c>
      <c r="R262" s="10">
        <v>5</v>
      </c>
      <c r="S262" s="10">
        <f t="shared" si="141"/>
        <v>1</v>
      </c>
      <c r="T262" s="10">
        <f t="shared" si="142"/>
        <v>1</v>
      </c>
      <c r="U262" s="10">
        <f t="shared" si="143"/>
        <v>1</v>
      </c>
      <c r="V262" s="10">
        <f t="shared" si="144"/>
        <v>1</v>
      </c>
      <c r="W262" s="10">
        <f t="shared" si="145"/>
        <v>1</v>
      </c>
      <c r="X262" s="10">
        <f t="shared" si="146"/>
        <v>1</v>
      </c>
      <c r="Y262" s="10">
        <f t="shared" si="147"/>
        <v>0.5</v>
      </c>
      <c r="Z262" s="10">
        <f t="shared" si="148"/>
        <v>1</v>
      </c>
      <c r="AA262" s="10">
        <f t="shared" si="149"/>
        <v>1</v>
      </c>
      <c r="AB262" s="10">
        <f t="shared" si="150"/>
        <v>1</v>
      </c>
      <c r="AC262" s="10">
        <f t="shared" si="151"/>
        <v>1</v>
      </c>
      <c r="AD262" s="10">
        <f t="shared" si="152"/>
        <v>1</v>
      </c>
      <c r="AE262" s="10">
        <f t="shared" si="153"/>
        <v>1</v>
      </c>
      <c r="AF262" s="10">
        <f t="shared" si="154"/>
        <v>1</v>
      </c>
      <c r="AG262" s="10">
        <f t="shared" si="155"/>
        <v>0.5</v>
      </c>
      <c r="AH262" s="10">
        <f t="shared" si="156"/>
        <v>1</v>
      </c>
      <c r="AI262" s="10">
        <f>IF(OR(S262="",'4_BENCHMARK'!$C$4=""),"",ABS(S262-'4_BENCHMARK'!$C$4))</f>
        <v>0</v>
      </c>
      <c r="AJ262" s="10">
        <f>IF(OR(T262="",'4_BENCHMARK'!$C$5=""),"",ABS(T262-'4_BENCHMARK'!$C$5))</f>
        <v>0</v>
      </c>
      <c r="AK262" s="10">
        <f>IF(OR(U262="",'4_BENCHMARK'!$C$6=""),"",ABS(U262-'4_BENCHMARK'!$C$6))</f>
        <v>0</v>
      </c>
      <c r="AL262" s="10">
        <f>IF(OR(V262="",'4_BENCHMARK'!$C$7=""),"",ABS(V262-'4_BENCHMARK'!$C$7))</f>
        <v>0</v>
      </c>
      <c r="AM262" s="10">
        <f>IF(OR(W262="",'4_BENCHMARK'!$C$8=""),"",ABS(W262-'4_BENCHMARK'!$C$8))</f>
        <v>1</v>
      </c>
      <c r="AN262" s="10">
        <f>IF(OR(X262="",'4_BENCHMARK'!$C$9=""),"",ABS(X262-'4_BENCHMARK'!$C$9))</f>
        <v>1</v>
      </c>
      <c r="AO262" s="10">
        <f>IF(OR(Y262="",'4_BENCHMARK'!$C$10=""),"",ABS(Y262-'4_BENCHMARK'!$C$10))</f>
        <v>0</v>
      </c>
      <c r="AP262" s="10">
        <f>IF(OR(Z262="",'4_BENCHMARK'!$C$11=""),"",ABS(Z262-'4_BENCHMARK'!$C$11))</f>
        <v>0</v>
      </c>
      <c r="AQ262" s="13">
        <f t="shared" si="157"/>
        <v>0.75</v>
      </c>
      <c r="AR262" s="10"/>
      <c r="AS262" s="36" t="s">
        <v>141</v>
      </c>
      <c r="AT262" s="13">
        <f t="shared" si="158"/>
        <v>1</v>
      </c>
      <c r="AU262" s="1">
        <f t="shared" si="159"/>
        <v>5</v>
      </c>
      <c r="AV262" s="1">
        <f t="shared" si="160"/>
        <v>5</v>
      </c>
      <c r="AW262" s="1">
        <f t="shared" si="161"/>
        <v>5</v>
      </c>
      <c r="AX262" s="1">
        <f t="shared" si="162"/>
        <v>5</v>
      </c>
      <c r="AY262" s="1">
        <f t="shared" si="163"/>
        <v>5</v>
      </c>
      <c r="AZ262" s="1">
        <f t="shared" si="164"/>
        <v>5</v>
      </c>
      <c r="BA262" s="1">
        <f t="shared" si="165"/>
        <v>3</v>
      </c>
      <c r="BB262" s="1">
        <f t="shared" si="166"/>
        <v>5</v>
      </c>
      <c r="BC262" s="1" t="str">
        <f t="shared" si="167"/>
        <v/>
      </c>
      <c r="BD262" s="1" t="str">
        <f t="shared" si="168"/>
        <v/>
      </c>
      <c r="BE262" s="1" t="str">
        <f t="shared" si="169"/>
        <v/>
      </c>
      <c r="BF262" s="1" t="str">
        <f t="shared" si="170"/>
        <v/>
      </c>
      <c r="BG262" s="1" t="str">
        <f t="shared" si="171"/>
        <v/>
      </c>
      <c r="BH262" s="1" t="str">
        <f t="shared" si="172"/>
        <v/>
      </c>
      <c r="BI262" s="1" t="str">
        <f t="shared" si="173"/>
        <v/>
      </c>
      <c r="BJ262" s="1" t="str">
        <f t="shared" si="174"/>
        <v/>
      </c>
    </row>
    <row r="263" ht="14.25" customHeight="1" spans="1:62">
      <c r="A263" s="10">
        <v>259</v>
      </c>
      <c r="B263" s="10" t="s">
        <v>933</v>
      </c>
      <c r="C263" s="10">
        <v>1920</v>
      </c>
      <c r="D263" s="10">
        <f t="shared" si="140"/>
        <v>1920</v>
      </c>
      <c r="E263" s="10" t="s">
        <v>930</v>
      </c>
      <c r="F263" s="35" t="s">
        <v>934</v>
      </c>
      <c r="G263" s="10" t="s">
        <v>935</v>
      </c>
      <c r="H263" s="10" t="s">
        <v>139</v>
      </c>
      <c r="I263" s="10" t="s">
        <v>140</v>
      </c>
      <c r="J263" s="10" t="s">
        <v>315</v>
      </c>
      <c r="K263" s="10">
        <v>5</v>
      </c>
      <c r="L263" s="10">
        <v>5</v>
      </c>
      <c r="M263" s="10">
        <v>5</v>
      </c>
      <c r="N263" s="10">
        <v>5</v>
      </c>
      <c r="O263" s="10">
        <v>1</v>
      </c>
      <c r="P263" s="10">
        <v>1</v>
      </c>
      <c r="Q263" s="10">
        <v>2</v>
      </c>
      <c r="R263" s="10">
        <v>5</v>
      </c>
      <c r="S263" s="10">
        <f t="shared" si="141"/>
        <v>1</v>
      </c>
      <c r="T263" s="10">
        <f t="shared" si="142"/>
        <v>1</v>
      </c>
      <c r="U263" s="10">
        <f t="shared" si="143"/>
        <v>1</v>
      </c>
      <c r="V263" s="10">
        <f t="shared" si="144"/>
        <v>1</v>
      </c>
      <c r="W263" s="10">
        <f t="shared" si="145"/>
        <v>0</v>
      </c>
      <c r="X263" s="10">
        <f t="shared" si="146"/>
        <v>0</v>
      </c>
      <c r="Y263" s="10">
        <f t="shared" si="147"/>
        <v>0.25</v>
      </c>
      <c r="Z263" s="10">
        <f t="shared" si="148"/>
        <v>1</v>
      </c>
      <c r="AA263" s="10">
        <f t="shared" si="149"/>
        <v>1</v>
      </c>
      <c r="AB263" s="10">
        <f t="shared" si="150"/>
        <v>1</v>
      </c>
      <c r="AC263" s="10">
        <f t="shared" si="151"/>
        <v>1</v>
      </c>
      <c r="AD263" s="10">
        <f t="shared" si="152"/>
        <v>1</v>
      </c>
      <c r="AE263" s="10">
        <f t="shared" si="153"/>
        <v>0</v>
      </c>
      <c r="AF263" s="10">
        <f t="shared" si="154"/>
        <v>0</v>
      </c>
      <c r="AG263" s="10">
        <f t="shared" si="155"/>
        <v>0.25</v>
      </c>
      <c r="AH263" s="10">
        <f t="shared" si="156"/>
        <v>1</v>
      </c>
      <c r="AI263" s="10">
        <f>IF(OR(S263="",'4_BENCHMARK'!$C$4=""),"",ABS(S263-'4_BENCHMARK'!$C$4))</f>
        <v>0</v>
      </c>
      <c r="AJ263" s="10">
        <f>IF(OR(T263="",'4_BENCHMARK'!$C$5=""),"",ABS(T263-'4_BENCHMARK'!$C$5))</f>
        <v>0</v>
      </c>
      <c r="AK263" s="10">
        <f>IF(OR(U263="",'4_BENCHMARK'!$C$6=""),"",ABS(U263-'4_BENCHMARK'!$C$6))</f>
        <v>0</v>
      </c>
      <c r="AL263" s="10">
        <f>IF(OR(V263="",'4_BENCHMARK'!$C$7=""),"",ABS(V263-'4_BENCHMARK'!$C$7))</f>
        <v>0</v>
      </c>
      <c r="AM263" s="10">
        <f>IF(OR(W263="",'4_BENCHMARK'!$C$8=""),"",ABS(W263-'4_BENCHMARK'!$C$8))</f>
        <v>0</v>
      </c>
      <c r="AN263" s="10">
        <f>IF(OR(X263="",'4_BENCHMARK'!$C$9=""),"",ABS(X263-'4_BENCHMARK'!$C$9))</f>
        <v>0</v>
      </c>
      <c r="AO263" s="10">
        <f>IF(OR(Y263="",'4_BENCHMARK'!$C$10=""),"",ABS(Y263-'4_BENCHMARK'!$C$10))</f>
        <v>0.25</v>
      </c>
      <c r="AP263" s="10">
        <f>IF(OR(Z263="",'4_BENCHMARK'!$C$11=""),"",ABS(Z263-'4_BENCHMARK'!$C$11))</f>
        <v>0</v>
      </c>
      <c r="AQ263" s="13">
        <f t="shared" si="157"/>
        <v>0.96875</v>
      </c>
      <c r="AR263" s="10"/>
      <c r="AS263" s="36" t="s">
        <v>141</v>
      </c>
      <c r="AT263" s="13">
        <f t="shared" si="158"/>
        <v>0.958333333333333</v>
      </c>
      <c r="AU263" s="1">
        <f t="shared" si="159"/>
        <v>5</v>
      </c>
      <c r="AV263" s="1">
        <f t="shared" si="160"/>
        <v>5</v>
      </c>
      <c r="AW263" s="1">
        <f t="shared" si="161"/>
        <v>5</v>
      </c>
      <c r="AX263" s="1">
        <f t="shared" si="162"/>
        <v>5</v>
      </c>
      <c r="AY263" s="1">
        <f t="shared" si="163"/>
        <v>1</v>
      </c>
      <c r="AZ263" s="1">
        <f t="shared" si="164"/>
        <v>1</v>
      </c>
      <c r="BA263" s="1">
        <f t="shared" si="165"/>
        <v>2</v>
      </c>
      <c r="BB263" s="1">
        <f t="shared" si="166"/>
        <v>5</v>
      </c>
      <c r="BC263" s="1" t="str">
        <f t="shared" si="167"/>
        <v/>
      </c>
      <c r="BD263" s="1" t="str">
        <f t="shared" si="168"/>
        <v/>
      </c>
      <c r="BE263" s="1" t="str">
        <f t="shared" si="169"/>
        <v/>
      </c>
      <c r="BF263" s="1" t="str">
        <f t="shared" si="170"/>
        <v/>
      </c>
      <c r="BG263" s="1" t="str">
        <f t="shared" si="171"/>
        <v/>
      </c>
      <c r="BH263" s="1" t="str">
        <f t="shared" si="172"/>
        <v/>
      </c>
      <c r="BI263" s="1" t="str">
        <f t="shared" si="173"/>
        <v/>
      </c>
      <c r="BJ263" s="1" t="str">
        <f t="shared" si="174"/>
        <v/>
      </c>
    </row>
    <row r="264" ht="14.25" customHeight="1" spans="1:62">
      <c r="A264" s="10">
        <v>260</v>
      </c>
      <c r="B264" s="10" t="s">
        <v>936</v>
      </c>
      <c r="C264" s="10">
        <v>1920</v>
      </c>
      <c r="D264" s="10">
        <f t="shared" si="140"/>
        <v>1920</v>
      </c>
      <c r="E264" s="10" t="s">
        <v>930</v>
      </c>
      <c r="F264" s="35" t="s">
        <v>937</v>
      </c>
      <c r="G264" s="10" t="s">
        <v>938</v>
      </c>
      <c r="H264" s="10" t="s">
        <v>139</v>
      </c>
      <c r="I264" s="10" t="s">
        <v>140</v>
      </c>
      <c r="J264" s="10" t="s">
        <v>315</v>
      </c>
      <c r="K264" s="10">
        <v>5</v>
      </c>
      <c r="L264" s="10">
        <v>5</v>
      </c>
      <c r="M264" s="10">
        <v>5</v>
      </c>
      <c r="N264" s="10">
        <v>5</v>
      </c>
      <c r="O264" s="10">
        <v>5</v>
      </c>
      <c r="P264" s="10">
        <v>5</v>
      </c>
      <c r="Q264" s="10">
        <v>3</v>
      </c>
      <c r="R264" s="10">
        <v>5</v>
      </c>
      <c r="S264" s="10">
        <f t="shared" si="141"/>
        <v>1</v>
      </c>
      <c r="T264" s="10">
        <f t="shared" si="142"/>
        <v>1</v>
      </c>
      <c r="U264" s="10">
        <f t="shared" si="143"/>
        <v>1</v>
      </c>
      <c r="V264" s="10">
        <f t="shared" si="144"/>
        <v>1</v>
      </c>
      <c r="W264" s="10">
        <f t="shared" si="145"/>
        <v>1</v>
      </c>
      <c r="X264" s="10">
        <f t="shared" si="146"/>
        <v>1</v>
      </c>
      <c r="Y264" s="10">
        <f t="shared" si="147"/>
        <v>0.5</v>
      </c>
      <c r="Z264" s="10">
        <f t="shared" si="148"/>
        <v>1</v>
      </c>
      <c r="AA264" s="10">
        <f t="shared" si="149"/>
        <v>1</v>
      </c>
      <c r="AB264" s="10">
        <f t="shared" si="150"/>
        <v>1</v>
      </c>
      <c r="AC264" s="10">
        <f t="shared" si="151"/>
        <v>1</v>
      </c>
      <c r="AD264" s="10">
        <f t="shared" si="152"/>
        <v>1</v>
      </c>
      <c r="AE264" s="10">
        <f t="shared" si="153"/>
        <v>1</v>
      </c>
      <c r="AF264" s="10">
        <f t="shared" si="154"/>
        <v>1</v>
      </c>
      <c r="AG264" s="10">
        <f t="shared" si="155"/>
        <v>0.5</v>
      </c>
      <c r="AH264" s="10">
        <f t="shared" si="156"/>
        <v>1</v>
      </c>
      <c r="AI264" s="10">
        <f>IF(OR(S264="",'4_BENCHMARK'!$C$4=""),"",ABS(S264-'4_BENCHMARK'!$C$4))</f>
        <v>0</v>
      </c>
      <c r="AJ264" s="10">
        <f>IF(OR(T264="",'4_BENCHMARK'!$C$5=""),"",ABS(T264-'4_BENCHMARK'!$C$5))</f>
        <v>0</v>
      </c>
      <c r="AK264" s="10">
        <f>IF(OR(U264="",'4_BENCHMARK'!$C$6=""),"",ABS(U264-'4_BENCHMARK'!$C$6))</f>
        <v>0</v>
      </c>
      <c r="AL264" s="10">
        <f>IF(OR(V264="",'4_BENCHMARK'!$C$7=""),"",ABS(V264-'4_BENCHMARK'!$C$7))</f>
        <v>0</v>
      </c>
      <c r="AM264" s="10">
        <f>IF(OR(W264="",'4_BENCHMARK'!$C$8=""),"",ABS(W264-'4_BENCHMARK'!$C$8))</f>
        <v>1</v>
      </c>
      <c r="AN264" s="10">
        <f>IF(OR(X264="",'4_BENCHMARK'!$C$9=""),"",ABS(X264-'4_BENCHMARK'!$C$9))</f>
        <v>1</v>
      </c>
      <c r="AO264" s="10">
        <f>IF(OR(Y264="",'4_BENCHMARK'!$C$10=""),"",ABS(Y264-'4_BENCHMARK'!$C$10))</f>
        <v>0</v>
      </c>
      <c r="AP264" s="10">
        <f>IF(OR(Z264="",'4_BENCHMARK'!$C$11=""),"",ABS(Z264-'4_BENCHMARK'!$C$11))</f>
        <v>0</v>
      </c>
      <c r="AQ264" s="13">
        <f t="shared" si="157"/>
        <v>0.75</v>
      </c>
      <c r="AR264" s="10"/>
      <c r="AS264" s="36" t="s">
        <v>141</v>
      </c>
      <c r="AT264" s="13">
        <f t="shared" si="158"/>
        <v>1</v>
      </c>
      <c r="AU264" s="1">
        <f t="shared" si="159"/>
        <v>5</v>
      </c>
      <c r="AV264" s="1">
        <f t="shared" si="160"/>
        <v>5</v>
      </c>
      <c r="AW264" s="1">
        <f t="shared" si="161"/>
        <v>5</v>
      </c>
      <c r="AX264" s="1">
        <f t="shared" si="162"/>
        <v>5</v>
      </c>
      <c r="AY264" s="1">
        <f t="shared" si="163"/>
        <v>5</v>
      </c>
      <c r="AZ264" s="1">
        <f t="shared" si="164"/>
        <v>5</v>
      </c>
      <c r="BA264" s="1">
        <f t="shared" si="165"/>
        <v>3</v>
      </c>
      <c r="BB264" s="1">
        <f t="shared" si="166"/>
        <v>5</v>
      </c>
      <c r="BC264" s="1" t="str">
        <f t="shared" si="167"/>
        <v/>
      </c>
      <c r="BD264" s="1" t="str">
        <f t="shared" si="168"/>
        <v/>
      </c>
      <c r="BE264" s="1" t="str">
        <f t="shared" si="169"/>
        <v/>
      </c>
      <c r="BF264" s="1" t="str">
        <f t="shared" si="170"/>
        <v/>
      </c>
      <c r="BG264" s="1" t="str">
        <f t="shared" si="171"/>
        <v/>
      </c>
      <c r="BH264" s="1" t="str">
        <f t="shared" si="172"/>
        <v/>
      </c>
      <c r="BI264" s="1" t="str">
        <f t="shared" si="173"/>
        <v/>
      </c>
      <c r="BJ264" s="1" t="str">
        <f t="shared" si="174"/>
        <v/>
      </c>
    </row>
    <row r="265" ht="14.25" customHeight="1" spans="1:62">
      <c r="A265" s="10">
        <v>261</v>
      </c>
      <c r="B265" s="10" t="s">
        <v>939</v>
      </c>
      <c r="C265" s="10">
        <v>1927</v>
      </c>
      <c r="D265" s="10">
        <f t="shared" si="140"/>
        <v>1920</v>
      </c>
      <c r="E265" s="10" t="s">
        <v>930</v>
      </c>
      <c r="F265" s="35" t="s">
        <v>940</v>
      </c>
      <c r="G265" s="10" t="s">
        <v>941</v>
      </c>
      <c r="H265" s="10" t="s">
        <v>139</v>
      </c>
      <c r="I265" s="10" t="s">
        <v>140</v>
      </c>
      <c r="J265" s="10" t="s">
        <v>942</v>
      </c>
      <c r="K265" s="10">
        <v>5</v>
      </c>
      <c r="L265" s="10">
        <v>5</v>
      </c>
      <c r="M265" s="10">
        <v>5</v>
      </c>
      <c r="N265" s="10">
        <v>5</v>
      </c>
      <c r="O265" s="10">
        <v>5</v>
      </c>
      <c r="P265" s="10">
        <v>5</v>
      </c>
      <c r="Q265" s="10">
        <v>3</v>
      </c>
      <c r="R265" s="10">
        <v>5</v>
      </c>
      <c r="S265" s="10">
        <f t="shared" si="141"/>
        <v>1</v>
      </c>
      <c r="T265" s="10">
        <f t="shared" si="142"/>
        <v>1</v>
      </c>
      <c r="U265" s="10">
        <f t="shared" si="143"/>
        <v>1</v>
      </c>
      <c r="V265" s="10">
        <f t="shared" si="144"/>
        <v>1</v>
      </c>
      <c r="W265" s="10">
        <f t="shared" si="145"/>
        <v>1</v>
      </c>
      <c r="X265" s="10">
        <f t="shared" si="146"/>
        <v>1</v>
      </c>
      <c r="Y265" s="10">
        <f t="shared" si="147"/>
        <v>0.5</v>
      </c>
      <c r="Z265" s="10">
        <f t="shared" si="148"/>
        <v>1</v>
      </c>
      <c r="AA265" s="10">
        <f t="shared" si="149"/>
        <v>1</v>
      </c>
      <c r="AB265" s="10">
        <f t="shared" si="150"/>
        <v>1</v>
      </c>
      <c r="AC265" s="10">
        <f t="shared" si="151"/>
        <v>1</v>
      </c>
      <c r="AD265" s="10">
        <f t="shared" si="152"/>
        <v>1</v>
      </c>
      <c r="AE265" s="10">
        <f t="shared" si="153"/>
        <v>1</v>
      </c>
      <c r="AF265" s="10">
        <f t="shared" si="154"/>
        <v>1</v>
      </c>
      <c r="AG265" s="10">
        <f t="shared" si="155"/>
        <v>0.5</v>
      </c>
      <c r="AH265" s="10">
        <f t="shared" si="156"/>
        <v>1</v>
      </c>
      <c r="AI265" s="10">
        <f>IF(OR(S265="",'4_BENCHMARK'!$C$4=""),"",ABS(S265-'4_BENCHMARK'!$C$4))</f>
        <v>0</v>
      </c>
      <c r="AJ265" s="10">
        <f>IF(OR(T265="",'4_BENCHMARK'!$C$5=""),"",ABS(T265-'4_BENCHMARK'!$C$5))</f>
        <v>0</v>
      </c>
      <c r="AK265" s="10">
        <f>IF(OR(U265="",'4_BENCHMARK'!$C$6=""),"",ABS(U265-'4_BENCHMARK'!$C$6))</f>
        <v>0</v>
      </c>
      <c r="AL265" s="10">
        <f>IF(OR(V265="",'4_BENCHMARK'!$C$7=""),"",ABS(V265-'4_BENCHMARK'!$C$7))</f>
        <v>0</v>
      </c>
      <c r="AM265" s="10">
        <f>IF(OR(W265="",'4_BENCHMARK'!$C$8=""),"",ABS(W265-'4_BENCHMARK'!$C$8))</f>
        <v>1</v>
      </c>
      <c r="AN265" s="10">
        <f>IF(OR(X265="",'4_BENCHMARK'!$C$9=""),"",ABS(X265-'4_BENCHMARK'!$C$9))</f>
        <v>1</v>
      </c>
      <c r="AO265" s="10">
        <f>IF(OR(Y265="",'4_BENCHMARK'!$C$10=""),"",ABS(Y265-'4_BENCHMARK'!$C$10))</f>
        <v>0</v>
      </c>
      <c r="AP265" s="10">
        <f>IF(OR(Z265="",'4_BENCHMARK'!$C$11=""),"",ABS(Z265-'4_BENCHMARK'!$C$11))</f>
        <v>0</v>
      </c>
      <c r="AQ265" s="13">
        <f t="shared" si="157"/>
        <v>0.75</v>
      </c>
      <c r="AR265" s="10"/>
      <c r="AS265" s="36" t="s">
        <v>141</v>
      </c>
      <c r="AT265" s="13">
        <f t="shared" si="158"/>
        <v>1</v>
      </c>
      <c r="AU265" s="1">
        <f t="shared" si="159"/>
        <v>5</v>
      </c>
      <c r="AV265" s="1">
        <f t="shared" si="160"/>
        <v>5</v>
      </c>
      <c r="AW265" s="1">
        <f t="shared" si="161"/>
        <v>5</v>
      </c>
      <c r="AX265" s="1">
        <f t="shared" si="162"/>
        <v>5</v>
      </c>
      <c r="AY265" s="1">
        <f t="shared" si="163"/>
        <v>5</v>
      </c>
      <c r="AZ265" s="1">
        <f t="shared" si="164"/>
        <v>5</v>
      </c>
      <c r="BA265" s="1">
        <f t="shared" si="165"/>
        <v>3</v>
      </c>
      <c r="BB265" s="1">
        <f t="shared" si="166"/>
        <v>5</v>
      </c>
      <c r="BC265" s="1" t="str">
        <f t="shared" si="167"/>
        <v/>
      </c>
      <c r="BD265" s="1" t="str">
        <f t="shared" si="168"/>
        <v/>
      </c>
      <c r="BE265" s="1" t="str">
        <f t="shared" si="169"/>
        <v/>
      </c>
      <c r="BF265" s="1" t="str">
        <f t="shared" si="170"/>
        <v/>
      </c>
      <c r="BG265" s="1" t="str">
        <f t="shared" si="171"/>
        <v/>
      </c>
      <c r="BH265" s="1" t="str">
        <f t="shared" si="172"/>
        <v/>
      </c>
      <c r="BI265" s="1" t="str">
        <f t="shared" si="173"/>
        <v/>
      </c>
      <c r="BJ265" s="1" t="str">
        <f t="shared" si="174"/>
        <v/>
      </c>
    </row>
    <row r="266" ht="14.25" customHeight="1" spans="1:62">
      <c r="A266" s="10">
        <v>262</v>
      </c>
      <c r="B266" s="10" t="s">
        <v>943</v>
      </c>
      <c r="C266" s="10">
        <v>1938</v>
      </c>
      <c r="D266" s="10">
        <f t="shared" si="140"/>
        <v>1930</v>
      </c>
      <c r="E266" s="10" t="s">
        <v>930</v>
      </c>
      <c r="F266" s="35" t="s">
        <v>944</v>
      </c>
      <c r="G266" s="10" t="s">
        <v>945</v>
      </c>
      <c r="H266" s="10" t="s">
        <v>139</v>
      </c>
      <c r="I266" s="10" t="s">
        <v>140</v>
      </c>
      <c r="J266" s="10" t="s">
        <v>946</v>
      </c>
      <c r="K266" s="10">
        <v>5</v>
      </c>
      <c r="L266" s="10">
        <v>5</v>
      </c>
      <c r="M266" s="10">
        <v>5</v>
      </c>
      <c r="N266" s="10">
        <v>5</v>
      </c>
      <c r="O266" s="10">
        <v>5</v>
      </c>
      <c r="P266" s="10">
        <v>5</v>
      </c>
      <c r="Q266" s="10">
        <v>3</v>
      </c>
      <c r="R266" s="10">
        <v>5</v>
      </c>
      <c r="S266" s="10">
        <f t="shared" si="141"/>
        <v>1</v>
      </c>
      <c r="T266" s="10">
        <f t="shared" si="142"/>
        <v>1</v>
      </c>
      <c r="U266" s="10">
        <f t="shared" si="143"/>
        <v>1</v>
      </c>
      <c r="V266" s="10">
        <f t="shared" si="144"/>
        <v>1</v>
      </c>
      <c r="W266" s="10">
        <f t="shared" si="145"/>
        <v>1</v>
      </c>
      <c r="X266" s="10">
        <f t="shared" si="146"/>
        <v>1</v>
      </c>
      <c r="Y266" s="10">
        <f t="shared" si="147"/>
        <v>0.5</v>
      </c>
      <c r="Z266" s="10">
        <f t="shared" si="148"/>
        <v>1</v>
      </c>
      <c r="AA266" s="10">
        <f t="shared" si="149"/>
        <v>1</v>
      </c>
      <c r="AB266" s="10">
        <f t="shared" si="150"/>
        <v>1</v>
      </c>
      <c r="AC266" s="10">
        <f t="shared" si="151"/>
        <v>1</v>
      </c>
      <c r="AD266" s="10">
        <f t="shared" si="152"/>
        <v>1</v>
      </c>
      <c r="AE266" s="10">
        <f t="shared" si="153"/>
        <v>1</v>
      </c>
      <c r="AF266" s="10">
        <f t="shared" si="154"/>
        <v>1</v>
      </c>
      <c r="AG266" s="10">
        <f t="shared" si="155"/>
        <v>0.5</v>
      </c>
      <c r="AH266" s="10">
        <f t="shared" si="156"/>
        <v>1</v>
      </c>
      <c r="AI266" s="10">
        <f>IF(OR(S266="",'4_BENCHMARK'!$C$4=""),"",ABS(S266-'4_BENCHMARK'!$C$4))</f>
        <v>0</v>
      </c>
      <c r="AJ266" s="10">
        <f>IF(OR(T266="",'4_BENCHMARK'!$C$5=""),"",ABS(T266-'4_BENCHMARK'!$C$5))</f>
        <v>0</v>
      </c>
      <c r="AK266" s="10">
        <f>IF(OR(U266="",'4_BENCHMARK'!$C$6=""),"",ABS(U266-'4_BENCHMARK'!$C$6))</f>
        <v>0</v>
      </c>
      <c r="AL266" s="10">
        <f>IF(OR(V266="",'4_BENCHMARK'!$C$7=""),"",ABS(V266-'4_BENCHMARK'!$C$7))</f>
        <v>0</v>
      </c>
      <c r="AM266" s="10">
        <f>IF(OR(W266="",'4_BENCHMARK'!$C$8=""),"",ABS(W266-'4_BENCHMARK'!$C$8))</f>
        <v>1</v>
      </c>
      <c r="AN266" s="10">
        <f>IF(OR(X266="",'4_BENCHMARK'!$C$9=""),"",ABS(X266-'4_BENCHMARK'!$C$9))</f>
        <v>1</v>
      </c>
      <c r="AO266" s="10">
        <f>IF(OR(Y266="",'4_BENCHMARK'!$C$10=""),"",ABS(Y266-'4_BENCHMARK'!$C$10))</f>
        <v>0</v>
      </c>
      <c r="AP266" s="10">
        <f>IF(OR(Z266="",'4_BENCHMARK'!$C$11=""),"",ABS(Z266-'4_BENCHMARK'!$C$11))</f>
        <v>0</v>
      </c>
      <c r="AQ266" s="13">
        <f t="shared" si="157"/>
        <v>0.75</v>
      </c>
      <c r="AR266" s="10"/>
      <c r="AS266" s="36" t="s">
        <v>141</v>
      </c>
      <c r="AT266" s="13">
        <f t="shared" si="158"/>
        <v>1</v>
      </c>
      <c r="AU266" s="1">
        <f t="shared" si="159"/>
        <v>5</v>
      </c>
      <c r="AV266" s="1">
        <f t="shared" si="160"/>
        <v>5</v>
      </c>
      <c r="AW266" s="1">
        <f t="shared" si="161"/>
        <v>5</v>
      </c>
      <c r="AX266" s="1">
        <f t="shared" si="162"/>
        <v>5</v>
      </c>
      <c r="AY266" s="1">
        <f t="shared" si="163"/>
        <v>5</v>
      </c>
      <c r="AZ266" s="1">
        <f t="shared" si="164"/>
        <v>5</v>
      </c>
      <c r="BA266" s="1">
        <f t="shared" si="165"/>
        <v>3</v>
      </c>
      <c r="BB266" s="1">
        <f t="shared" si="166"/>
        <v>5</v>
      </c>
      <c r="BC266" s="1" t="str">
        <f t="shared" si="167"/>
        <v/>
      </c>
      <c r="BD266" s="1" t="str">
        <f t="shared" si="168"/>
        <v/>
      </c>
      <c r="BE266" s="1" t="str">
        <f t="shared" si="169"/>
        <v/>
      </c>
      <c r="BF266" s="1" t="str">
        <f t="shared" si="170"/>
        <v/>
      </c>
      <c r="BG266" s="1" t="str">
        <f t="shared" si="171"/>
        <v/>
      </c>
      <c r="BH266" s="1" t="str">
        <f t="shared" si="172"/>
        <v/>
      </c>
      <c r="BI266" s="1" t="str">
        <f t="shared" si="173"/>
        <v/>
      </c>
      <c r="BJ266" s="1" t="str">
        <f t="shared" si="174"/>
        <v/>
      </c>
    </row>
    <row r="267" ht="14.25" customHeight="1" spans="1:62">
      <c r="A267" s="10">
        <v>263</v>
      </c>
      <c r="B267" s="10" t="s">
        <v>947</v>
      </c>
      <c r="C267" s="10">
        <v>1950</v>
      </c>
      <c r="D267" s="10">
        <f t="shared" si="140"/>
        <v>1950</v>
      </c>
      <c r="E267" s="10" t="s">
        <v>930</v>
      </c>
      <c r="F267" s="35" t="s">
        <v>948</v>
      </c>
      <c r="G267" s="10" t="s">
        <v>949</v>
      </c>
      <c r="H267" s="10" t="s">
        <v>139</v>
      </c>
      <c r="I267" s="10" t="s">
        <v>140</v>
      </c>
      <c r="J267" s="10" t="s">
        <v>950</v>
      </c>
      <c r="K267" s="10">
        <v>5</v>
      </c>
      <c r="L267" s="10">
        <v>5</v>
      </c>
      <c r="M267" s="10">
        <v>5</v>
      </c>
      <c r="N267" s="10">
        <v>4</v>
      </c>
      <c r="O267" s="10">
        <v>5</v>
      </c>
      <c r="P267" s="10">
        <v>5</v>
      </c>
      <c r="Q267" s="10">
        <v>3</v>
      </c>
      <c r="R267" s="10">
        <v>5</v>
      </c>
      <c r="S267" s="10">
        <f t="shared" si="141"/>
        <v>1</v>
      </c>
      <c r="T267" s="10">
        <f t="shared" si="142"/>
        <v>1</v>
      </c>
      <c r="U267" s="10">
        <f t="shared" si="143"/>
        <v>1</v>
      </c>
      <c r="V267" s="10">
        <f t="shared" si="144"/>
        <v>0.75</v>
      </c>
      <c r="W267" s="10">
        <f t="shared" si="145"/>
        <v>1</v>
      </c>
      <c r="X267" s="10">
        <f t="shared" si="146"/>
        <v>1</v>
      </c>
      <c r="Y267" s="10">
        <f t="shared" si="147"/>
        <v>0.5</v>
      </c>
      <c r="Z267" s="10">
        <f t="shared" si="148"/>
        <v>1</v>
      </c>
      <c r="AA267" s="10" t="str">
        <f t="shared" si="149"/>
        <v/>
      </c>
      <c r="AB267" s="10" t="str">
        <f t="shared" si="150"/>
        <v/>
      </c>
      <c r="AC267" s="10" t="str">
        <f t="shared" si="151"/>
        <v/>
      </c>
      <c r="AD267" s="10" t="str">
        <f t="shared" si="152"/>
        <v/>
      </c>
      <c r="AE267" s="10" t="str">
        <f t="shared" si="153"/>
        <v/>
      </c>
      <c r="AF267" s="10" t="str">
        <f t="shared" si="154"/>
        <v/>
      </c>
      <c r="AG267" s="10" t="str">
        <f t="shared" si="155"/>
        <v/>
      </c>
      <c r="AH267" s="10" t="str">
        <f t="shared" si="156"/>
        <v/>
      </c>
      <c r="AI267" s="10">
        <f>IF(OR(S267="",'4_BENCHMARK'!$C$4=""),"",ABS(S267-'4_BENCHMARK'!$C$4))</f>
        <v>0</v>
      </c>
      <c r="AJ267" s="10">
        <f>IF(OR(T267="",'4_BENCHMARK'!$C$5=""),"",ABS(T267-'4_BENCHMARK'!$C$5))</f>
        <v>0</v>
      </c>
      <c r="AK267" s="10">
        <f>IF(OR(U267="",'4_BENCHMARK'!$C$6=""),"",ABS(U267-'4_BENCHMARK'!$C$6))</f>
        <v>0</v>
      </c>
      <c r="AL267" s="10">
        <f>IF(OR(V267="",'4_BENCHMARK'!$C$7=""),"",ABS(V267-'4_BENCHMARK'!$C$7))</f>
        <v>0.25</v>
      </c>
      <c r="AM267" s="10">
        <f>IF(OR(W267="",'4_BENCHMARK'!$C$8=""),"",ABS(W267-'4_BENCHMARK'!$C$8))</f>
        <v>1</v>
      </c>
      <c r="AN267" s="10">
        <f>IF(OR(X267="",'4_BENCHMARK'!$C$9=""),"",ABS(X267-'4_BENCHMARK'!$C$9))</f>
        <v>1</v>
      </c>
      <c r="AO267" s="10">
        <f>IF(OR(Y267="",'4_BENCHMARK'!$C$10=""),"",ABS(Y267-'4_BENCHMARK'!$C$10))</f>
        <v>0</v>
      </c>
      <c r="AP267" s="10">
        <f>IF(OR(Z267="",'4_BENCHMARK'!$C$11=""),"",ABS(Z267-'4_BENCHMARK'!$C$11))</f>
        <v>0</v>
      </c>
      <c r="AQ267" s="13">
        <f t="shared" si="157"/>
        <v>0.71875</v>
      </c>
      <c r="AR267" s="10"/>
      <c r="AS267" s="36" t="s">
        <v>141</v>
      </c>
      <c r="AT267" s="13">
        <f t="shared" si="158"/>
        <v>0.958333333333333</v>
      </c>
      <c r="AU267" s="1" t="str">
        <f t="shared" si="159"/>
        <v/>
      </c>
      <c r="AV267" s="1" t="str">
        <f t="shared" si="160"/>
        <v/>
      </c>
      <c r="AW267" s="1" t="str">
        <f t="shared" si="161"/>
        <v/>
      </c>
      <c r="AX267" s="1" t="str">
        <f t="shared" si="162"/>
        <v/>
      </c>
      <c r="AY267" s="1" t="str">
        <f t="shared" si="163"/>
        <v/>
      </c>
      <c r="AZ267" s="1" t="str">
        <f t="shared" si="164"/>
        <v/>
      </c>
      <c r="BA267" s="1" t="str">
        <f t="shared" si="165"/>
        <v/>
      </c>
      <c r="BB267" s="1" t="str">
        <f t="shared" si="166"/>
        <v/>
      </c>
      <c r="BC267" s="1" t="str">
        <f t="shared" si="167"/>
        <v/>
      </c>
      <c r="BD267" s="1" t="str">
        <f t="shared" si="168"/>
        <v/>
      </c>
      <c r="BE267" s="1" t="str">
        <f t="shared" si="169"/>
        <v/>
      </c>
      <c r="BF267" s="1" t="str">
        <f t="shared" si="170"/>
        <v/>
      </c>
      <c r="BG267" s="1" t="str">
        <f t="shared" si="171"/>
        <v/>
      </c>
      <c r="BH267" s="1" t="str">
        <f t="shared" si="172"/>
        <v/>
      </c>
      <c r="BI267" s="1" t="str">
        <f t="shared" si="173"/>
        <v/>
      </c>
      <c r="BJ267" s="1" t="str">
        <f t="shared" si="174"/>
        <v/>
      </c>
    </row>
    <row r="268" ht="14.25" customHeight="1" spans="1:62">
      <c r="A268" s="10">
        <v>264</v>
      </c>
      <c r="B268" s="10" t="s">
        <v>951</v>
      </c>
      <c r="C268" s="10">
        <v>1890</v>
      </c>
      <c r="D268" s="10">
        <f t="shared" si="140"/>
        <v>1890</v>
      </c>
      <c r="E268" s="10" t="s">
        <v>930</v>
      </c>
      <c r="F268" s="35" t="s">
        <v>952</v>
      </c>
      <c r="G268" s="10" t="s">
        <v>953</v>
      </c>
      <c r="H268" s="10" t="s">
        <v>139</v>
      </c>
      <c r="I268" s="10" t="s">
        <v>140</v>
      </c>
      <c r="J268" s="10" t="s">
        <v>256</v>
      </c>
      <c r="K268" s="10">
        <v>5</v>
      </c>
      <c r="L268" s="10">
        <v>5</v>
      </c>
      <c r="M268" s="10">
        <v>5</v>
      </c>
      <c r="N268" s="10">
        <v>5</v>
      </c>
      <c r="O268" s="10">
        <v>1</v>
      </c>
      <c r="P268" s="10">
        <v>1</v>
      </c>
      <c r="Q268" s="10">
        <v>3</v>
      </c>
      <c r="R268" s="10">
        <v>5</v>
      </c>
      <c r="S268" s="10">
        <f t="shared" si="141"/>
        <v>1</v>
      </c>
      <c r="T268" s="10">
        <f t="shared" si="142"/>
        <v>1</v>
      </c>
      <c r="U268" s="10">
        <f t="shared" si="143"/>
        <v>1</v>
      </c>
      <c r="V268" s="10">
        <f t="shared" si="144"/>
        <v>1</v>
      </c>
      <c r="W268" s="10">
        <f t="shared" si="145"/>
        <v>0</v>
      </c>
      <c r="X268" s="10">
        <f t="shared" si="146"/>
        <v>0</v>
      </c>
      <c r="Y268" s="10">
        <f t="shared" si="147"/>
        <v>0.5</v>
      </c>
      <c r="Z268" s="10">
        <f t="shared" si="148"/>
        <v>1</v>
      </c>
      <c r="AA268" s="10">
        <f t="shared" si="149"/>
        <v>1</v>
      </c>
      <c r="AB268" s="10">
        <f t="shared" si="150"/>
        <v>1</v>
      </c>
      <c r="AC268" s="10">
        <f t="shared" si="151"/>
        <v>1</v>
      </c>
      <c r="AD268" s="10">
        <f t="shared" si="152"/>
        <v>1</v>
      </c>
      <c r="AE268" s="10">
        <f t="shared" si="153"/>
        <v>0</v>
      </c>
      <c r="AF268" s="10">
        <f t="shared" si="154"/>
        <v>0</v>
      </c>
      <c r="AG268" s="10">
        <f t="shared" si="155"/>
        <v>0.5</v>
      </c>
      <c r="AH268" s="10">
        <f t="shared" si="156"/>
        <v>1</v>
      </c>
      <c r="AI268" s="10">
        <f>IF(OR(S268="",'4_BENCHMARK'!$C$4=""),"",ABS(S268-'4_BENCHMARK'!$C$4))</f>
        <v>0</v>
      </c>
      <c r="AJ268" s="10">
        <f>IF(OR(T268="",'4_BENCHMARK'!$C$5=""),"",ABS(T268-'4_BENCHMARK'!$C$5))</f>
        <v>0</v>
      </c>
      <c r="AK268" s="10">
        <f>IF(OR(U268="",'4_BENCHMARK'!$C$6=""),"",ABS(U268-'4_BENCHMARK'!$C$6))</f>
        <v>0</v>
      </c>
      <c r="AL268" s="10">
        <f>IF(OR(V268="",'4_BENCHMARK'!$C$7=""),"",ABS(V268-'4_BENCHMARK'!$C$7))</f>
        <v>0</v>
      </c>
      <c r="AM268" s="10">
        <f>IF(OR(W268="",'4_BENCHMARK'!$C$8=""),"",ABS(W268-'4_BENCHMARK'!$C$8))</f>
        <v>0</v>
      </c>
      <c r="AN268" s="10">
        <f>IF(OR(X268="",'4_BENCHMARK'!$C$9=""),"",ABS(X268-'4_BENCHMARK'!$C$9))</f>
        <v>0</v>
      </c>
      <c r="AO268" s="10">
        <f>IF(OR(Y268="",'4_BENCHMARK'!$C$10=""),"",ABS(Y268-'4_BENCHMARK'!$C$10))</f>
        <v>0</v>
      </c>
      <c r="AP268" s="10">
        <f>IF(OR(Z268="",'4_BENCHMARK'!$C$11=""),"",ABS(Z268-'4_BENCHMARK'!$C$11))</f>
        <v>0</v>
      </c>
      <c r="AQ268" s="13">
        <f t="shared" si="157"/>
        <v>1</v>
      </c>
      <c r="AR268" s="10"/>
      <c r="AS268" s="36" t="s">
        <v>141</v>
      </c>
      <c r="AT268" s="13">
        <f t="shared" si="158"/>
        <v>1</v>
      </c>
      <c r="AU268" s="1">
        <f t="shared" si="159"/>
        <v>5</v>
      </c>
      <c r="AV268" s="1">
        <f t="shared" si="160"/>
        <v>5</v>
      </c>
      <c r="AW268" s="1">
        <f t="shared" si="161"/>
        <v>5</v>
      </c>
      <c r="AX268" s="1">
        <f t="shared" si="162"/>
        <v>5</v>
      </c>
      <c r="AY268" s="1">
        <f t="shared" si="163"/>
        <v>1</v>
      </c>
      <c r="AZ268" s="1">
        <f t="shared" si="164"/>
        <v>1</v>
      </c>
      <c r="BA268" s="1">
        <f t="shared" si="165"/>
        <v>3</v>
      </c>
      <c r="BB268" s="1">
        <f t="shared" si="166"/>
        <v>5</v>
      </c>
      <c r="BC268" s="1" t="str">
        <f t="shared" si="167"/>
        <v/>
      </c>
      <c r="BD268" s="1" t="str">
        <f t="shared" si="168"/>
        <v/>
      </c>
      <c r="BE268" s="1" t="str">
        <f t="shared" si="169"/>
        <v/>
      </c>
      <c r="BF268" s="1" t="str">
        <f t="shared" si="170"/>
        <v/>
      </c>
      <c r="BG268" s="1" t="str">
        <f t="shared" si="171"/>
        <v/>
      </c>
      <c r="BH268" s="1" t="str">
        <f t="shared" si="172"/>
        <v/>
      </c>
      <c r="BI268" s="1" t="str">
        <f t="shared" si="173"/>
        <v/>
      </c>
      <c r="BJ268" s="1" t="str">
        <f t="shared" si="174"/>
        <v/>
      </c>
    </row>
    <row r="269" ht="14.25" customHeight="1" spans="1:62">
      <c r="A269" s="10">
        <v>265</v>
      </c>
      <c r="B269" s="10" t="s">
        <v>954</v>
      </c>
      <c r="C269" s="10">
        <v>1909</v>
      </c>
      <c r="D269" s="10">
        <f t="shared" si="140"/>
        <v>1900</v>
      </c>
      <c r="E269" s="10" t="s">
        <v>930</v>
      </c>
      <c r="F269" s="35" t="s">
        <v>955</v>
      </c>
      <c r="G269" s="10" t="s">
        <v>956</v>
      </c>
      <c r="H269" s="10" t="s">
        <v>139</v>
      </c>
      <c r="I269" s="10" t="s">
        <v>140</v>
      </c>
      <c r="J269" s="10"/>
      <c r="K269" s="10">
        <v>5</v>
      </c>
      <c r="L269" s="10">
        <v>5</v>
      </c>
      <c r="M269" s="10">
        <v>5</v>
      </c>
      <c r="N269" s="10">
        <v>5</v>
      </c>
      <c r="O269" s="10">
        <v>1</v>
      </c>
      <c r="P269" s="10">
        <v>1</v>
      </c>
      <c r="Q269" s="10">
        <v>2</v>
      </c>
      <c r="R269" s="10">
        <v>5</v>
      </c>
      <c r="S269" s="10">
        <f t="shared" si="141"/>
        <v>1</v>
      </c>
      <c r="T269" s="10">
        <f t="shared" si="142"/>
        <v>1</v>
      </c>
      <c r="U269" s="10">
        <f t="shared" si="143"/>
        <v>1</v>
      </c>
      <c r="V269" s="10">
        <f t="shared" si="144"/>
        <v>1</v>
      </c>
      <c r="W269" s="10">
        <f t="shared" si="145"/>
        <v>0</v>
      </c>
      <c r="X269" s="10">
        <f t="shared" si="146"/>
        <v>0</v>
      </c>
      <c r="Y269" s="10">
        <f t="shared" si="147"/>
        <v>0.25</v>
      </c>
      <c r="Z269" s="10">
        <f t="shared" si="148"/>
        <v>1</v>
      </c>
      <c r="AA269" s="10">
        <f t="shared" si="149"/>
        <v>1</v>
      </c>
      <c r="AB269" s="10">
        <f t="shared" si="150"/>
        <v>1</v>
      </c>
      <c r="AC269" s="10">
        <f t="shared" si="151"/>
        <v>1</v>
      </c>
      <c r="AD269" s="10">
        <f t="shared" si="152"/>
        <v>1</v>
      </c>
      <c r="AE269" s="10">
        <f t="shared" si="153"/>
        <v>0</v>
      </c>
      <c r="AF269" s="10">
        <f t="shared" si="154"/>
        <v>0</v>
      </c>
      <c r="AG269" s="10">
        <f t="shared" si="155"/>
        <v>0.25</v>
      </c>
      <c r="AH269" s="10">
        <f t="shared" si="156"/>
        <v>1</v>
      </c>
      <c r="AI269" s="10">
        <f>IF(OR(S269="",'4_BENCHMARK'!$C$4=""),"",ABS(S269-'4_BENCHMARK'!$C$4))</f>
        <v>0</v>
      </c>
      <c r="AJ269" s="10">
        <f>IF(OR(T269="",'4_BENCHMARK'!$C$5=""),"",ABS(T269-'4_BENCHMARK'!$C$5))</f>
        <v>0</v>
      </c>
      <c r="AK269" s="10">
        <f>IF(OR(U269="",'4_BENCHMARK'!$C$6=""),"",ABS(U269-'4_BENCHMARK'!$C$6))</f>
        <v>0</v>
      </c>
      <c r="AL269" s="10">
        <f>IF(OR(V269="",'4_BENCHMARK'!$C$7=""),"",ABS(V269-'4_BENCHMARK'!$C$7))</f>
        <v>0</v>
      </c>
      <c r="AM269" s="10">
        <f>IF(OR(W269="",'4_BENCHMARK'!$C$8=""),"",ABS(W269-'4_BENCHMARK'!$C$8))</f>
        <v>0</v>
      </c>
      <c r="AN269" s="10">
        <f>IF(OR(X269="",'4_BENCHMARK'!$C$9=""),"",ABS(X269-'4_BENCHMARK'!$C$9))</f>
        <v>0</v>
      </c>
      <c r="AO269" s="10">
        <f>IF(OR(Y269="",'4_BENCHMARK'!$C$10=""),"",ABS(Y269-'4_BENCHMARK'!$C$10))</f>
        <v>0.25</v>
      </c>
      <c r="AP269" s="10">
        <f>IF(OR(Z269="",'4_BENCHMARK'!$C$11=""),"",ABS(Z269-'4_BENCHMARK'!$C$11))</f>
        <v>0</v>
      </c>
      <c r="AQ269" s="13">
        <f t="shared" si="157"/>
        <v>0.96875</v>
      </c>
      <c r="AR269" s="10"/>
      <c r="AS269" s="36" t="s">
        <v>141</v>
      </c>
      <c r="AT269" s="13">
        <f t="shared" si="158"/>
        <v>0.958333333333333</v>
      </c>
      <c r="AU269" s="1">
        <f t="shared" si="159"/>
        <v>5</v>
      </c>
      <c r="AV269" s="1">
        <f t="shared" si="160"/>
        <v>5</v>
      </c>
      <c r="AW269" s="1">
        <f t="shared" si="161"/>
        <v>5</v>
      </c>
      <c r="AX269" s="1">
        <f t="shared" si="162"/>
        <v>5</v>
      </c>
      <c r="AY269" s="1">
        <f t="shared" si="163"/>
        <v>1</v>
      </c>
      <c r="AZ269" s="1">
        <f t="shared" si="164"/>
        <v>1</v>
      </c>
      <c r="BA269" s="1">
        <f t="shared" si="165"/>
        <v>2</v>
      </c>
      <c r="BB269" s="1">
        <f t="shared" si="166"/>
        <v>5</v>
      </c>
      <c r="BC269" s="1" t="str">
        <f t="shared" si="167"/>
        <v/>
      </c>
      <c r="BD269" s="1" t="str">
        <f t="shared" si="168"/>
        <v/>
      </c>
      <c r="BE269" s="1" t="str">
        <f t="shared" si="169"/>
        <v/>
      </c>
      <c r="BF269" s="1" t="str">
        <f t="shared" si="170"/>
        <v/>
      </c>
      <c r="BG269" s="1" t="str">
        <f t="shared" si="171"/>
        <v/>
      </c>
      <c r="BH269" s="1" t="str">
        <f t="shared" si="172"/>
        <v/>
      </c>
      <c r="BI269" s="1" t="str">
        <f t="shared" si="173"/>
        <v/>
      </c>
      <c r="BJ269" s="1" t="str">
        <f t="shared" si="174"/>
        <v/>
      </c>
    </row>
    <row r="270" ht="14.25" customHeight="1" spans="1:62">
      <c r="A270" s="10">
        <v>266</v>
      </c>
      <c r="B270" s="10" t="s">
        <v>957</v>
      </c>
      <c r="C270" s="10">
        <v>1906</v>
      </c>
      <c r="D270" s="10">
        <f t="shared" si="140"/>
        <v>1900</v>
      </c>
      <c r="E270" s="10" t="s">
        <v>930</v>
      </c>
      <c r="F270" s="35" t="s">
        <v>958</v>
      </c>
      <c r="G270" s="10" t="s">
        <v>959</v>
      </c>
      <c r="H270" s="10" t="s">
        <v>139</v>
      </c>
      <c r="I270" s="10" t="s">
        <v>140</v>
      </c>
      <c r="J270" s="10" t="s">
        <v>960</v>
      </c>
      <c r="K270" s="10">
        <v>5</v>
      </c>
      <c r="L270" s="10">
        <v>5</v>
      </c>
      <c r="M270" s="10">
        <v>5</v>
      </c>
      <c r="N270" s="10">
        <v>5</v>
      </c>
      <c r="O270" s="10">
        <v>5</v>
      </c>
      <c r="P270" s="10">
        <v>5</v>
      </c>
      <c r="Q270" s="10">
        <v>3</v>
      </c>
      <c r="R270" s="10">
        <v>5</v>
      </c>
      <c r="S270" s="10">
        <f t="shared" si="141"/>
        <v>1</v>
      </c>
      <c r="T270" s="10">
        <f t="shared" si="142"/>
        <v>1</v>
      </c>
      <c r="U270" s="10">
        <f t="shared" si="143"/>
        <v>1</v>
      </c>
      <c r="V270" s="10">
        <f t="shared" si="144"/>
        <v>1</v>
      </c>
      <c r="W270" s="10">
        <f t="shared" si="145"/>
        <v>1</v>
      </c>
      <c r="X270" s="10">
        <f t="shared" si="146"/>
        <v>1</v>
      </c>
      <c r="Y270" s="10">
        <f t="shared" si="147"/>
        <v>0.5</v>
      </c>
      <c r="Z270" s="10">
        <f t="shared" si="148"/>
        <v>1</v>
      </c>
      <c r="AA270" s="10">
        <f t="shared" si="149"/>
        <v>1</v>
      </c>
      <c r="AB270" s="10">
        <f t="shared" si="150"/>
        <v>1</v>
      </c>
      <c r="AC270" s="10">
        <f t="shared" si="151"/>
        <v>1</v>
      </c>
      <c r="AD270" s="10">
        <f t="shared" si="152"/>
        <v>1</v>
      </c>
      <c r="AE270" s="10">
        <f t="shared" si="153"/>
        <v>1</v>
      </c>
      <c r="AF270" s="10">
        <f t="shared" si="154"/>
        <v>1</v>
      </c>
      <c r="AG270" s="10">
        <f t="shared" si="155"/>
        <v>0.5</v>
      </c>
      <c r="AH270" s="10">
        <f t="shared" si="156"/>
        <v>1</v>
      </c>
      <c r="AI270" s="10">
        <f>IF(OR(S270="",'4_BENCHMARK'!$C$4=""),"",ABS(S270-'4_BENCHMARK'!$C$4))</f>
        <v>0</v>
      </c>
      <c r="AJ270" s="10">
        <f>IF(OR(T270="",'4_BENCHMARK'!$C$5=""),"",ABS(T270-'4_BENCHMARK'!$C$5))</f>
        <v>0</v>
      </c>
      <c r="AK270" s="10">
        <f>IF(OR(U270="",'4_BENCHMARK'!$C$6=""),"",ABS(U270-'4_BENCHMARK'!$C$6))</f>
        <v>0</v>
      </c>
      <c r="AL270" s="10">
        <f>IF(OR(V270="",'4_BENCHMARK'!$C$7=""),"",ABS(V270-'4_BENCHMARK'!$C$7))</f>
        <v>0</v>
      </c>
      <c r="AM270" s="10">
        <f>IF(OR(W270="",'4_BENCHMARK'!$C$8=""),"",ABS(W270-'4_BENCHMARK'!$C$8))</f>
        <v>1</v>
      </c>
      <c r="AN270" s="10">
        <f>IF(OR(X270="",'4_BENCHMARK'!$C$9=""),"",ABS(X270-'4_BENCHMARK'!$C$9))</f>
        <v>1</v>
      </c>
      <c r="AO270" s="10">
        <f>IF(OR(Y270="",'4_BENCHMARK'!$C$10=""),"",ABS(Y270-'4_BENCHMARK'!$C$10))</f>
        <v>0</v>
      </c>
      <c r="AP270" s="10">
        <f>IF(OR(Z270="",'4_BENCHMARK'!$C$11=""),"",ABS(Z270-'4_BENCHMARK'!$C$11))</f>
        <v>0</v>
      </c>
      <c r="AQ270" s="13">
        <f t="shared" si="157"/>
        <v>0.75</v>
      </c>
      <c r="AR270" s="10"/>
      <c r="AS270" s="36" t="s">
        <v>141</v>
      </c>
      <c r="AT270" s="13">
        <f t="shared" si="158"/>
        <v>1</v>
      </c>
      <c r="AU270" s="1">
        <f t="shared" si="159"/>
        <v>5</v>
      </c>
      <c r="AV270" s="1">
        <f t="shared" si="160"/>
        <v>5</v>
      </c>
      <c r="AW270" s="1">
        <f t="shared" si="161"/>
        <v>5</v>
      </c>
      <c r="AX270" s="1">
        <f t="shared" si="162"/>
        <v>5</v>
      </c>
      <c r="AY270" s="1">
        <f t="shared" si="163"/>
        <v>5</v>
      </c>
      <c r="AZ270" s="1">
        <f t="shared" si="164"/>
        <v>5</v>
      </c>
      <c r="BA270" s="1">
        <f t="shared" si="165"/>
        <v>3</v>
      </c>
      <c r="BB270" s="1">
        <f t="shared" si="166"/>
        <v>5</v>
      </c>
      <c r="BC270" s="1" t="str">
        <f t="shared" si="167"/>
        <v/>
      </c>
      <c r="BD270" s="1" t="str">
        <f t="shared" si="168"/>
        <v/>
      </c>
      <c r="BE270" s="1" t="str">
        <f t="shared" si="169"/>
        <v/>
      </c>
      <c r="BF270" s="1" t="str">
        <f t="shared" si="170"/>
        <v/>
      </c>
      <c r="BG270" s="1" t="str">
        <f t="shared" si="171"/>
        <v/>
      </c>
      <c r="BH270" s="1" t="str">
        <f t="shared" si="172"/>
        <v/>
      </c>
      <c r="BI270" s="1" t="str">
        <f t="shared" si="173"/>
        <v/>
      </c>
      <c r="BJ270" s="1" t="str">
        <f t="shared" si="174"/>
        <v/>
      </c>
    </row>
    <row r="271" ht="14.25" customHeight="1" spans="1:62">
      <c r="A271" s="10">
        <v>267</v>
      </c>
      <c r="B271" s="10" t="s">
        <v>961</v>
      </c>
      <c r="C271" s="10">
        <v>1867</v>
      </c>
      <c r="D271" s="10">
        <f t="shared" si="140"/>
        <v>1860</v>
      </c>
      <c r="E271" s="10" t="s">
        <v>136</v>
      </c>
      <c r="F271" s="35" t="s">
        <v>962</v>
      </c>
      <c r="G271" s="10" t="s">
        <v>963</v>
      </c>
      <c r="H271" s="10" t="s">
        <v>139</v>
      </c>
      <c r="I271" s="10" t="s">
        <v>140</v>
      </c>
      <c r="J271" s="10" t="s">
        <v>964</v>
      </c>
      <c r="K271" s="10">
        <v>5</v>
      </c>
      <c r="L271" s="10">
        <v>5</v>
      </c>
      <c r="M271" s="10">
        <v>5</v>
      </c>
      <c r="N271" s="10">
        <v>5</v>
      </c>
      <c r="O271" s="10">
        <v>1</v>
      </c>
      <c r="P271" s="10">
        <v>1</v>
      </c>
      <c r="Q271" s="10">
        <v>3</v>
      </c>
      <c r="R271" s="10">
        <v>5</v>
      </c>
      <c r="S271" s="10">
        <f t="shared" si="141"/>
        <v>1</v>
      </c>
      <c r="T271" s="10">
        <f t="shared" si="142"/>
        <v>1</v>
      </c>
      <c r="U271" s="10">
        <f t="shared" si="143"/>
        <v>1</v>
      </c>
      <c r="V271" s="10">
        <f t="shared" si="144"/>
        <v>1</v>
      </c>
      <c r="W271" s="10">
        <f t="shared" si="145"/>
        <v>0</v>
      </c>
      <c r="X271" s="10">
        <f t="shared" si="146"/>
        <v>0</v>
      </c>
      <c r="Y271" s="10">
        <f t="shared" si="147"/>
        <v>0.5</v>
      </c>
      <c r="Z271" s="10">
        <f t="shared" si="148"/>
        <v>1</v>
      </c>
      <c r="AA271" s="10">
        <f t="shared" si="149"/>
        <v>1</v>
      </c>
      <c r="AB271" s="10">
        <f t="shared" si="150"/>
        <v>1</v>
      </c>
      <c r="AC271" s="10">
        <f t="shared" si="151"/>
        <v>1</v>
      </c>
      <c r="AD271" s="10">
        <f t="shared" si="152"/>
        <v>1</v>
      </c>
      <c r="AE271" s="10">
        <f t="shared" si="153"/>
        <v>0</v>
      </c>
      <c r="AF271" s="10">
        <f t="shared" si="154"/>
        <v>0</v>
      </c>
      <c r="AG271" s="10">
        <f t="shared" si="155"/>
        <v>0.5</v>
      </c>
      <c r="AH271" s="10">
        <f t="shared" si="156"/>
        <v>1</v>
      </c>
      <c r="AI271" s="10">
        <f>IF(OR(S271="",'4_BENCHMARK'!$C$4=""),"",ABS(S271-'4_BENCHMARK'!$C$4))</f>
        <v>0</v>
      </c>
      <c r="AJ271" s="10">
        <f>IF(OR(T271="",'4_BENCHMARK'!$C$5=""),"",ABS(T271-'4_BENCHMARK'!$C$5))</f>
        <v>0</v>
      </c>
      <c r="AK271" s="10">
        <f>IF(OR(U271="",'4_BENCHMARK'!$C$6=""),"",ABS(U271-'4_BENCHMARK'!$C$6))</f>
        <v>0</v>
      </c>
      <c r="AL271" s="10">
        <f>IF(OR(V271="",'4_BENCHMARK'!$C$7=""),"",ABS(V271-'4_BENCHMARK'!$C$7))</f>
        <v>0</v>
      </c>
      <c r="AM271" s="10">
        <f>IF(OR(W271="",'4_BENCHMARK'!$C$8=""),"",ABS(W271-'4_BENCHMARK'!$C$8))</f>
        <v>0</v>
      </c>
      <c r="AN271" s="10">
        <f>IF(OR(X271="",'4_BENCHMARK'!$C$9=""),"",ABS(X271-'4_BENCHMARK'!$C$9))</f>
        <v>0</v>
      </c>
      <c r="AO271" s="10">
        <f>IF(OR(Y271="",'4_BENCHMARK'!$C$10=""),"",ABS(Y271-'4_BENCHMARK'!$C$10))</f>
        <v>0</v>
      </c>
      <c r="AP271" s="10">
        <f>IF(OR(Z271="",'4_BENCHMARK'!$C$11=""),"",ABS(Z271-'4_BENCHMARK'!$C$11))</f>
        <v>0</v>
      </c>
      <c r="AQ271" s="13">
        <f t="shared" si="157"/>
        <v>1</v>
      </c>
      <c r="AR271" s="10"/>
      <c r="AS271" s="36" t="s">
        <v>141</v>
      </c>
      <c r="AT271" s="13">
        <f t="shared" si="158"/>
        <v>1</v>
      </c>
      <c r="AU271" s="1">
        <f t="shared" si="159"/>
        <v>5</v>
      </c>
      <c r="AV271" s="1">
        <f t="shared" si="160"/>
        <v>5</v>
      </c>
      <c r="AW271" s="1">
        <f t="shared" si="161"/>
        <v>5</v>
      </c>
      <c r="AX271" s="1">
        <f t="shared" si="162"/>
        <v>5</v>
      </c>
      <c r="AY271" s="1">
        <f t="shared" si="163"/>
        <v>1</v>
      </c>
      <c r="AZ271" s="1">
        <f t="shared" si="164"/>
        <v>1</v>
      </c>
      <c r="BA271" s="1">
        <f t="shared" si="165"/>
        <v>3</v>
      </c>
      <c r="BB271" s="1">
        <f t="shared" si="166"/>
        <v>5</v>
      </c>
      <c r="BC271" s="1" t="str">
        <f t="shared" si="167"/>
        <v/>
      </c>
      <c r="BD271" s="1" t="str">
        <f t="shared" si="168"/>
        <v/>
      </c>
      <c r="BE271" s="1" t="str">
        <f t="shared" si="169"/>
        <v/>
      </c>
      <c r="BF271" s="1" t="str">
        <f t="shared" si="170"/>
        <v/>
      </c>
      <c r="BG271" s="1" t="str">
        <f t="shared" si="171"/>
        <v/>
      </c>
      <c r="BH271" s="1" t="str">
        <f t="shared" si="172"/>
        <v/>
      </c>
      <c r="BI271" s="1" t="str">
        <f t="shared" si="173"/>
        <v/>
      </c>
      <c r="BJ271" s="1" t="str">
        <f t="shared" si="174"/>
        <v/>
      </c>
    </row>
    <row r="272" ht="14.25" customHeight="1" spans="1:62">
      <c r="A272" s="10">
        <v>268</v>
      </c>
      <c r="B272" s="10" t="s">
        <v>965</v>
      </c>
      <c r="C272" s="10">
        <v>1860</v>
      </c>
      <c r="D272" s="10">
        <f t="shared" si="140"/>
        <v>1860</v>
      </c>
      <c r="E272" s="10" t="s">
        <v>801</v>
      </c>
      <c r="F272" s="35" t="s">
        <v>966</v>
      </c>
      <c r="G272" s="10" t="s">
        <v>967</v>
      </c>
      <c r="H272" s="10" t="s">
        <v>139</v>
      </c>
      <c r="I272" s="10" t="s">
        <v>140</v>
      </c>
      <c r="J272" s="10" t="s">
        <v>968</v>
      </c>
      <c r="K272" s="10">
        <v>5</v>
      </c>
      <c r="L272" s="10">
        <v>5</v>
      </c>
      <c r="M272" s="10">
        <v>5</v>
      </c>
      <c r="N272" s="10">
        <v>5</v>
      </c>
      <c r="O272" s="10">
        <v>1</v>
      </c>
      <c r="P272" s="10">
        <v>1</v>
      </c>
      <c r="Q272" s="10">
        <v>3</v>
      </c>
      <c r="R272" s="10">
        <v>5</v>
      </c>
      <c r="S272" s="10">
        <f t="shared" si="141"/>
        <v>1</v>
      </c>
      <c r="T272" s="10">
        <f t="shared" si="142"/>
        <v>1</v>
      </c>
      <c r="U272" s="10">
        <f t="shared" si="143"/>
        <v>1</v>
      </c>
      <c r="V272" s="10">
        <f t="shared" si="144"/>
        <v>1</v>
      </c>
      <c r="W272" s="10">
        <f t="shared" si="145"/>
        <v>0</v>
      </c>
      <c r="X272" s="10">
        <f t="shared" si="146"/>
        <v>0</v>
      </c>
      <c r="Y272" s="10">
        <f t="shared" si="147"/>
        <v>0.5</v>
      </c>
      <c r="Z272" s="10">
        <f t="shared" si="148"/>
        <v>1</v>
      </c>
      <c r="AA272" s="10">
        <f t="shared" si="149"/>
        <v>1</v>
      </c>
      <c r="AB272" s="10">
        <f t="shared" si="150"/>
        <v>1</v>
      </c>
      <c r="AC272" s="10">
        <f t="shared" si="151"/>
        <v>1</v>
      </c>
      <c r="AD272" s="10">
        <f t="shared" si="152"/>
        <v>1</v>
      </c>
      <c r="AE272" s="10">
        <f t="shared" si="153"/>
        <v>0</v>
      </c>
      <c r="AF272" s="10">
        <f t="shared" si="154"/>
        <v>0</v>
      </c>
      <c r="AG272" s="10">
        <f t="shared" si="155"/>
        <v>0.5</v>
      </c>
      <c r="AH272" s="10">
        <f t="shared" si="156"/>
        <v>1</v>
      </c>
      <c r="AI272" s="10">
        <f>IF(OR(S272="",'4_BENCHMARK'!$C$4=""),"",ABS(S272-'4_BENCHMARK'!$C$4))</f>
        <v>0</v>
      </c>
      <c r="AJ272" s="10">
        <f>IF(OR(T272="",'4_BENCHMARK'!$C$5=""),"",ABS(T272-'4_BENCHMARK'!$C$5))</f>
        <v>0</v>
      </c>
      <c r="AK272" s="10">
        <f>IF(OR(U272="",'4_BENCHMARK'!$C$6=""),"",ABS(U272-'4_BENCHMARK'!$C$6))</f>
        <v>0</v>
      </c>
      <c r="AL272" s="10">
        <f>IF(OR(V272="",'4_BENCHMARK'!$C$7=""),"",ABS(V272-'4_BENCHMARK'!$C$7))</f>
        <v>0</v>
      </c>
      <c r="AM272" s="10">
        <f>IF(OR(W272="",'4_BENCHMARK'!$C$8=""),"",ABS(W272-'4_BENCHMARK'!$C$8))</f>
        <v>0</v>
      </c>
      <c r="AN272" s="10">
        <f>IF(OR(X272="",'4_BENCHMARK'!$C$9=""),"",ABS(X272-'4_BENCHMARK'!$C$9))</f>
        <v>0</v>
      </c>
      <c r="AO272" s="10">
        <f>IF(OR(Y272="",'4_BENCHMARK'!$C$10=""),"",ABS(Y272-'4_BENCHMARK'!$C$10))</f>
        <v>0</v>
      </c>
      <c r="AP272" s="10">
        <f>IF(OR(Z272="",'4_BENCHMARK'!$C$11=""),"",ABS(Z272-'4_BENCHMARK'!$C$11))</f>
        <v>0</v>
      </c>
      <c r="AQ272" s="13">
        <f t="shared" si="157"/>
        <v>1</v>
      </c>
      <c r="AR272" s="10"/>
      <c r="AS272" s="36" t="s">
        <v>141</v>
      </c>
      <c r="AT272" s="13">
        <f t="shared" si="158"/>
        <v>1</v>
      </c>
      <c r="AU272" s="1">
        <f t="shared" si="159"/>
        <v>5</v>
      </c>
      <c r="AV272" s="1">
        <f t="shared" si="160"/>
        <v>5</v>
      </c>
      <c r="AW272" s="1">
        <f t="shared" si="161"/>
        <v>5</v>
      </c>
      <c r="AX272" s="1">
        <f t="shared" si="162"/>
        <v>5</v>
      </c>
      <c r="AY272" s="1">
        <f t="shared" si="163"/>
        <v>1</v>
      </c>
      <c r="AZ272" s="1">
        <f t="shared" si="164"/>
        <v>1</v>
      </c>
      <c r="BA272" s="1">
        <f t="shared" si="165"/>
        <v>3</v>
      </c>
      <c r="BB272" s="1">
        <f t="shared" si="166"/>
        <v>5</v>
      </c>
      <c r="BC272" s="1" t="str">
        <f t="shared" si="167"/>
        <v/>
      </c>
      <c r="BD272" s="1" t="str">
        <f t="shared" si="168"/>
        <v/>
      </c>
      <c r="BE272" s="1" t="str">
        <f t="shared" si="169"/>
        <v/>
      </c>
      <c r="BF272" s="1" t="str">
        <f t="shared" si="170"/>
        <v/>
      </c>
      <c r="BG272" s="1" t="str">
        <f t="shared" si="171"/>
        <v/>
      </c>
      <c r="BH272" s="1" t="str">
        <f t="shared" si="172"/>
        <v/>
      </c>
      <c r="BI272" s="1" t="str">
        <f t="shared" si="173"/>
        <v/>
      </c>
      <c r="BJ272" s="1" t="str">
        <f t="shared" si="174"/>
        <v/>
      </c>
    </row>
    <row r="273" ht="14.25" customHeight="1" spans="1:62">
      <c r="A273" s="10">
        <v>269</v>
      </c>
      <c r="B273" s="10" t="s">
        <v>969</v>
      </c>
      <c r="C273" s="10">
        <v>1860</v>
      </c>
      <c r="D273" s="10">
        <f t="shared" si="140"/>
        <v>1860</v>
      </c>
      <c r="E273" s="10" t="s">
        <v>970</v>
      </c>
      <c r="F273" s="35" t="s">
        <v>971</v>
      </c>
      <c r="G273" s="10" t="s">
        <v>972</v>
      </c>
      <c r="H273" s="10" t="s">
        <v>139</v>
      </c>
      <c r="I273" s="10" t="s">
        <v>140</v>
      </c>
      <c r="J273" s="10" t="s">
        <v>973</v>
      </c>
      <c r="K273" s="10">
        <v>5</v>
      </c>
      <c r="L273" s="10">
        <v>5</v>
      </c>
      <c r="M273" s="10">
        <v>5</v>
      </c>
      <c r="N273" s="10">
        <v>5</v>
      </c>
      <c r="O273" s="10">
        <v>1</v>
      </c>
      <c r="P273" s="10">
        <v>1</v>
      </c>
      <c r="Q273" s="10">
        <v>3</v>
      </c>
      <c r="R273" s="10">
        <v>5</v>
      </c>
      <c r="S273" s="10">
        <f t="shared" si="141"/>
        <v>1</v>
      </c>
      <c r="T273" s="10">
        <f t="shared" si="142"/>
        <v>1</v>
      </c>
      <c r="U273" s="10">
        <f t="shared" si="143"/>
        <v>1</v>
      </c>
      <c r="V273" s="10">
        <f t="shared" si="144"/>
        <v>1</v>
      </c>
      <c r="W273" s="10">
        <f t="shared" si="145"/>
        <v>0</v>
      </c>
      <c r="X273" s="10">
        <f t="shared" si="146"/>
        <v>0</v>
      </c>
      <c r="Y273" s="10">
        <f t="shared" si="147"/>
        <v>0.5</v>
      </c>
      <c r="Z273" s="10">
        <f t="shared" si="148"/>
        <v>1</v>
      </c>
      <c r="AA273" s="10">
        <f t="shared" si="149"/>
        <v>1</v>
      </c>
      <c r="AB273" s="10">
        <f t="shared" si="150"/>
        <v>1</v>
      </c>
      <c r="AC273" s="10">
        <f t="shared" si="151"/>
        <v>1</v>
      </c>
      <c r="AD273" s="10">
        <f t="shared" si="152"/>
        <v>1</v>
      </c>
      <c r="AE273" s="10">
        <f t="shared" si="153"/>
        <v>0</v>
      </c>
      <c r="AF273" s="10">
        <f t="shared" si="154"/>
        <v>0</v>
      </c>
      <c r="AG273" s="10">
        <f t="shared" si="155"/>
        <v>0.5</v>
      </c>
      <c r="AH273" s="10">
        <f t="shared" si="156"/>
        <v>1</v>
      </c>
      <c r="AI273" s="10">
        <f>IF(OR(S273="",'4_BENCHMARK'!$C$4=""),"",ABS(S273-'4_BENCHMARK'!$C$4))</f>
        <v>0</v>
      </c>
      <c r="AJ273" s="10">
        <f>IF(OR(T273="",'4_BENCHMARK'!$C$5=""),"",ABS(T273-'4_BENCHMARK'!$C$5))</f>
        <v>0</v>
      </c>
      <c r="AK273" s="10">
        <f>IF(OR(U273="",'4_BENCHMARK'!$C$6=""),"",ABS(U273-'4_BENCHMARK'!$C$6))</f>
        <v>0</v>
      </c>
      <c r="AL273" s="10">
        <f>IF(OR(V273="",'4_BENCHMARK'!$C$7=""),"",ABS(V273-'4_BENCHMARK'!$C$7))</f>
        <v>0</v>
      </c>
      <c r="AM273" s="10">
        <f>IF(OR(W273="",'4_BENCHMARK'!$C$8=""),"",ABS(W273-'4_BENCHMARK'!$C$8))</f>
        <v>0</v>
      </c>
      <c r="AN273" s="10">
        <f>IF(OR(X273="",'4_BENCHMARK'!$C$9=""),"",ABS(X273-'4_BENCHMARK'!$C$9))</f>
        <v>0</v>
      </c>
      <c r="AO273" s="10">
        <f>IF(OR(Y273="",'4_BENCHMARK'!$C$10=""),"",ABS(Y273-'4_BENCHMARK'!$C$10))</f>
        <v>0</v>
      </c>
      <c r="AP273" s="10">
        <f>IF(OR(Z273="",'4_BENCHMARK'!$C$11=""),"",ABS(Z273-'4_BENCHMARK'!$C$11))</f>
        <v>0</v>
      </c>
      <c r="AQ273" s="13">
        <f t="shared" si="157"/>
        <v>1</v>
      </c>
      <c r="AR273" s="10"/>
      <c r="AS273" s="36" t="s">
        <v>141</v>
      </c>
      <c r="AT273" s="13">
        <f t="shared" si="158"/>
        <v>1</v>
      </c>
      <c r="AU273" s="1">
        <f t="shared" si="159"/>
        <v>5</v>
      </c>
      <c r="AV273" s="1">
        <f t="shared" si="160"/>
        <v>5</v>
      </c>
      <c r="AW273" s="1">
        <f t="shared" si="161"/>
        <v>5</v>
      </c>
      <c r="AX273" s="1">
        <f t="shared" si="162"/>
        <v>5</v>
      </c>
      <c r="AY273" s="1">
        <f t="shared" si="163"/>
        <v>1</v>
      </c>
      <c r="AZ273" s="1">
        <f t="shared" si="164"/>
        <v>1</v>
      </c>
      <c r="BA273" s="1">
        <f t="shared" si="165"/>
        <v>3</v>
      </c>
      <c r="BB273" s="1">
        <f t="shared" si="166"/>
        <v>5</v>
      </c>
      <c r="BC273" s="1" t="str">
        <f t="shared" si="167"/>
        <v/>
      </c>
      <c r="BD273" s="1" t="str">
        <f t="shared" si="168"/>
        <v/>
      </c>
      <c r="BE273" s="1" t="str">
        <f t="shared" si="169"/>
        <v/>
      </c>
      <c r="BF273" s="1" t="str">
        <f t="shared" si="170"/>
        <v/>
      </c>
      <c r="BG273" s="1" t="str">
        <f t="shared" si="171"/>
        <v/>
      </c>
      <c r="BH273" s="1" t="str">
        <f t="shared" si="172"/>
        <v/>
      </c>
      <c r="BI273" s="1" t="str">
        <f t="shared" si="173"/>
        <v/>
      </c>
      <c r="BJ273" s="1" t="str">
        <f t="shared" si="174"/>
        <v/>
      </c>
    </row>
    <row r="274" ht="14.25" customHeight="1" spans="1:62">
      <c r="A274" s="10">
        <v>270</v>
      </c>
      <c r="B274" s="10" t="s">
        <v>961</v>
      </c>
      <c r="C274" s="10">
        <v>1860</v>
      </c>
      <c r="D274" s="10">
        <f t="shared" si="140"/>
        <v>1860</v>
      </c>
      <c r="E274" s="10" t="s">
        <v>136</v>
      </c>
      <c r="F274" s="35" t="s">
        <v>974</v>
      </c>
      <c r="G274" s="10" t="s">
        <v>975</v>
      </c>
      <c r="H274" s="10" t="s">
        <v>139</v>
      </c>
      <c r="I274" s="10" t="s">
        <v>140</v>
      </c>
      <c r="J274" s="10" t="s">
        <v>973</v>
      </c>
      <c r="K274" s="10">
        <v>5</v>
      </c>
      <c r="L274" s="10">
        <v>5</v>
      </c>
      <c r="M274" s="10">
        <v>5</v>
      </c>
      <c r="N274" s="10">
        <v>5</v>
      </c>
      <c r="O274" s="10">
        <v>1</v>
      </c>
      <c r="P274" s="10">
        <v>1</v>
      </c>
      <c r="Q274" s="10">
        <v>3</v>
      </c>
      <c r="R274" s="10">
        <v>5</v>
      </c>
      <c r="S274" s="10">
        <f t="shared" si="141"/>
        <v>1</v>
      </c>
      <c r="T274" s="10">
        <f t="shared" si="142"/>
        <v>1</v>
      </c>
      <c r="U274" s="10">
        <f t="shared" si="143"/>
        <v>1</v>
      </c>
      <c r="V274" s="10">
        <f t="shared" si="144"/>
        <v>1</v>
      </c>
      <c r="W274" s="10">
        <f t="shared" si="145"/>
        <v>0</v>
      </c>
      <c r="X274" s="10">
        <f t="shared" si="146"/>
        <v>0</v>
      </c>
      <c r="Y274" s="10">
        <f t="shared" si="147"/>
        <v>0.5</v>
      </c>
      <c r="Z274" s="10">
        <f t="shared" si="148"/>
        <v>1</v>
      </c>
      <c r="AA274" s="10">
        <f t="shared" si="149"/>
        <v>1</v>
      </c>
      <c r="AB274" s="10">
        <f t="shared" si="150"/>
        <v>1</v>
      </c>
      <c r="AC274" s="10">
        <f t="shared" si="151"/>
        <v>1</v>
      </c>
      <c r="AD274" s="10">
        <f t="shared" si="152"/>
        <v>1</v>
      </c>
      <c r="AE274" s="10">
        <f t="shared" si="153"/>
        <v>0</v>
      </c>
      <c r="AF274" s="10">
        <f t="shared" si="154"/>
        <v>0</v>
      </c>
      <c r="AG274" s="10">
        <f t="shared" si="155"/>
        <v>0.5</v>
      </c>
      <c r="AH274" s="10">
        <f t="shared" si="156"/>
        <v>1</v>
      </c>
      <c r="AI274" s="10">
        <f>IF(OR(S274="",'4_BENCHMARK'!$C$4=""),"",ABS(S274-'4_BENCHMARK'!$C$4))</f>
        <v>0</v>
      </c>
      <c r="AJ274" s="10">
        <f>IF(OR(T274="",'4_BENCHMARK'!$C$5=""),"",ABS(T274-'4_BENCHMARK'!$C$5))</f>
        <v>0</v>
      </c>
      <c r="AK274" s="10">
        <f>IF(OR(U274="",'4_BENCHMARK'!$C$6=""),"",ABS(U274-'4_BENCHMARK'!$C$6))</f>
        <v>0</v>
      </c>
      <c r="AL274" s="10">
        <f>IF(OR(V274="",'4_BENCHMARK'!$C$7=""),"",ABS(V274-'4_BENCHMARK'!$C$7))</f>
        <v>0</v>
      </c>
      <c r="AM274" s="10">
        <f>IF(OR(W274="",'4_BENCHMARK'!$C$8=""),"",ABS(W274-'4_BENCHMARK'!$C$8))</f>
        <v>0</v>
      </c>
      <c r="AN274" s="10">
        <f>IF(OR(X274="",'4_BENCHMARK'!$C$9=""),"",ABS(X274-'4_BENCHMARK'!$C$9))</f>
        <v>0</v>
      </c>
      <c r="AO274" s="10">
        <f>IF(OR(Y274="",'4_BENCHMARK'!$C$10=""),"",ABS(Y274-'4_BENCHMARK'!$C$10))</f>
        <v>0</v>
      </c>
      <c r="AP274" s="10">
        <f>IF(OR(Z274="",'4_BENCHMARK'!$C$11=""),"",ABS(Z274-'4_BENCHMARK'!$C$11))</f>
        <v>0</v>
      </c>
      <c r="AQ274" s="13">
        <f t="shared" si="157"/>
        <v>1</v>
      </c>
      <c r="AR274" s="10"/>
      <c r="AS274" s="36" t="s">
        <v>141</v>
      </c>
      <c r="AT274" s="13">
        <f t="shared" si="158"/>
        <v>1</v>
      </c>
      <c r="AU274" s="1">
        <f t="shared" si="159"/>
        <v>5</v>
      </c>
      <c r="AV274" s="1">
        <f t="shared" si="160"/>
        <v>5</v>
      </c>
      <c r="AW274" s="1">
        <f t="shared" si="161"/>
        <v>5</v>
      </c>
      <c r="AX274" s="1">
        <f t="shared" si="162"/>
        <v>5</v>
      </c>
      <c r="AY274" s="1">
        <f t="shared" si="163"/>
        <v>1</v>
      </c>
      <c r="AZ274" s="1">
        <f t="shared" si="164"/>
        <v>1</v>
      </c>
      <c r="BA274" s="1">
        <f t="shared" si="165"/>
        <v>3</v>
      </c>
      <c r="BB274" s="1">
        <f t="shared" si="166"/>
        <v>5</v>
      </c>
      <c r="BC274" s="1" t="str">
        <f t="shared" si="167"/>
        <v/>
      </c>
      <c r="BD274" s="1" t="str">
        <f t="shared" si="168"/>
        <v/>
      </c>
      <c r="BE274" s="1" t="str">
        <f t="shared" si="169"/>
        <v/>
      </c>
      <c r="BF274" s="1" t="str">
        <f t="shared" si="170"/>
        <v/>
      </c>
      <c r="BG274" s="1" t="str">
        <f t="shared" si="171"/>
        <v/>
      </c>
      <c r="BH274" s="1" t="str">
        <f t="shared" si="172"/>
        <v/>
      </c>
      <c r="BI274" s="1" t="str">
        <f t="shared" si="173"/>
        <v/>
      </c>
      <c r="BJ274" s="1" t="str">
        <f t="shared" si="174"/>
        <v/>
      </c>
    </row>
    <row r="275" ht="14.25" customHeight="1" spans="1:62">
      <c r="A275" s="10">
        <v>271</v>
      </c>
      <c r="B275" s="10" t="s">
        <v>976</v>
      </c>
      <c r="C275" s="10">
        <v>1950</v>
      </c>
      <c r="D275" s="10">
        <f t="shared" si="140"/>
        <v>1950</v>
      </c>
      <c r="E275" s="10" t="s">
        <v>801</v>
      </c>
      <c r="F275" s="35" t="s">
        <v>977</v>
      </c>
      <c r="G275" s="10" t="s">
        <v>978</v>
      </c>
      <c r="H275" s="10" t="s">
        <v>140</v>
      </c>
      <c r="I275" s="10" t="s">
        <v>140</v>
      </c>
      <c r="J275" s="10" t="s">
        <v>811</v>
      </c>
      <c r="K275" s="10">
        <v>4</v>
      </c>
      <c r="L275" s="10">
        <v>3</v>
      </c>
      <c r="M275" s="10">
        <v>4</v>
      </c>
      <c r="N275" s="10">
        <v>5</v>
      </c>
      <c r="O275" s="10">
        <v>5</v>
      </c>
      <c r="P275" s="10">
        <v>5</v>
      </c>
      <c r="Q275" s="10">
        <v>1</v>
      </c>
      <c r="R275" s="10">
        <v>5</v>
      </c>
      <c r="S275" s="10">
        <f t="shared" si="141"/>
        <v>0.75</v>
      </c>
      <c r="T275" s="10">
        <f t="shared" si="142"/>
        <v>0.5</v>
      </c>
      <c r="U275" s="10">
        <f t="shared" si="143"/>
        <v>0.75</v>
      </c>
      <c r="V275" s="10">
        <f t="shared" si="144"/>
        <v>1</v>
      </c>
      <c r="W275" s="10">
        <f t="shared" si="145"/>
        <v>1</v>
      </c>
      <c r="X275" s="10">
        <f t="shared" si="146"/>
        <v>1</v>
      </c>
      <c r="Y275" s="10">
        <f t="shared" si="147"/>
        <v>0</v>
      </c>
      <c r="Z275" s="10">
        <f t="shared" si="148"/>
        <v>1</v>
      </c>
      <c r="AA275" s="10" t="str">
        <f t="shared" si="149"/>
        <v/>
      </c>
      <c r="AB275" s="10" t="str">
        <f t="shared" si="150"/>
        <v/>
      </c>
      <c r="AC275" s="10" t="str">
        <f t="shared" si="151"/>
        <v/>
      </c>
      <c r="AD275" s="10" t="str">
        <f t="shared" si="152"/>
        <v/>
      </c>
      <c r="AE275" s="10" t="str">
        <f t="shared" si="153"/>
        <v/>
      </c>
      <c r="AF275" s="10" t="str">
        <f t="shared" si="154"/>
        <v/>
      </c>
      <c r="AG275" s="10" t="str">
        <f t="shared" si="155"/>
        <v/>
      </c>
      <c r="AH275" s="10" t="str">
        <f t="shared" si="156"/>
        <v/>
      </c>
      <c r="AI275" s="10">
        <f>IF(OR(S275="",'4_BENCHMARK'!$C$4=""),"",ABS(S275-'4_BENCHMARK'!$C$4))</f>
        <v>0.25</v>
      </c>
      <c r="AJ275" s="10">
        <f>IF(OR(T275="",'4_BENCHMARK'!$C$5=""),"",ABS(T275-'4_BENCHMARK'!$C$5))</f>
        <v>0.5</v>
      </c>
      <c r="AK275" s="10">
        <f>IF(OR(U275="",'4_BENCHMARK'!$C$6=""),"",ABS(U275-'4_BENCHMARK'!$C$6))</f>
        <v>0.25</v>
      </c>
      <c r="AL275" s="10">
        <f>IF(OR(V275="",'4_BENCHMARK'!$C$7=""),"",ABS(V275-'4_BENCHMARK'!$C$7))</f>
        <v>0</v>
      </c>
      <c r="AM275" s="10">
        <f>IF(OR(W275="",'4_BENCHMARK'!$C$8=""),"",ABS(W275-'4_BENCHMARK'!$C$8))</f>
        <v>1</v>
      </c>
      <c r="AN275" s="10">
        <f>IF(OR(X275="",'4_BENCHMARK'!$C$9=""),"",ABS(X275-'4_BENCHMARK'!$C$9))</f>
        <v>1</v>
      </c>
      <c r="AO275" s="10">
        <f>IF(OR(Y275="",'4_BENCHMARK'!$C$10=""),"",ABS(Y275-'4_BENCHMARK'!$C$10))</f>
        <v>0.5</v>
      </c>
      <c r="AP275" s="10">
        <f>IF(OR(Z275="",'4_BENCHMARK'!$C$11=""),"",ABS(Z275-'4_BENCHMARK'!$C$11))</f>
        <v>0</v>
      </c>
      <c r="AQ275" s="13">
        <f t="shared" si="157"/>
        <v>0.5625</v>
      </c>
      <c r="AR275" s="10"/>
      <c r="AS275" s="36" t="s">
        <v>145</v>
      </c>
      <c r="AT275" s="13">
        <f t="shared" si="158"/>
        <v>0.75</v>
      </c>
      <c r="AU275" s="1" t="str">
        <f t="shared" si="159"/>
        <v/>
      </c>
      <c r="AV275" s="1" t="str">
        <f t="shared" si="160"/>
        <v/>
      </c>
      <c r="AW275" s="1" t="str">
        <f t="shared" si="161"/>
        <v/>
      </c>
      <c r="AX275" s="1" t="str">
        <f t="shared" si="162"/>
        <v/>
      </c>
      <c r="AY275" s="1" t="str">
        <f t="shared" si="163"/>
        <v/>
      </c>
      <c r="AZ275" s="1" t="str">
        <f t="shared" si="164"/>
        <v/>
      </c>
      <c r="BA275" s="1" t="str">
        <f t="shared" si="165"/>
        <v/>
      </c>
      <c r="BB275" s="1" t="str">
        <f t="shared" si="166"/>
        <v/>
      </c>
      <c r="BC275" s="1" t="str">
        <f t="shared" si="167"/>
        <v/>
      </c>
      <c r="BD275" s="1" t="str">
        <f t="shared" si="168"/>
        <v/>
      </c>
      <c r="BE275" s="1" t="str">
        <f t="shared" si="169"/>
        <v/>
      </c>
      <c r="BF275" s="1" t="str">
        <f t="shared" si="170"/>
        <v/>
      </c>
      <c r="BG275" s="1" t="str">
        <f t="shared" si="171"/>
        <v/>
      </c>
      <c r="BH275" s="1" t="str">
        <f t="shared" si="172"/>
        <v/>
      </c>
      <c r="BI275" s="1" t="str">
        <f t="shared" si="173"/>
        <v/>
      </c>
      <c r="BJ275" s="1" t="str">
        <f t="shared" si="174"/>
        <v/>
      </c>
    </row>
    <row r="276" ht="14.25" customHeight="1" spans="1:62">
      <c r="A276" s="10">
        <v>272</v>
      </c>
      <c r="B276" s="10" t="s">
        <v>979</v>
      </c>
      <c r="C276" s="10">
        <v>1950</v>
      </c>
      <c r="D276" s="10">
        <f t="shared" si="140"/>
        <v>1950</v>
      </c>
      <c r="E276" s="10" t="s">
        <v>801</v>
      </c>
      <c r="F276" s="35" t="s">
        <v>980</v>
      </c>
      <c r="G276" s="10" t="s">
        <v>981</v>
      </c>
      <c r="H276" s="10" t="s">
        <v>140</v>
      </c>
      <c r="I276" s="10" t="s">
        <v>140</v>
      </c>
      <c r="J276" s="10" t="s">
        <v>811</v>
      </c>
      <c r="K276" s="10">
        <v>4</v>
      </c>
      <c r="L276" s="10">
        <v>4</v>
      </c>
      <c r="M276" s="10">
        <v>4</v>
      </c>
      <c r="N276" s="10">
        <v>4</v>
      </c>
      <c r="O276" s="10">
        <v>5</v>
      </c>
      <c r="P276" s="10">
        <v>5</v>
      </c>
      <c r="Q276" s="10">
        <v>1</v>
      </c>
      <c r="R276" s="10">
        <v>3</v>
      </c>
      <c r="S276" s="10">
        <f t="shared" si="141"/>
        <v>0.75</v>
      </c>
      <c r="T276" s="10">
        <f t="shared" si="142"/>
        <v>0.75</v>
      </c>
      <c r="U276" s="10">
        <f t="shared" si="143"/>
        <v>0.75</v>
      </c>
      <c r="V276" s="10">
        <f t="shared" si="144"/>
        <v>0.75</v>
      </c>
      <c r="W276" s="10">
        <f t="shared" si="145"/>
        <v>1</v>
      </c>
      <c r="X276" s="10">
        <f t="shared" si="146"/>
        <v>1</v>
      </c>
      <c r="Y276" s="10">
        <f t="shared" si="147"/>
        <v>0</v>
      </c>
      <c r="Z276" s="10">
        <f t="shared" si="148"/>
        <v>0.5</v>
      </c>
      <c r="AA276" s="10" t="str">
        <f t="shared" si="149"/>
        <v/>
      </c>
      <c r="AB276" s="10" t="str">
        <f t="shared" si="150"/>
        <v/>
      </c>
      <c r="AC276" s="10" t="str">
        <f t="shared" si="151"/>
        <v/>
      </c>
      <c r="AD276" s="10" t="str">
        <f t="shared" si="152"/>
        <v/>
      </c>
      <c r="AE276" s="10" t="str">
        <f t="shared" si="153"/>
        <v/>
      </c>
      <c r="AF276" s="10" t="str">
        <f t="shared" si="154"/>
        <v/>
      </c>
      <c r="AG276" s="10" t="str">
        <f t="shared" si="155"/>
        <v/>
      </c>
      <c r="AH276" s="10" t="str">
        <f t="shared" si="156"/>
        <v/>
      </c>
      <c r="AI276" s="10">
        <f>IF(OR(S276="",'4_BENCHMARK'!$C$4=""),"",ABS(S276-'4_BENCHMARK'!$C$4))</f>
        <v>0.25</v>
      </c>
      <c r="AJ276" s="10">
        <f>IF(OR(T276="",'4_BENCHMARK'!$C$5=""),"",ABS(T276-'4_BENCHMARK'!$C$5))</f>
        <v>0.25</v>
      </c>
      <c r="AK276" s="10">
        <f>IF(OR(U276="",'4_BENCHMARK'!$C$6=""),"",ABS(U276-'4_BENCHMARK'!$C$6))</f>
        <v>0.25</v>
      </c>
      <c r="AL276" s="10">
        <f>IF(OR(V276="",'4_BENCHMARK'!$C$7=""),"",ABS(V276-'4_BENCHMARK'!$C$7))</f>
        <v>0.25</v>
      </c>
      <c r="AM276" s="10">
        <f>IF(OR(W276="",'4_BENCHMARK'!$C$8=""),"",ABS(W276-'4_BENCHMARK'!$C$8))</f>
        <v>1</v>
      </c>
      <c r="AN276" s="10">
        <f>IF(OR(X276="",'4_BENCHMARK'!$C$9=""),"",ABS(X276-'4_BENCHMARK'!$C$9))</f>
        <v>1</v>
      </c>
      <c r="AO276" s="10">
        <f>IF(OR(Y276="",'4_BENCHMARK'!$C$10=""),"",ABS(Y276-'4_BENCHMARK'!$C$10))</f>
        <v>0.5</v>
      </c>
      <c r="AP276" s="10">
        <f>IF(OR(Z276="",'4_BENCHMARK'!$C$11=""),"",ABS(Z276-'4_BENCHMARK'!$C$11))</f>
        <v>0.5</v>
      </c>
      <c r="AQ276" s="13">
        <f t="shared" si="157"/>
        <v>0.5</v>
      </c>
      <c r="AR276" s="10"/>
      <c r="AS276" s="36" t="s">
        <v>145</v>
      </c>
      <c r="AT276" s="13">
        <f t="shared" si="158"/>
        <v>0.666666666666667</v>
      </c>
      <c r="AU276" s="1" t="str">
        <f t="shared" si="159"/>
        <v/>
      </c>
      <c r="AV276" s="1" t="str">
        <f t="shared" si="160"/>
        <v/>
      </c>
      <c r="AW276" s="1" t="str">
        <f t="shared" si="161"/>
        <v/>
      </c>
      <c r="AX276" s="1" t="str">
        <f t="shared" si="162"/>
        <v/>
      </c>
      <c r="AY276" s="1" t="str">
        <f t="shared" si="163"/>
        <v/>
      </c>
      <c r="AZ276" s="1" t="str">
        <f t="shared" si="164"/>
        <v/>
      </c>
      <c r="BA276" s="1" t="str">
        <f t="shared" si="165"/>
        <v/>
      </c>
      <c r="BB276" s="1" t="str">
        <f t="shared" si="166"/>
        <v/>
      </c>
      <c r="BC276" s="1" t="str">
        <f t="shared" si="167"/>
        <v/>
      </c>
      <c r="BD276" s="1" t="str">
        <f t="shared" si="168"/>
        <v/>
      </c>
      <c r="BE276" s="1" t="str">
        <f t="shared" si="169"/>
        <v/>
      </c>
      <c r="BF276" s="1" t="str">
        <f t="shared" si="170"/>
        <v/>
      </c>
      <c r="BG276" s="1" t="str">
        <f t="shared" si="171"/>
        <v/>
      </c>
      <c r="BH276" s="1" t="str">
        <f t="shared" si="172"/>
        <v/>
      </c>
      <c r="BI276" s="1" t="str">
        <f t="shared" si="173"/>
        <v/>
      </c>
      <c r="BJ276" s="1" t="str">
        <f t="shared" si="174"/>
        <v/>
      </c>
    </row>
    <row r="277" ht="14.25" customHeight="1" spans="1:62">
      <c r="A277" s="10">
        <v>273</v>
      </c>
      <c r="B277" s="10" t="s">
        <v>982</v>
      </c>
      <c r="C277" s="10">
        <v>1950</v>
      </c>
      <c r="D277" s="10">
        <f t="shared" si="140"/>
        <v>1950</v>
      </c>
      <c r="E277" s="10" t="s">
        <v>983</v>
      </c>
      <c r="F277" s="35" t="s">
        <v>984</v>
      </c>
      <c r="G277" s="10" t="s">
        <v>985</v>
      </c>
      <c r="H277" s="10" t="s">
        <v>140</v>
      </c>
      <c r="I277" s="10" t="s">
        <v>140</v>
      </c>
      <c r="J277" s="10" t="s">
        <v>811</v>
      </c>
      <c r="K277" s="10">
        <v>4</v>
      </c>
      <c r="L277" s="10">
        <v>4</v>
      </c>
      <c r="M277" s="10">
        <v>4</v>
      </c>
      <c r="N277" s="10">
        <v>5</v>
      </c>
      <c r="O277" s="10">
        <v>5</v>
      </c>
      <c r="P277" s="10">
        <v>5</v>
      </c>
      <c r="Q277" s="10">
        <v>2</v>
      </c>
      <c r="R277" s="10">
        <v>3</v>
      </c>
      <c r="S277" s="10">
        <f t="shared" si="141"/>
        <v>0.75</v>
      </c>
      <c r="T277" s="10">
        <f t="shared" si="142"/>
        <v>0.75</v>
      </c>
      <c r="U277" s="10">
        <f t="shared" si="143"/>
        <v>0.75</v>
      </c>
      <c r="V277" s="10">
        <f t="shared" si="144"/>
        <v>1</v>
      </c>
      <c r="W277" s="10">
        <f t="shared" si="145"/>
        <v>1</v>
      </c>
      <c r="X277" s="10">
        <f t="shared" si="146"/>
        <v>1</v>
      </c>
      <c r="Y277" s="10">
        <f t="shared" si="147"/>
        <v>0.25</v>
      </c>
      <c r="Z277" s="10">
        <f t="shared" si="148"/>
        <v>0.5</v>
      </c>
      <c r="AA277" s="10" t="str">
        <f t="shared" si="149"/>
        <v/>
      </c>
      <c r="AB277" s="10" t="str">
        <f t="shared" si="150"/>
        <v/>
      </c>
      <c r="AC277" s="10" t="str">
        <f t="shared" si="151"/>
        <v/>
      </c>
      <c r="AD277" s="10" t="str">
        <f t="shared" si="152"/>
        <v/>
      </c>
      <c r="AE277" s="10" t="str">
        <f t="shared" si="153"/>
        <v/>
      </c>
      <c r="AF277" s="10" t="str">
        <f t="shared" si="154"/>
        <v/>
      </c>
      <c r="AG277" s="10" t="str">
        <f t="shared" si="155"/>
        <v/>
      </c>
      <c r="AH277" s="10" t="str">
        <f t="shared" si="156"/>
        <v/>
      </c>
      <c r="AI277" s="10">
        <f>IF(OR(S277="",'4_BENCHMARK'!$C$4=""),"",ABS(S277-'4_BENCHMARK'!$C$4))</f>
        <v>0.25</v>
      </c>
      <c r="AJ277" s="10">
        <f>IF(OR(T277="",'4_BENCHMARK'!$C$5=""),"",ABS(T277-'4_BENCHMARK'!$C$5))</f>
        <v>0.25</v>
      </c>
      <c r="AK277" s="10">
        <f>IF(OR(U277="",'4_BENCHMARK'!$C$6=""),"",ABS(U277-'4_BENCHMARK'!$C$6))</f>
        <v>0.25</v>
      </c>
      <c r="AL277" s="10">
        <f>IF(OR(V277="",'4_BENCHMARK'!$C$7=""),"",ABS(V277-'4_BENCHMARK'!$C$7))</f>
        <v>0</v>
      </c>
      <c r="AM277" s="10">
        <f>IF(OR(W277="",'4_BENCHMARK'!$C$8=""),"",ABS(W277-'4_BENCHMARK'!$C$8))</f>
        <v>1</v>
      </c>
      <c r="AN277" s="10">
        <f>IF(OR(X277="",'4_BENCHMARK'!$C$9=""),"",ABS(X277-'4_BENCHMARK'!$C$9))</f>
        <v>1</v>
      </c>
      <c r="AO277" s="10">
        <f>IF(OR(Y277="",'4_BENCHMARK'!$C$10=""),"",ABS(Y277-'4_BENCHMARK'!$C$10))</f>
        <v>0.25</v>
      </c>
      <c r="AP277" s="10">
        <f>IF(OR(Z277="",'4_BENCHMARK'!$C$11=""),"",ABS(Z277-'4_BENCHMARK'!$C$11))</f>
        <v>0.5</v>
      </c>
      <c r="AQ277" s="13">
        <f t="shared" si="157"/>
        <v>0.5625</v>
      </c>
      <c r="AR277" s="10"/>
      <c r="AS277" s="36" t="s">
        <v>299</v>
      </c>
      <c r="AT277" s="13">
        <f t="shared" si="158"/>
        <v>0.75</v>
      </c>
      <c r="AU277" s="1" t="str">
        <f t="shared" si="159"/>
        <v/>
      </c>
      <c r="AV277" s="1" t="str">
        <f t="shared" si="160"/>
        <v/>
      </c>
      <c r="AW277" s="1" t="str">
        <f t="shared" si="161"/>
        <v/>
      </c>
      <c r="AX277" s="1" t="str">
        <f t="shared" si="162"/>
        <v/>
      </c>
      <c r="AY277" s="1" t="str">
        <f t="shared" si="163"/>
        <v/>
      </c>
      <c r="AZ277" s="1" t="str">
        <f t="shared" si="164"/>
        <v/>
      </c>
      <c r="BA277" s="1" t="str">
        <f t="shared" si="165"/>
        <v/>
      </c>
      <c r="BB277" s="1" t="str">
        <f t="shared" si="166"/>
        <v/>
      </c>
      <c r="BC277" s="1" t="str">
        <f t="shared" si="167"/>
        <v/>
      </c>
      <c r="BD277" s="1" t="str">
        <f t="shared" si="168"/>
        <v/>
      </c>
      <c r="BE277" s="1" t="str">
        <f t="shared" si="169"/>
        <v/>
      </c>
      <c r="BF277" s="1" t="str">
        <f t="shared" si="170"/>
        <v/>
      </c>
      <c r="BG277" s="1" t="str">
        <f t="shared" si="171"/>
        <v/>
      </c>
      <c r="BH277" s="1" t="str">
        <f t="shared" si="172"/>
        <v/>
      </c>
      <c r="BI277" s="1" t="str">
        <f t="shared" si="173"/>
        <v/>
      </c>
      <c r="BJ277" s="1" t="str">
        <f t="shared" si="174"/>
        <v/>
      </c>
    </row>
    <row r="278" ht="14.25" customHeight="1" spans="1:62">
      <c r="A278" s="10">
        <v>274</v>
      </c>
      <c r="B278" s="10" t="s">
        <v>986</v>
      </c>
      <c r="C278" s="10">
        <v>1950</v>
      </c>
      <c r="D278" s="10">
        <f t="shared" si="140"/>
        <v>1950</v>
      </c>
      <c r="E278" s="10" t="s">
        <v>801</v>
      </c>
      <c r="F278" s="35" t="s">
        <v>987</v>
      </c>
      <c r="G278" s="10" t="s">
        <v>988</v>
      </c>
      <c r="H278" s="10" t="s">
        <v>140</v>
      </c>
      <c r="I278" s="10" t="s">
        <v>140</v>
      </c>
      <c r="J278" s="10" t="s">
        <v>811</v>
      </c>
      <c r="K278" s="10">
        <v>3</v>
      </c>
      <c r="L278" s="10">
        <v>3</v>
      </c>
      <c r="M278" s="10">
        <v>4</v>
      </c>
      <c r="N278" s="10">
        <v>4</v>
      </c>
      <c r="O278" s="10">
        <v>5</v>
      </c>
      <c r="P278" s="10">
        <v>5</v>
      </c>
      <c r="Q278" s="10">
        <v>2</v>
      </c>
      <c r="R278" s="10">
        <v>3</v>
      </c>
      <c r="S278" s="10">
        <f t="shared" si="141"/>
        <v>0.5</v>
      </c>
      <c r="T278" s="10">
        <f t="shared" si="142"/>
        <v>0.5</v>
      </c>
      <c r="U278" s="10">
        <f t="shared" si="143"/>
        <v>0.75</v>
      </c>
      <c r="V278" s="10">
        <f t="shared" si="144"/>
        <v>0.75</v>
      </c>
      <c r="W278" s="10">
        <f t="shared" si="145"/>
        <v>1</v>
      </c>
      <c r="X278" s="10">
        <f t="shared" si="146"/>
        <v>1</v>
      </c>
      <c r="Y278" s="10">
        <f t="shared" si="147"/>
        <v>0.25</v>
      </c>
      <c r="Z278" s="10">
        <f t="shared" si="148"/>
        <v>0.5</v>
      </c>
      <c r="AA278" s="10" t="str">
        <f t="shared" si="149"/>
        <v/>
      </c>
      <c r="AB278" s="10" t="str">
        <f t="shared" si="150"/>
        <v/>
      </c>
      <c r="AC278" s="10" t="str">
        <f t="shared" si="151"/>
        <v/>
      </c>
      <c r="AD278" s="10" t="str">
        <f t="shared" si="152"/>
        <v/>
      </c>
      <c r="AE278" s="10" t="str">
        <f t="shared" si="153"/>
        <v/>
      </c>
      <c r="AF278" s="10" t="str">
        <f t="shared" si="154"/>
        <v/>
      </c>
      <c r="AG278" s="10" t="str">
        <f t="shared" si="155"/>
        <v/>
      </c>
      <c r="AH278" s="10" t="str">
        <f t="shared" si="156"/>
        <v/>
      </c>
      <c r="AI278" s="10">
        <f>IF(OR(S278="",'4_BENCHMARK'!$C$4=""),"",ABS(S278-'4_BENCHMARK'!$C$4))</f>
        <v>0.5</v>
      </c>
      <c r="AJ278" s="10">
        <f>IF(OR(T278="",'4_BENCHMARK'!$C$5=""),"",ABS(T278-'4_BENCHMARK'!$C$5))</f>
        <v>0.5</v>
      </c>
      <c r="AK278" s="10">
        <f>IF(OR(U278="",'4_BENCHMARK'!$C$6=""),"",ABS(U278-'4_BENCHMARK'!$C$6))</f>
        <v>0.25</v>
      </c>
      <c r="AL278" s="10">
        <f>IF(OR(V278="",'4_BENCHMARK'!$C$7=""),"",ABS(V278-'4_BENCHMARK'!$C$7))</f>
        <v>0.25</v>
      </c>
      <c r="AM278" s="10">
        <f>IF(OR(W278="",'4_BENCHMARK'!$C$8=""),"",ABS(W278-'4_BENCHMARK'!$C$8))</f>
        <v>1</v>
      </c>
      <c r="AN278" s="10">
        <f>IF(OR(X278="",'4_BENCHMARK'!$C$9=""),"",ABS(X278-'4_BENCHMARK'!$C$9))</f>
        <v>1</v>
      </c>
      <c r="AO278" s="10">
        <f>IF(OR(Y278="",'4_BENCHMARK'!$C$10=""),"",ABS(Y278-'4_BENCHMARK'!$C$10))</f>
        <v>0.25</v>
      </c>
      <c r="AP278" s="10">
        <f>IF(OR(Z278="",'4_BENCHMARK'!$C$11=""),"",ABS(Z278-'4_BENCHMARK'!$C$11))</f>
        <v>0.5</v>
      </c>
      <c r="AQ278" s="13">
        <f t="shared" si="157"/>
        <v>0.46875</v>
      </c>
      <c r="AR278" s="10"/>
      <c r="AS278" s="36" t="s">
        <v>299</v>
      </c>
      <c r="AT278" s="13">
        <f t="shared" si="158"/>
        <v>0.625</v>
      </c>
      <c r="AU278" s="1" t="str">
        <f t="shared" si="159"/>
        <v/>
      </c>
      <c r="AV278" s="1" t="str">
        <f t="shared" si="160"/>
        <v/>
      </c>
      <c r="AW278" s="1" t="str">
        <f t="shared" si="161"/>
        <v/>
      </c>
      <c r="AX278" s="1" t="str">
        <f t="shared" si="162"/>
        <v/>
      </c>
      <c r="AY278" s="1" t="str">
        <f t="shared" si="163"/>
        <v/>
      </c>
      <c r="AZ278" s="1" t="str">
        <f t="shared" si="164"/>
        <v/>
      </c>
      <c r="BA278" s="1" t="str">
        <f t="shared" si="165"/>
        <v/>
      </c>
      <c r="BB278" s="1" t="str">
        <f t="shared" si="166"/>
        <v/>
      </c>
      <c r="BC278" s="1" t="str">
        <f t="shared" si="167"/>
        <v/>
      </c>
      <c r="BD278" s="1" t="str">
        <f t="shared" si="168"/>
        <v/>
      </c>
      <c r="BE278" s="1" t="str">
        <f t="shared" si="169"/>
        <v/>
      </c>
      <c r="BF278" s="1" t="str">
        <f t="shared" si="170"/>
        <v/>
      </c>
      <c r="BG278" s="1" t="str">
        <f t="shared" si="171"/>
        <v/>
      </c>
      <c r="BH278" s="1" t="str">
        <f t="shared" si="172"/>
        <v/>
      </c>
      <c r="BI278" s="1" t="str">
        <f t="shared" si="173"/>
        <v/>
      </c>
      <c r="BJ278" s="1" t="str">
        <f t="shared" si="174"/>
        <v/>
      </c>
    </row>
    <row r="279" ht="14.25" customHeight="1" spans="1:62">
      <c r="A279" s="10">
        <v>275</v>
      </c>
      <c r="B279" s="10" t="s">
        <v>989</v>
      </c>
      <c r="C279" s="10">
        <v>1950</v>
      </c>
      <c r="D279" s="10">
        <f t="shared" si="140"/>
        <v>1950</v>
      </c>
      <c r="E279" s="10" t="s">
        <v>801</v>
      </c>
      <c r="F279" s="35" t="s">
        <v>990</v>
      </c>
      <c r="G279" s="10" t="s">
        <v>991</v>
      </c>
      <c r="H279" s="10" t="s">
        <v>140</v>
      </c>
      <c r="I279" s="10" t="s">
        <v>140</v>
      </c>
      <c r="J279" s="10" t="s">
        <v>811</v>
      </c>
      <c r="K279" s="10">
        <v>5</v>
      </c>
      <c r="L279" s="10">
        <v>3</v>
      </c>
      <c r="M279" s="10">
        <v>4</v>
      </c>
      <c r="N279" s="10">
        <v>4</v>
      </c>
      <c r="O279" s="10">
        <v>5</v>
      </c>
      <c r="P279" s="10">
        <v>5</v>
      </c>
      <c r="Q279" s="10">
        <v>2</v>
      </c>
      <c r="R279" s="10">
        <v>5</v>
      </c>
      <c r="S279" s="10">
        <f t="shared" si="141"/>
        <v>1</v>
      </c>
      <c r="T279" s="10">
        <f t="shared" si="142"/>
        <v>0.5</v>
      </c>
      <c r="U279" s="10">
        <f t="shared" si="143"/>
        <v>0.75</v>
      </c>
      <c r="V279" s="10">
        <f t="shared" si="144"/>
        <v>0.75</v>
      </c>
      <c r="W279" s="10">
        <f t="shared" si="145"/>
        <v>1</v>
      </c>
      <c r="X279" s="10">
        <f t="shared" si="146"/>
        <v>1</v>
      </c>
      <c r="Y279" s="10">
        <f t="shared" si="147"/>
        <v>0.25</v>
      </c>
      <c r="Z279" s="10">
        <f t="shared" si="148"/>
        <v>1</v>
      </c>
      <c r="AA279" s="10" t="str">
        <f t="shared" si="149"/>
        <v/>
      </c>
      <c r="AB279" s="10" t="str">
        <f t="shared" si="150"/>
        <v/>
      </c>
      <c r="AC279" s="10" t="str">
        <f t="shared" si="151"/>
        <v/>
      </c>
      <c r="AD279" s="10" t="str">
        <f t="shared" si="152"/>
        <v/>
      </c>
      <c r="AE279" s="10" t="str">
        <f t="shared" si="153"/>
        <v/>
      </c>
      <c r="AF279" s="10" t="str">
        <f t="shared" si="154"/>
        <v/>
      </c>
      <c r="AG279" s="10" t="str">
        <f t="shared" si="155"/>
        <v/>
      </c>
      <c r="AH279" s="10" t="str">
        <f t="shared" si="156"/>
        <v/>
      </c>
      <c r="AI279" s="10">
        <f>IF(OR(S279="",'4_BENCHMARK'!$C$4=""),"",ABS(S279-'4_BENCHMARK'!$C$4))</f>
        <v>0</v>
      </c>
      <c r="AJ279" s="10">
        <f>IF(OR(T279="",'4_BENCHMARK'!$C$5=""),"",ABS(T279-'4_BENCHMARK'!$C$5))</f>
        <v>0.5</v>
      </c>
      <c r="AK279" s="10">
        <f>IF(OR(U279="",'4_BENCHMARK'!$C$6=""),"",ABS(U279-'4_BENCHMARK'!$C$6))</f>
        <v>0.25</v>
      </c>
      <c r="AL279" s="10">
        <f>IF(OR(V279="",'4_BENCHMARK'!$C$7=""),"",ABS(V279-'4_BENCHMARK'!$C$7))</f>
        <v>0.25</v>
      </c>
      <c r="AM279" s="10">
        <f>IF(OR(W279="",'4_BENCHMARK'!$C$8=""),"",ABS(W279-'4_BENCHMARK'!$C$8))</f>
        <v>1</v>
      </c>
      <c r="AN279" s="10">
        <f>IF(OR(X279="",'4_BENCHMARK'!$C$9=""),"",ABS(X279-'4_BENCHMARK'!$C$9))</f>
        <v>1</v>
      </c>
      <c r="AO279" s="10">
        <f>IF(OR(Y279="",'4_BENCHMARK'!$C$10=""),"",ABS(Y279-'4_BENCHMARK'!$C$10))</f>
        <v>0.25</v>
      </c>
      <c r="AP279" s="10">
        <f>IF(OR(Z279="",'4_BENCHMARK'!$C$11=""),"",ABS(Z279-'4_BENCHMARK'!$C$11))</f>
        <v>0</v>
      </c>
      <c r="AQ279" s="13">
        <f t="shared" si="157"/>
        <v>0.59375</v>
      </c>
      <c r="AR279" s="10"/>
      <c r="AS279" s="36" t="s">
        <v>145</v>
      </c>
      <c r="AT279" s="13">
        <f t="shared" si="158"/>
        <v>0.791666666666667</v>
      </c>
      <c r="AU279" s="1" t="str">
        <f t="shared" si="159"/>
        <v/>
      </c>
      <c r="AV279" s="1" t="str">
        <f t="shared" si="160"/>
        <v/>
      </c>
      <c r="AW279" s="1" t="str">
        <f t="shared" si="161"/>
        <v/>
      </c>
      <c r="AX279" s="1" t="str">
        <f t="shared" si="162"/>
        <v/>
      </c>
      <c r="AY279" s="1" t="str">
        <f t="shared" si="163"/>
        <v/>
      </c>
      <c r="AZ279" s="1" t="str">
        <f t="shared" si="164"/>
        <v/>
      </c>
      <c r="BA279" s="1" t="str">
        <f t="shared" si="165"/>
        <v/>
      </c>
      <c r="BB279" s="1" t="str">
        <f t="shared" si="166"/>
        <v/>
      </c>
      <c r="BC279" s="1" t="str">
        <f t="shared" si="167"/>
        <v/>
      </c>
      <c r="BD279" s="1" t="str">
        <f t="shared" si="168"/>
        <v/>
      </c>
      <c r="BE279" s="1" t="str">
        <f t="shared" si="169"/>
        <v/>
      </c>
      <c r="BF279" s="1" t="str">
        <f t="shared" si="170"/>
        <v/>
      </c>
      <c r="BG279" s="1" t="str">
        <f t="shared" si="171"/>
        <v/>
      </c>
      <c r="BH279" s="1" t="str">
        <f t="shared" si="172"/>
        <v/>
      </c>
      <c r="BI279" s="1" t="str">
        <f t="shared" si="173"/>
        <v/>
      </c>
      <c r="BJ279" s="1" t="str">
        <f t="shared" si="174"/>
        <v/>
      </c>
    </row>
    <row r="280" ht="14.25" customHeight="1" spans="1:62">
      <c r="A280" s="10">
        <v>276</v>
      </c>
      <c r="B280" s="10" t="s">
        <v>992</v>
      </c>
      <c r="C280" s="10">
        <v>1950</v>
      </c>
      <c r="D280" s="10">
        <f t="shared" si="140"/>
        <v>1950</v>
      </c>
      <c r="E280" s="10" t="s">
        <v>801</v>
      </c>
      <c r="F280" s="35" t="s">
        <v>993</v>
      </c>
      <c r="G280" s="10" t="s">
        <v>994</v>
      </c>
      <c r="H280" s="10" t="s">
        <v>140</v>
      </c>
      <c r="I280" s="10" t="s">
        <v>140</v>
      </c>
      <c r="J280" s="10" t="s">
        <v>811</v>
      </c>
      <c r="K280" s="10">
        <v>5</v>
      </c>
      <c r="L280" s="10">
        <v>3</v>
      </c>
      <c r="M280" s="10">
        <v>4</v>
      </c>
      <c r="N280" s="10">
        <v>5</v>
      </c>
      <c r="O280" s="10">
        <v>5</v>
      </c>
      <c r="P280" s="10">
        <v>5</v>
      </c>
      <c r="Q280" s="10">
        <v>2</v>
      </c>
      <c r="R280" s="10">
        <v>5</v>
      </c>
      <c r="S280" s="10">
        <f t="shared" si="141"/>
        <v>1</v>
      </c>
      <c r="T280" s="10">
        <f t="shared" si="142"/>
        <v>0.5</v>
      </c>
      <c r="U280" s="10">
        <f t="shared" si="143"/>
        <v>0.75</v>
      </c>
      <c r="V280" s="10">
        <f t="shared" si="144"/>
        <v>1</v>
      </c>
      <c r="W280" s="10">
        <f t="shared" si="145"/>
        <v>1</v>
      </c>
      <c r="X280" s="10">
        <f t="shared" si="146"/>
        <v>1</v>
      </c>
      <c r="Y280" s="10">
        <f t="shared" si="147"/>
        <v>0.25</v>
      </c>
      <c r="Z280" s="10">
        <f t="shared" si="148"/>
        <v>1</v>
      </c>
      <c r="AA280" s="10" t="str">
        <f t="shared" si="149"/>
        <v/>
      </c>
      <c r="AB280" s="10" t="str">
        <f t="shared" si="150"/>
        <v/>
      </c>
      <c r="AC280" s="10" t="str">
        <f t="shared" si="151"/>
        <v/>
      </c>
      <c r="AD280" s="10" t="str">
        <f t="shared" si="152"/>
        <v/>
      </c>
      <c r="AE280" s="10" t="str">
        <f t="shared" si="153"/>
        <v/>
      </c>
      <c r="AF280" s="10" t="str">
        <f t="shared" si="154"/>
        <v/>
      </c>
      <c r="AG280" s="10" t="str">
        <f t="shared" si="155"/>
        <v/>
      </c>
      <c r="AH280" s="10" t="str">
        <f t="shared" si="156"/>
        <v/>
      </c>
      <c r="AI280" s="10">
        <f>IF(OR(S280="",'4_BENCHMARK'!$C$4=""),"",ABS(S280-'4_BENCHMARK'!$C$4))</f>
        <v>0</v>
      </c>
      <c r="AJ280" s="10">
        <f>IF(OR(T280="",'4_BENCHMARK'!$C$5=""),"",ABS(T280-'4_BENCHMARK'!$C$5))</f>
        <v>0.5</v>
      </c>
      <c r="AK280" s="10">
        <f>IF(OR(U280="",'4_BENCHMARK'!$C$6=""),"",ABS(U280-'4_BENCHMARK'!$C$6))</f>
        <v>0.25</v>
      </c>
      <c r="AL280" s="10">
        <f>IF(OR(V280="",'4_BENCHMARK'!$C$7=""),"",ABS(V280-'4_BENCHMARK'!$C$7))</f>
        <v>0</v>
      </c>
      <c r="AM280" s="10">
        <f>IF(OR(W280="",'4_BENCHMARK'!$C$8=""),"",ABS(W280-'4_BENCHMARK'!$C$8))</f>
        <v>1</v>
      </c>
      <c r="AN280" s="10">
        <f>IF(OR(X280="",'4_BENCHMARK'!$C$9=""),"",ABS(X280-'4_BENCHMARK'!$C$9))</f>
        <v>1</v>
      </c>
      <c r="AO280" s="10">
        <f>IF(OR(Y280="",'4_BENCHMARK'!$C$10=""),"",ABS(Y280-'4_BENCHMARK'!$C$10))</f>
        <v>0.25</v>
      </c>
      <c r="AP280" s="10">
        <f>IF(OR(Z280="",'4_BENCHMARK'!$C$11=""),"",ABS(Z280-'4_BENCHMARK'!$C$11))</f>
        <v>0</v>
      </c>
      <c r="AQ280" s="13">
        <f t="shared" si="157"/>
        <v>0.625</v>
      </c>
      <c r="AR280" s="10"/>
      <c r="AS280" s="36" t="s">
        <v>145</v>
      </c>
      <c r="AT280" s="13">
        <f t="shared" si="158"/>
        <v>0.833333333333333</v>
      </c>
      <c r="AU280" s="1" t="str">
        <f t="shared" si="159"/>
        <v/>
      </c>
      <c r="AV280" s="1" t="str">
        <f t="shared" si="160"/>
        <v/>
      </c>
      <c r="AW280" s="1" t="str">
        <f t="shared" si="161"/>
        <v/>
      </c>
      <c r="AX280" s="1" t="str">
        <f t="shared" si="162"/>
        <v/>
      </c>
      <c r="AY280" s="1" t="str">
        <f t="shared" si="163"/>
        <v/>
      </c>
      <c r="AZ280" s="1" t="str">
        <f t="shared" si="164"/>
        <v/>
      </c>
      <c r="BA280" s="1" t="str">
        <f t="shared" si="165"/>
        <v/>
      </c>
      <c r="BB280" s="1" t="str">
        <f t="shared" si="166"/>
        <v/>
      </c>
      <c r="BC280" s="1" t="str">
        <f t="shared" si="167"/>
        <v/>
      </c>
      <c r="BD280" s="1" t="str">
        <f t="shared" si="168"/>
        <v/>
      </c>
      <c r="BE280" s="1" t="str">
        <f t="shared" si="169"/>
        <v/>
      </c>
      <c r="BF280" s="1" t="str">
        <f t="shared" si="170"/>
        <v/>
      </c>
      <c r="BG280" s="1" t="str">
        <f t="shared" si="171"/>
        <v/>
      </c>
      <c r="BH280" s="1" t="str">
        <f t="shared" si="172"/>
        <v/>
      </c>
      <c r="BI280" s="1" t="str">
        <f t="shared" si="173"/>
        <v/>
      </c>
      <c r="BJ280" s="1" t="str">
        <f t="shared" si="174"/>
        <v/>
      </c>
    </row>
    <row r="281" ht="14.25" customHeight="1" spans="1:62">
      <c r="A281" s="10">
        <v>277</v>
      </c>
      <c r="B281" s="10" t="s">
        <v>995</v>
      </c>
      <c r="C281" s="10">
        <v>1955</v>
      </c>
      <c r="D281" s="10">
        <f t="shared" si="140"/>
        <v>1950</v>
      </c>
      <c r="E281" s="10" t="s">
        <v>996</v>
      </c>
      <c r="F281" s="35" t="s">
        <v>997</v>
      </c>
      <c r="G281" s="10" t="s">
        <v>998</v>
      </c>
      <c r="H281" s="10" t="s">
        <v>139</v>
      </c>
      <c r="I281" s="10" t="s">
        <v>140</v>
      </c>
      <c r="J281" s="10" t="s">
        <v>999</v>
      </c>
      <c r="K281" s="10">
        <v>5</v>
      </c>
      <c r="L281" s="10">
        <v>5</v>
      </c>
      <c r="M281" s="10">
        <v>5</v>
      </c>
      <c r="N281" s="10">
        <v>5</v>
      </c>
      <c r="O281" s="10">
        <v>5</v>
      </c>
      <c r="P281" s="10">
        <v>5</v>
      </c>
      <c r="Q281" s="10">
        <v>2</v>
      </c>
      <c r="R281" s="10">
        <v>5</v>
      </c>
      <c r="S281" s="10">
        <f t="shared" si="141"/>
        <v>1</v>
      </c>
      <c r="T281" s="10">
        <f t="shared" si="142"/>
        <v>1</v>
      </c>
      <c r="U281" s="10">
        <f t="shared" si="143"/>
        <v>1</v>
      </c>
      <c r="V281" s="10">
        <f t="shared" si="144"/>
        <v>1</v>
      </c>
      <c r="W281" s="10">
        <f t="shared" si="145"/>
        <v>1</v>
      </c>
      <c r="X281" s="10">
        <f t="shared" si="146"/>
        <v>1</v>
      </c>
      <c r="Y281" s="10">
        <f t="shared" si="147"/>
        <v>0.25</v>
      </c>
      <c r="Z281" s="10">
        <f t="shared" si="148"/>
        <v>1</v>
      </c>
      <c r="AA281" s="10" t="str">
        <f t="shared" si="149"/>
        <v/>
      </c>
      <c r="AB281" s="10" t="str">
        <f t="shared" si="150"/>
        <v/>
      </c>
      <c r="AC281" s="10" t="str">
        <f t="shared" si="151"/>
        <v/>
      </c>
      <c r="AD281" s="10" t="str">
        <f t="shared" si="152"/>
        <v/>
      </c>
      <c r="AE281" s="10" t="str">
        <f t="shared" si="153"/>
        <v/>
      </c>
      <c r="AF281" s="10" t="str">
        <f t="shared" si="154"/>
        <v/>
      </c>
      <c r="AG281" s="10" t="str">
        <f t="shared" si="155"/>
        <v/>
      </c>
      <c r="AH281" s="10" t="str">
        <f t="shared" si="156"/>
        <v/>
      </c>
      <c r="AI281" s="10">
        <f>IF(OR(S281="",'4_BENCHMARK'!$C$4=""),"",ABS(S281-'4_BENCHMARK'!$C$4))</f>
        <v>0</v>
      </c>
      <c r="AJ281" s="10">
        <f>IF(OR(T281="",'4_BENCHMARK'!$C$5=""),"",ABS(T281-'4_BENCHMARK'!$C$5))</f>
        <v>0</v>
      </c>
      <c r="AK281" s="10">
        <f>IF(OR(U281="",'4_BENCHMARK'!$C$6=""),"",ABS(U281-'4_BENCHMARK'!$C$6))</f>
        <v>0</v>
      </c>
      <c r="AL281" s="10">
        <f>IF(OR(V281="",'4_BENCHMARK'!$C$7=""),"",ABS(V281-'4_BENCHMARK'!$C$7))</f>
        <v>0</v>
      </c>
      <c r="AM281" s="10">
        <f>IF(OR(W281="",'4_BENCHMARK'!$C$8=""),"",ABS(W281-'4_BENCHMARK'!$C$8))</f>
        <v>1</v>
      </c>
      <c r="AN281" s="10">
        <f>IF(OR(X281="",'4_BENCHMARK'!$C$9=""),"",ABS(X281-'4_BENCHMARK'!$C$9))</f>
        <v>1</v>
      </c>
      <c r="AO281" s="10">
        <f>IF(OR(Y281="",'4_BENCHMARK'!$C$10=""),"",ABS(Y281-'4_BENCHMARK'!$C$10))</f>
        <v>0.25</v>
      </c>
      <c r="AP281" s="10">
        <f>IF(OR(Z281="",'4_BENCHMARK'!$C$11=""),"",ABS(Z281-'4_BENCHMARK'!$C$11))</f>
        <v>0</v>
      </c>
      <c r="AQ281" s="13">
        <f t="shared" si="157"/>
        <v>0.71875</v>
      </c>
      <c r="AR281" s="10"/>
      <c r="AS281" s="36" t="s">
        <v>149</v>
      </c>
      <c r="AT281" s="13">
        <f t="shared" si="158"/>
        <v>0.958333333333333</v>
      </c>
      <c r="AU281" s="1" t="str">
        <f t="shared" si="159"/>
        <v/>
      </c>
      <c r="AV281" s="1" t="str">
        <f t="shared" si="160"/>
        <v/>
      </c>
      <c r="AW281" s="1" t="str">
        <f t="shared" si="161"/>
        <v/>
      </c>
      <c r="AX281" s="1" t="str">
        <f t="shared" si="162"/>
        <v/>
      </c>
      <c r="AY281" s="1" t="str">
        <f t="shared" si="163"/>
        <v/>
      </c>
      <c r="AZ281" s="1" t="str">
        <f t="shared" si="164"/>
        <v/>
      </c>
      <c r="BA281" s="1" t="str">
        <f t="shared" si="165"/>
        <v/>
      </c>
      <c r="BB281" s="1" t="str">
        <f t="shared" si="166"/>
        <v/>
      </c>
      <c r="BC281" s="1" t="str">
        <f t="shared" si="167"/>
        <v/>
      </c>
      <c r="BD281" s="1" t="str">
        <f t="shared" si="168"/>
        <v/>
      </c>
      <c r="BE281" s="1" t="str">
        <f t="shared" si="169"/>
        <v/>
      </c>
      <c r="BF281" s="1" t="str">
        <f t="shared" si="170"/>
        <v/>
      </c>
      <c r="BG281" s="1" t="str">
        <f t="shared" si="171"/>
        <v/>
      </c>
      <c r="BH281" s="1" t="str">
        <f t="shared" si="172"/>
        <v/>
      </c>
      <c r="BI281" s="1" t="str">
        <f t="shared" si="173"/>
        <v/>
      </c>
      <c r="BJ281" s="1" t="str">
        <f t="shared" si="174"/>
        <v/>
      </c>
    </row>
    <row r="282" ht="14.25" customHeight="1" spans="1:62">
      <c r="A282" s="10">
        <v>278</v>
      </c>
      <c r="B282" s="10" t="s">
        <v>1000</v>
      </c>
      <c r="C282" s="10">
        <v>1950</v>
      </c>
      <c r="D282" s="10">
        <f t="shared" si="140"/>
        <v>1950</v>
      </c>
      <c r="E282" s="10" t="s">
        <v>1001</v>
      </c>
      <c r="F282" s="35" t="s">
        <v>1002</v>
      </c>
      <c r="G282" s="10" t="s">
        <v>1003</v>
      </c>
      <c r="H282" s="10" t="s">
        <v>139</v>
      </c>
      <c r="I282" s="10" t="s">
        <v>140</v>
      </c>
      <c r="J282" s="10" t="s">
        <v>811</v>
      </c>
      <c r="K282" s="10">
        <v>5</v>
      </c>
      <c r="L282" s="10">
        <v>5</v>
      </c>
      <c r="M282" s="10">
        <v>5</v>
      </c>
      <c r="N282" s="10">
        <v>5</v>
      </c>
      <c r="O282" s="10">
        <v>5</v>
      </c>
      <c r="P282" s="10">
        <v>5</v>
      </c>
      <c r="Q282" s="10">
        <v>2</v>
      </c>
      <c r="R282" s="10">
        <v>5</v>
      </c>
      <c r="S282" s="10">
        <f t="shared" si="141"/>
        <v>1</v>
      </c>
      <c r="T282" s="10">
        <f t="shared" si="142"/>
        <v>1</v>
      </c>
      <c r="U282" s="10">
        <f t="shared" si="143"/>
        <v>1</v>
      </c>
      <c r="V282" s="10">
        <f t="shared" si="144"/>
        <v>1</v>
      </c>
      <c r="W282" s="10">
        <f t="shared" si="145"/>
        <v>1</v>
      </c>
      <c r="X282" s="10">
        <f t="shared" si="146"/>
        <v>1</v>
      </c>
      <c r="Y282" s="10">
        <f t="shared" si="147"/>
        <v>0.25</v>
      </c>
      <c r="Z282" s="10">
        <f t="shared" si="148"/>
        <v>1</v>
      </c>
      <c r="AA282" s="10" t="str">
        <f t="shared" si="149"/>
        <v/>
      </c>
      <c r="AB282" s="10" t="str">
        <f t="shared" si="150"/>
        <v/>
      </c>
      <c r="AC282" s="10" t="str">
        <f t="shared" si="151"/>
        <v/>
      </c>
      <c r="AD282" s="10" t="str">
        <f t="shared" si="152"/>
        <v/>
      </c>
      <c r="AE282" s="10" t="str">
        <f t="shared" si="153"/>
        <v/>
      </c>
      <c r="AF282" s="10" t="str">
        <f t="shared" si="154"/>
        <v/>
      </c>
      <c r="AG282" s="10" t="str">
        <f t="shared" si="155"/>
        <v/>
      </c>
      <c r="AH282" s="10" t="str">
        <f t="shared" si="156"/>
        <v/>
      </c>
      <c r="AI282" s="10">
        <f>IF(OR(S282="",'4_BENCHMARK'!$C$4=""),"",ABS(S282-'4_BENCHMARK'!$C$4))</f>
        <v>0</v>
      </c>
      <c r="AJ282" s="10">
        <f>IF(OR(T282="",'4_BENCHMARK'!$C$5=""),"",ABS(T282-'4_BENCHMARK'!$C$5))</f>
        <v>0</v>
      </c>
      <c r="AK282" s="10">
        <f>IF(OR(U282="",'4_BENCHMARK'!$C$6=""),"",ABS(U282-'4_BENCHMARK'!$C$6))</f>
        <v>0</v>
      </c>
      <c r="AL282" s="10">
        <f>IF(OR(V282="",'4_BENCHMARK'!$C$7=""),"",ABS(V282-'4_BENCHMARK'!$C$7))</f>
        <v>0</v>
      </c>
      <c r="AM282" s="10">
        <f>IF(OR(W282="",'4_BENCHMARK'!$C$8=""),"",ABS(W282-'4_BENCHMARK'!$C$8))</f>
        <v>1</v>
      </c>
      <c r="AN282" s="10">
        <f>IF(OR(X282="",'4_BENCHMARK'!$C$9=""),"",ABS(X282-'4_BENCHMARK'!$C$9))</f>
        <v>1</v>
      </c>
      <c r="AO282" s="10">
        <f>IF(OR(Y282="",'4_BENCHMARK'!$C$10=""),"",ABS(Y282-'4_BENCHMARK'!$C$10))</f>
        <v>0.25</v>
      </c>
      <c r="AP282" s="10">
        <f>IF(OR(Z282="",'4_BENCHMARK'!$C$11=""),"",ABS(Z282-'4_BENCHMARK'!$C$11))</f>
        <v>0</v>
      </c>
      <c r="AQ282" s="13">
        <f t="shared" si="157"/>
        <v>0.71875</v>
      </c>
      <c r="AR282" s="10"/>
      <c r="AS282" s="36" t="s">
        <v>149</v>
      </c>
      <c r="AT282" s="13">
        <f t="shared" si="158"/>
        <v>0.958333333333333</v>
      </c>
      <c r="AU282" s="1" t="str">
        <f t="shared" si="159"/>
        <v/>
      </c>
      <c r="AV282" s="1" t="str">
        <f t="shared" si="160"/>
        <v/>
      </c>
      <c r="AW282" s="1" t="str">
        <f t="shared" si="161"/>
        <v/>
      </c>
      <c r="AX282" s="1" t="str">
        <f t="shared" si="162"/>
        <v/>
      </c>
      <c r="AY282" s="1" t="str">
        <f t="shared" si="163"/>
        <v/>
      </c>
      <c r="AZ282" s="1" t="str">
        <f t="shared" si="164"/>
        <v/>
      </c>
      <c r="BA282" s="1" t="str">
        <f t="shared" si="165"/>
        <v/>
      </c>
      <c r="BB282" s="1" t="str">
        <f t="shared" si="166"/>
        <v/>
      </c>
      <c r="BC282" s="1" t="str">
        <f t="shared" si="167"/>
        <v/>
      </c>
      <c r="BD282" s="1" t="str">
        <f t="shared" si="168"/>
        <v/>
      </c>
      <c r="BE282" s="1" t="str">
        <f t="shared" si="169"/>
        <v/>
      </c>
      <c r="BF282" s="1" t="str">
        <f t="shared" si="170"/>
        <v/>
      </c>
      <c r="BG282" s="1" t="str">
        <f t="shared" si="171"/>
        <v/>
      </c>
      <c r="BH282" s="1" t="str">
        <f t="shared" si="172"/>
        <v/>
      </c>
      <c r="BI282" s="1" t="str">
        <f t="shared" si="173"/>
        <v/>
      </c>
      <c r="BJ282" s="1" t="str">
        <f t="shared" si="174"/>
        <v/>
      </c>
    </row>
    <row r="283" ht="14.25" customHeight="1" spans="1:62">
      <c r="A283" s="10">
        <v>279</v>
      </c>
      <c r="B283" s="10" t="s">
        <v>1004</v>
      </c>
      <c r="C283" s="10">
        <v>1960</v>
      </c>
      <c r="D283" s="10">
        <f t="shared" si="140"/>
        <v>1960</v>
      </c>
      <c r="E283" s="10" t="s">
        <v>1005</v>
      </c>
      <c r="F283" s="35" t="s">
        <v>1006</v>
      </c>
      <c r="G283" s="10" t="s">
        <v>1007</v>
      </c>
      <c r="H283" s="10" t="s">
        <v>140</v>
      </c>
      <c r="I283" s="10" t="s">
        <v>140</v>
      </c>
      <c r="J283" s="10" t="s">
        <v>556</v>
      </c>
      <c r="K283" s="10">
        <v>4</v>
      </c>
      <c r="L283" s="10">
        <v>4</v>
      </c>
      <c r="M283" s="10">
        <v>4</v>
      </c>
      <c r="N283" s="10">
        <v>5</v>
      </c>
      <c r="O283" s="10">
        <v>5</v>
      </c>
      <c r="P283" s="10">
        <v>5</v>
      </c>
      <c r="Q283" s="10">
        <v>2</v>
      </c>
      <c r="R283" s="10">
        <v>5</v>
      </c>
      <c r="S283" s="10">
        <f t="shared" si="141"/>
        <v>0.75</v>
      </c>
      <c r="T283" s="10">
        <f t="shared" si="142"/>
        <v>0.75</v>
      </c>
      <c r="U283" s="10">
        <f t="shared" si="143"/>
        <v>0.75</v>
      </c>
      <c r="V283" s="10">
        <f t="shared" si="144"/>
        <v>1</v>
      </c>
      <c r="W283" s="10">
        <f t="shared" si="145"/>
        <v>1</v>
      </c>
      <c r="X283" s="10">
        <f t="shared" si="146"/>
        <v>1</v>
      </c>
      <c r="Y283" s="10">
        <f t="shared" si="147"/>
        <v>0.25</v>
      </c>
      <c r="Z283" s="10">
        <f t="shared" si="148"/>
        <v>1</v>
      </c>
      <c r="AA283" s="10" t="str">
        <f t="shared" si="149"/>
        <v/>
      </c>
      <c r="AB283" s="10" t="str">
        <f t="shared" si="150"/>
        <v/>
      </c>
      <c r="AC283" s="10" t="str">
        <f t="shared" si="151"/>
        <v/>
      </c>
      <c r="AD283" s="10" t="str">
        <f t="shared" si="152"/>
        <v/>
      </c>
      <c r="AE283" s="10" t="str">
        <f t="shared" si="153"/>
        <v/>
      </c>
      <c r="AF283" s="10" t="str">
        <f t="shared" si="154"/>
        <v/>
      </c>
      <c r="AG283" s="10" t="str">
        <f t="shared" si="155"/>
        <v/>
      </c>
      <c r="AH283" s="10" t="str">
        <f t="shared" si="156"/>
        <v/>
      </c>
      <c r="AI283" s="10">
        <f>IF(OR(S283="",'4_BENCHMARK'!$C$4=""),"",ABS(S283-'4_BENCHMARK'!$C$4))</f>
        <v>0.25</v>
      </c>
      <c r="AJ283" s="10">
        <f>IF(OR(T283="",'4_BENCHMARK'!$C$5=""),"",ABS(T283-'4_BENCHMARK'!$C$5))</f>
        <v>0.25</v>
      </c>
      <c r="AK283" s="10">
        <f>IF(OR(U283="",'4_BENCHMARK'!$C$6=""),"",ABS(U283-'4_BENCHMARK'!$C$6))</f>
        <v>0.25</v>
      </c>
      <c r="AL283" s="10">
        <f>IF(OR(V283="",'4_BENCHMARK'!$C$7=""),"",ABS(V283-'4_BENCHMARK'!$C$7))</f>
        <v>0</v>
      </c>
      <c r="AM283" s="10">
        <f>IF(OR(W283="",'4_BENCHMARK'!$C$8=""),"",ABS(W283-'4_BENCHMARK'!$C$8))</f>
        <v>1</v>
      </c>
      <c r="AN283" s="10">
        <f>IF(OR(X283="",'4_BENCHMARK'!$C$9=""),"",ABS(X283-'4_BENCHMARK'!$C$9))</f>
        <v>1</v>
      </c>
      <c r="AO283" s="10">
        <f>IF(OR(Y283="",'4_BENCHMARK'!$C$10=""),"",ABS(Y283-'4_BENCHMARK'!$C$10))</f>
        <v>0.25</v>
      </c>
      <c r="AP283" s="10">
        <f>IF(OR(Z283="",'4_BENCHMARK'!$C$11=""),"",ABS(Z283-'4_BENCHMARK'!$C$11))</f>
        <v>0</v>
      </c>
      <c r="AQ283" s="13">
        <f t="shared" si="157"/>
        <v>0.625</v>
      </c>
      <c r="AR283" s="10"/>
      <c r="AS283" s="36" t="s">
        <v>145</v>
      </c>
      <c r="AT283" s="13">
        <f t="shared" si="158"/>
        <v>0.833333333333333</v>
      </c>
      <c r="AU283" s="1" t="str">
        <f t="shared" si="159"/>
        <v/>
      </c>
      <c r="AV283" s="1" t="str">
        <f t="shared" si="160"/>
        <v/>
      </c>
      <c r="AW283" s="1" t="str">
        <f t="shared" si="161"/>
        <v/>
      </c>
      <c r="AX283" s="1" t="str">
        <f t="shared" si="162"/>
        <v/>
      </c>
      <c r="AY283" s="1" t="str">
        <f t="shared" si="163"/>
        <v/>
      </c>
      <c r="AZ283" s="1" t="str">
        <f t="shared" si="164"/>
        <v/>
      </c>
      <c r="BA283" s="1" t="str">
        <f t="shared" si="165"/>
        <v/>
      </c>
      <c r="BB283" s="1" t="str">
        <f t="shared" si="166"/>
        <v/>
      </c>
      <c r="BC283" s="1" t="str">
        <f t="shared" si="167"/>
        <v/>
      </c>
      <c r="BD283" s="1" t="str">
        <f t="shared" si="168"/>
        <v/>
      </c>
      <c r="BE283" s="1" t="str">
        <f t="shared" si="169"/>
        <v/>
      </c>
      <c r="BF283" s="1" t="str">
        <f t="shared" si="170"/>
        <v/>
      </c>
      <c r="BG283" s="1" t="str">
        <f t="shared" si="171"/>
        <v/>
      </c>
      <c r="BH283" s="1" t="str">
        <f t="shared" si="172"/>
        <v/>
      </c>
      <c r="BI283" s="1" t="str">
        <f t="shared" si="173"/>
        <v/>
      </c>
      <c r="BJ283" s="1" t="str">
        <f t="shared" si="174"/>
        <v/>
      </c>
    </row>
    <row r="284" ht="14.25" customHeight="1" spans="1:62">
      <c r="A284" s="10">
        <v>280</v>
      </c>
      <c r="B284" s="10" t="s">
        <v>1008</v>
      </c>
      <c r="C284" s="10">
        <v>1960</v>
      </c>
      <c r="D284" s="10">
        <f t="shared" si="140"/>
        <v>1960</v>
      </c>
      <c r="E284" s="10" t="s">
        <v>801</v>
      </c>
      <c r="F284" s="35" t="s">
        <v>1009</v>
      </c>
      <c r="G284" s="10" t="s">
        <v>1010</v>
      </c>
      <c r="H284" s="10" t="s">
        <v>140</v>
      </c>
      <c r="I284" s="10" t="s">
        <v>140</v>
      </c>
      <c r="J284" s="10" t="s">
        <v>556</v>
      </c>
      <c r="K284" s="10">
        <v>4</v>
      </c>
      <c r="L284" s="10">
        <v>4</v>
      </c>
      <c r="M284" s="10">
        <v>4</v>
      </c>
      <c r="N284" s="10">
        <v>5</v>
      </c>
      <c r="O284" s="10">
        <v>5</v>
      </c>
      <c r="P284" s="10">
        <v>5</v>
      </c>
      <c r="Q284" s="10">
        <v>1</v>
      </c>
      <c r="R284" s="10">
        <v>5</v>
      </c>
      <c r="S284" s="10">
        <f t="shared" si="141"/>
        <v>0.75</v>
      </c>
      <c r="T284" s="10">
        <f t="shared" si="142"/>
        <v>0.75</v>
      </c>
      <c r="U284" s="10">
        <f t="shared" si="143"/>
        <v>0.75</v>
      </c>
      <c r="V284" s="10">
        <f t="shared" si="144"/>
        <v>1</v>
      </c>
      <c r="W284" s="10">
        <f t="shared" si="145"/>
        <v>1</v>
      </c>
      <c r="X284" s="10">
        <f t="shared" si="146"/>
        <v>1</v>
      </c>
      <c r="Y284" s="10">
        <f t="shared" si="147"/>
        <v>0</v>
      </c>
      <c r="Z284" s="10">
        <f t="shared" si="148"/>
        <v>1</v>
      </c>
      <c r="AA284" s="10" t="str">
        <f t="shared" si="149"/>
        <v/>
      </c>
      <c r="AB284" s="10" t="str">
        <f t="shared" si="150"/>
        <v/>
      </c>
      <c r="AC284" s="10" t="str">
        <f t="shared" si="151"/>
        <v/>
      </c>
      <c r="AD284" s="10" t="str">
        <f t="shared" si="152"/>
        <v/>
      </c>
      <c r="AE284" s="10" t="str">
        <f t="shared" si="153"/>
        <v/>
      </c>
      <c r="AF284" s="10" t="str">
        <f t="shared" si="154"/>
        <v/>
      </c>
      <c r="AG284" s="10" t="str">
        <f t="shared" si="155"/>
        <v/>
      </c>
      <c r="AH284" s="10" t="str">
        <f t="shared" si="156"/>
        <v/>
      </c>
      <c r="AI284" s="10">
        <f>IF(OR(S284="",'4_BENCHMARK'!$C$4=""),"",ABS(S284-'4_BENCHMARK'!$C$4))</f>
        <v>0.25</v>
      </c>
      <c r="AJ284" s="10">
        <f>IF(OR(T284="",'4_BENCHMARK'!$C$5=""),"",ABS(T284-'4_BENCHMARK'!$C$5))</f>
        <v>0.25</v>
      </c>
      <c r="AK284" s="10">
        <f>IF(OR(U284="",'4_BENCHMARK'!$C$6=""),"",ABS(U284-'4_BENCHMARK'!$C$6))</f>
        <v>0.25</v>
      </c>
      <c r="AL284" s="10">
        <f>IF(OR(V284="",'4_BENCHMARK'!$C$7=""),"",ABS(V284-'4_BENCHMARK'!$C$7))</f>
        <v>0</v>
      </c>
      <c r="AM284" s="10">
        <f>IF(OR(W284="",'4_BENCHMARK'!$C$8=""),"",ABS(W284-'4_BENCHMARK'!$C$8))</f>
        <v>1</v>
      </c>
      <c r="AN284" s="10">
        <f>IF(OR(X284="",'4_BENCHMARK'!$C$9=""),"",ABS(X284-'4_BENCHMARK'!$C$9))</f>
        <v>1</v>
      </c>
      <c r="AO284" s="10">
        <f>IF(OR(Y284="",'4_BENCHMARK'!$C$10=""),"",ABS(Y284-'4_BENCHMARK'!$C$10))</f>
        <v>0.5</v>
      </c>
      <c r="AP284" s="10">
        <f>IF(OR(Z284="",'4_BENCHMARK'!$C$11=""),"",ABS(Z284-'4_BENCHMARK'!$C$11))</f>
        <v>0</v>
      </c>
      <c r="AQ284" s="13">
        <f t="shared" si="157"/>
        <v>0.59375</v>
      </c>
      <c r="AR284" s="10"/>
      <c r="AS284" s="36" t="s">
        <v>145</v>
      </c>
      <c r="AT284" s="13">
        <f t="shared" si="158"/>
        <v>0.791666666666667</v>
      </c>
      <c r="AU284" s="1" t="str">
        <f t="shared" si="159"/>
        <v/>
      </c>
      <c r="AV284" s="1" t="str">
        <f t="shared" si="160"/>
        <v/>
      </c>
      <c r="AW284" s="1" t="str">
        <f t="shared" si="161"/>
        <v/>
      </c>
      <c r="AX284" s="1" t="str">
        <f t="shared" si="162"/>
        <v/>
      </c>
      <c r="AY284" s="1" t="str">
        <f t="shared" si="163"/>
        <v/>
      </c>
      <c r="AZ284" s="1" t="str">
        <f t="shared" si="164"/>
        <v/>
      </c>
      <c r="BA284" s="1" t="str">
        <f t="shared" si="165"/>
        <v/>
      </c>
      <c r="BB284" s="1" t="str">
        <f t="shared" si="166"/>
        <v/>
      </c>
      <c r="BC284" s="1" t="str">
        <f t="shared" si="167"/>
        <v/>
      </c>
      <c r="BD284" s="1" t="str">
        <f t="shared" si="168"/>
        <v/>
      </c>
      <c r="BE284" s="1" t="str">
        <f t="shared" si="169"/>
        <v/>
      </c>
      <c r="BF284" s="1" t="str">
        <f t="shared" si="170"/>
        <v/>
      </c>
      <c r="BG284" s="1" t="str">
        <f t="shared" si="171"/>
        <v/>
      </c>
      <c r="BH284" s="1" t="str">
        <f t="shared" si="172"/>
        <v/>
      </c>
      <c r="BI284" s="1" t="str">
        <f t="shared" si="173"/>
        <v/>
      </c>
      <c r="BJ284" s="1" t="str">
        <f t="shared" si="174"/>
        <v/>
      </c>
    </row>
    <row r="285" ht="14.25" customHeight="1" spans="1:62">
      <c r="A285" s="10">
        <v>281</v>
      </c>
      <c r="B285" s="10" t="s">
        <v>1011</v>
      </c>
      <c r="C285" s="10">
        <v>1960</v>
      </c>
      <c r="D285" s="10">
        <f t="shared" si="140"/>
        <v>1960</v>
      </c>
      <c r="E285" s="10" t="s">
        <v>801</v>
      </c>
      <c r="F285" s="35" t="s">
        <v>1012</v>
      </c>
      <c r="G285" s="10" t="s">
        <v>1013</v>
      </c>
      <c r="H285" s="10" t="s">
        <v>140</v>
      </c>
      <c r="I285" s="10" t="s">
        <v>140</v>
      </c>
      <c r="J285" s="10" t="s">
        <v>374</v>
      </c>
      <c r="K285" s="10">
        <v>4</v>
      </c>
      <c r="L285" s="10">
        <v>4</v>
      </c>
      <c r="M285" s="10">
        <v>5</v>
      </c>
      <c r="N285" s="10">
        <v>5</v>
      </c>
      <c r="O285" s="10">
        <v>5</v>
      </c>
      <c r="P285" s="10">
        <v>5</v>
      </c>
      <c r="Q285" s="10">
        <v>1</v>
      </c>
      <c r="R285" s="10">
        <v>4</v>
      </c>
      <c r="S285" s="10">
        <f t="shared" si="141"/>
        <v>0.75</v>
      </c>
      <c r="T285" s="10">
        <f t="shared" si="142"/>
        <v>0.75</v>
      </c>
      <c r="U285" s="10">
        <f t="shared" si="143"/>
        <v>1</v>
      </c>
      <c r="V285" s="10">
        <f t="shared" si="144"/>
        <v>1</v>
      </c>
      <c r="W285" s="10">
        <f t="shared" si="145"/>
        <v>1</v>
      </c>
      <c r="X285" s="10">
        <f t="shared" si="146"/>
        <v>1</v>
      </c>
      <c r="Y285" s="10">
        <f t="shared" si="147"/>
        <v>0</v>
      </c>
      <c r="Z285" s="10">
        <f t="shared" si="148"/>
        <v>0.75</v>
      </c>
      <c r="AA285" s="10" t="str">
        <f t="shared" si="149"/>
        <v/>
      </c>
      <c r="AB285" s="10" t="str">
        <f t="shared" si="150"/>
        <v/>
      </c>
      <c r="AC285" s="10" t="str">
        <f t="shared" si="151"/>
        <v/>
      </c>
      <c r="AD285" s="10" t="str">
        <f t="shared" si="152"/>
        <v/>
      </c>
      <c r="AE285" s="10" t="str">
        <f t="shared" si="153"/>
        <v/>
      </c>
      <c r="AF285" s="10" t="str">
        <f t="shared" si="154"/>
        <v/>
      </c>
      <c r="AG285" s="10" t="str">
        <f t="shared" si="155"/>
        <v/>
      </c>
      <c r="AH285" s="10" t="str">
        <f t="shared" si="156"/>
        <v/>
      </c>
      <c r="AI285" s="10">
        <f>IF(OR(S285="",'4_BENCHMARK'!$C$4=""),"",ABS(S285-'4_BENCHMARK'!$C$4))</f>
        <v>0.25</v>
      </c>
      <c r="AJ285" s="10">
        <f>IF(OR(T285="",'4_BENCHMARK'!$C$5=""),"",ABS(T285-'4_BENCHMARK'!$C$5))</f>
        <v>0.25</v>
      </c>
      <c r="AK285" s="10">
        <f>IF(OR(U285="",'4_BENCHMARK'!$C$6=""),"",ABS(U285-'4_BENCHMARK'!$C$6))</f>
        <v>0</v>
      </c>
      <c r="AL285" s="10">
        <f>IF(OR(V285="",'4_BENCHMARK'!$C$7=""),"",ABS(V285-'4_BENCHMARK'!$C$7))</f>
        <v>0</v>
      </c>
      <c r="AM285" s="10">
        <f>IF(OR(W285="",'4_BENCHMARK'!$C$8=""),"",ABS(W285-'4_BENCHMARK'!$C$8))</f>
        <v>1</v>
      </c>
      <c r="AN285" s="10">
        <f>IF(OR(X285="",'4_BENCHMARK'!$C$9=""),"",ABS(X285-'4_BENCHMARK'!$C$9))</f>
        <v>1</v>
      </c>
      <c r="AO285" s="10">
        <f>IF(OR(Y285="",'4_BENCHMARK'!$C$10=""),"",ABS(Y285-'4_BENCHMARK'!$C$10))</f>
        <v>0.5</v>
      </c>
      <c r="AP285" s="10">
        <f>IF(OR(Z285="",'4_BENCHMARK'!$C$11=""),"",ABS(Z285-'4_BENCHMARK'!$C$11))</f>
        <v>0.25</v>
      </c>
      <c r="AQ285" s="13">
        <f t="shared" si="157"/>
        <v>0.59375</v>
      </c>
      <c r="AR285" s="10"/>
      <c r="AS285" s="36" t="s">
        <v>145</v>
      </c>
      <c r="AT285" s="13">
        <f t="shared" si="158"/>
        <v>0.791666666666667</v>
      </c>
      <c r="AU285" s="1" t="str">
        <f t="shared" si="159"/>
        <v/>
      </c>
      <c r="AV285" s="1" t="str">
        <f t="shared" si="160"/>
        <v/>
      </c>
      <c r="AW285" s="1" t="str">
        <f t="shared" si="161"/>
        <v/>
      </c>
      <c r="AX285" s="1" t="str">
        <f t="shared" si="162"/>
        <v/>
      </c>
      <c r="AY285" s="1" t="str">
        <f t="shared" si="163"/>
        <v/>
      </c>
      <c r="AZ285" s="1" t="str">
        <f t="shared" si="164"/>
        <v/>
      </c>
      <c r="BA285" s="1" t="str">
        <f t="shared" si="165"/>
        <v/>
      </c>
      <c r="BB285" s="1" t="str">
        <f t="shared" si="166"/>
        <v/>
      </c>
      <c r="BC285" s="1" t="str">
        <f t="shared" si="167"/>
        <v/>
      </c>
      <c r="BD285" s="1" t="str">
        <f t="shared" si="168"/>
        <v/>
      </c>
      <c r="BE285" s="1" t="str">
        <f t="shared" si="169"/>
        <v/>
      </c>
      <c r="BF285" s="1" t="str">
        <f t="shared" si="170"/>
        <v/>
      </c>
      <c r="BG285" s="1" t="str">
        <f t="shared" si="171"/>
        <v/>
      </c>
      <c r="BH285" s="1" t="str">
        <f t="shared" si="172"/>
        <v/>
      </c>
      <c r="BI285" s="1" t="str">
        <f t="shared" si="173"/>
        <v/>
      </c>
      <c r="BJ285" s="1" t="str">
        <f t="shared" si="174"/>
        <v/>
      </c>
    </row>
    <row r="286" ht="14.25" customHeight="1" spans="1:62">
      <c r="A286" s="10">
        <v>282</v>
      </c>
      <c r="B286" s="10" t="s">
        <v>1014</v>
      </c>
      <c r="C286" s="10">
        <v>1960</v>
      </c>
      <c r="D286" s="10">
        <f t="shared" si="140"/>
        <v>1960</v>
      </c>
      <c r="E286" s="10" t="s">
        <v>1005</v>
      </c>
      <c r="F286" s="35" t="s">
        <v>1015</v>
      </c>
      <c r="G286" s="10" t="s">
        <v>1016</v>
      </c>
      <c r="H286" s="10" t="s">
        <v>139</v>
      </c>
      <c r="I286" s="10" t="s">
        <v>140</v>
      </c>
      <c r="J286" s="10" t="s">
        <v>556</v>
      </c>
      <c r="K286" s="10">
        <v>5</v>
      </c>
      <c r="L286" s="10">
        <v>5</v>
      </c>
      <c r="M286" s="10">
        <v>5</v>
      </c>
      <c r="N286" s="10">
        <v>5</v>
      </c>
      <c r="O286" s="10">
        <v>5</v>
      </c>
      <c r="P286" s="10">
        <v>5</v>
      </c>
      <c r="Q286" s="10">
        <v>2</v>
      </c>
      <c r="R286" s="10">
        <v>5</v>
      </c>
      <c r="S286" s="10">
        <f t="shared" si="141"/>
        <v>1</v>
      </c>
      <c r="T286" s="10">
        <f t="shared" si="142"/>
        <v>1</v>
      </c>
      <c r="U286" s="10">
        <f t="shared" si="143"/>
        <v>1</v>
      </c>
      <c r="V286" s="10">
        <f t="shared" si="144"/>
        <v>1</v>
      </c>
      <c r="W286" s="10">
        <f t="shared" si="145"/>
        <v>1</v>
      </c>
      <c r="X286" s="10">
        <f t="shared" si="146"/>
        <v>1</v>
      </c>
      <c r="Y286" s="10">
        <f t="shared" si="147"/>
        <v>0.25</v>
      </c>
      <c r="Z286" s="10">
        <f t="shared" si="148"/>
        <v>1</v>
      </c>
      <c r="AA286" s="10" t="str">
        <f t="shared" si="149"/>
        <v/>
      </c>
      <c r="AB286" s="10" t="str">
        <f t="shared" si="150"/>
        <v/>
      </c>
      <c r="AC286" s="10" t="str">
        <f t="shared" si="151"/>
        <v/>
      </c>
      <c r="AD286" s="10" t="str">
        <f t="shared" si="152"/>
        <v/>
      </c>
      <c r="AE286" s="10" t="str">
        <f t="shared" si="153"/>
        <v/>
      </c>
      <c r="AF286" s="10" t="str">
        <f t="shared" si="154"/>
        <v/>
      </c>
      <c r="AG286" s="10" t="str">
        <f t="shared" si="155"/>
        <v/>
      </c>
      <c r="AH286" s="10" t="str">
        <f t="shared" si="156"/>
        <v/>
      </c>
      <c r="AI286" s="10">
        <f>IF(OR(S286="",'4_BENCHMARK'!$C$4=""),"",ABS(S286-'4_BENCHMARK'!$C$4))</f>
        <v>0</v>
      </c>
      <c r="AJ286" s="10">
        <f>IF(OR(T286="",'4_BENCHMARK'!$C$5=""),"",ABS(T286-'4_BENCHMARK'!$C$5))</f>
        <v>0</v>
      </c>
      <c r="AK286" s="10">
        <f>IF(OR(U286="",'4_BENCHMARK'!$C$6=""),"",ABS(U286-'4_BENCHMARK'!$C$6))</f>
        <v>0</v>
      </c>
      <c r="AL286" s="10">
        <f>IF(OR(V286="",'4_BENCHMARK'!$C$7=""),"",ABS(V286-'4_BENCHMARK'!$C$7))</f>
        <v>0</v>
      </c>
      <c r="AM286" s="10">
        <f>IF(OR(W286="",'4_BENCHMARK'!$C$8=""),"",ABS(W286-'4_BENCHMARK'!$C$8))</f>
        <v>1</v>
      </c>
      <c r="AN286" s="10">
        <f>IF(OR(X286="",'4_BENCHMARK'!$C$9=""),"",ABS(X286-'4_BENCHMARK'!$C$9))</f>
        <v>1</v>
      </c>
      <c r="AO286" s="10">
        <f>IF(OR(Y286="",'4_BENCHMARK'!$C$10=""),"",ABS(Y286-'4_BENCHMARK'!$C$10))</f>
        <v>0.25</v>
      </c>
      <c r="AP286" s="10">
        <f>IF(OR(Z286="",'4_BENCHMARK'!$C$11=""),"",ABS(Z286-'4_BENCHMARK'!$C$11))</f>
        <v>0</v>
      </c>
      <c r="AQ286" s="13">
        <f t="shared" si="157"/>
        <v>0.71875</v>
      </c>
      <c r="AR286" s="10"/>
      <c r="AS286" s="36" t="s">
        <v>149</v>
      </c>
      <c r="AT286" s="13">
        <f t="shared" si="158"/>
        <v>0.958333333333333</v>
      </c>
      <c r="AU286" s="1" t="str">
        <f t="shared" si="159"/>
        <v/>
      </c>
      <c r="AV286" s="1" t="str">
        <f t="shared" si="160"/>
        <v/>
      </c>
      <c r="AW286" s="1" t="str">
        <f t="shared" si="161"/>
        <v/>
      </c>
      <c r="AX286" s="1" t="str">
        <f t="shared" si="162"/>
        <v/>
      </c>
      <c r="AY286" s="1" t="str">
        <f t="shared" si="163"/>
        <v/>
      </c>
      <c r="AZ286" s="1" t="str">
        <f t="shared" si="164"/>
        <v/>
      </c>
      <c r="BA286" s="1" t="str">
        <f t="shared" si="165"/>
        <v/>
      </c>
      <c r="BB286" s="1" t="str">
        <f t="shared" si="166"/>
        <v/>
      </c>
      <c r="BC286" s="1" t="str">
        <f t="shared" si="167"/>
        <v/>
      </c>
      <c r="BD286" s="1" t="str">
        <f t="shared" si="168"/>
        <v/>
      </c>
      <c r="BE286" s="1" t="str">
        <f t="shared" si="169"/>
        <v/>
      </c>
      <c r="BF286" s="1" t="str">
        <f t="shared" si="170"/>
        <v/>
      </c>
      <c r="BG286" s="1" t="str">
        <f t="shared" si="171"/>
        <v/>
      </c>
      <c r="BH286" s="1" t="str">
        <f t="shared" si="172"/>
        <v/>
      </c>
      <c r="BI286" s="1" t="str">
        <f t="shared" si="173"/>
        <v/>
      </c>
      <c r="BJ286" s="1" t="str">
        <f t="shared" si="174"/>
        <v/>
      </c>
    </row>
    <row r="287" ht="14.25" customHeight="1" spans="1:62">
      <c r="A287" s="10">
        <v>283</v>
      </c>
      <c r="B287" s="10" t="s">
        <v>1017</v>
      </c>
      <c r="C287" s="10">
        <v>1960</v>
      </c>
      <c r="D287" s="10">
        <f t="shared" si="140"/>
        <v>1960</v>
      </c>
      <c r="E287" s="10" t="s">
        <v>801</v>
      </c>
      <c r="F287" s="35" t="s">
        <v>1018</v>
      </c>
      <c r="G287" s="10" t="s">
        <v>1019</v>
      </c>
      <c r="H287" s="10" t="s">
        <v>140</v>
      </c>
      <c r="I287" s="10" t="s">
        <v>140</v>
      </c>
      <c r="J287" s="10" t="s">
        <v>556</v>
      </c>
      <c r="K287" s="10">
        <v>4</v>
      </c>
      <c r="L287" s="10">
        <v>4</v>
      </c>
      <c r="M287" s="10">
        <v>5</v>
      </c>
      <c r="N287" s="10">
        <v>4</v>
      </c>
      <c r="O287" s="10">
        <v>5</v>
      </c>
      <c r="P287" s="10">
        <v>5</v>
      </c>
      <c r="Q287" s="10">
        <v>2</v>
      </c>
      <c r="R287" s="10">
        <v>4</v>
      </c>
      <c r="S287" s="10">
        <f t="shared" si="141"/>
        <v>0.75</v>
      </c>
      <c r="T287" s="10">
        <f t="shared" si="142"/>
        <v>0.75</v>
      </c>
      <c r="U287" s="10">
        <f t="shared" si="143"/>
        <v>1</v>
      </c>
      <c r="V287" s="10">
        <f t="shared" si="144"/>
        <v>0.75</v>
      </c>
      <c r="W287" s="10">
        <f t="shared" si="145"/>
        <v>1</v>
      </c>
      <c r="X287" s="10">
        <f t="shared" si="146"/>
        <v>1</v>
      </c>
      <c r="Y287" s="10">
        <f t="shared" si="147"/>
        <v>0.25</v>
      </c>
      <c r="Z287" s="10">
        <f t="shared" si="148"/>
        <v>0.75</v>
      </c>
      <c r="AA287" s="10" t="str">
        <f t="shared" si="149"/>
        <v/>
      </c>
      <c r="AB287" s="10" t="str">
        <f t="shared" si="150"/>
        <v/>
      </c>
      <c r="AC287" s="10" t="str">
        <f t="shared" si="151"/>
        <v/>
      </c>
      <c r="AD287" s="10" t="str">
        <f t="shared" si="152"/>
        <v/>
      </c>
      <c r="AE287" s="10" t="str">
        <f t="shared" si="153"/>
        <v/>
      </c>
      <c r="AF287" s="10" t="str">
        <f t="shared" si="154"/>
        <v/>
      </c>
      <c r="AG287" s="10" t="str">
        <f t="shared" si="155"/>
        <v/>
      </c>
      <c r="AH287" s="10" t="str">
        <f t="shared" si="156"/>
        <v/>
      </c>
      <c r="AI287" s="10">
        <f>IF(OR(S287="",'4_BENCHMARK'!$C$4=""),"",ABS(S287-'4_BENCHMARK'!$C$4))</f>
        <v>0.25</v>
      </c>
      <c r="AJ287" s="10">
        <f>IF(OR(T287="",'4_BENCHMARK'!$C$5=""),"",ABS(T287-'4_BENCHMARK'!$C$5))</f>
        <v>0.25</v>
      </c>
      <c r="AK287" s="10">
        <f>IF(OR(U287="",'4_BENCHMARK'!$C$6=""),"",ABS(U287-'4_BENCHMARK'!$C$6))</f>
        <v>0</v>
      </c>
      <c r="AL287" s="10">
        <f>IF(OR(V287="",'4_BENCHMARK'!$C$7=""),"",ABS(V287-'4_BENCHMARK'!$C$7))</f>
        <v>0.25</v>
      </c>
      <c r="AM287" s="10">
        <f>IF(OR(W287="",'4_BENCHMARK'!$C$8=""),"",ABS(W287-'4_BENCHMARK'!$C$8))</f>
        <v>1</v>
      </c>
      <c r="AN287" s="10">
        <f>IF(OR(X287="",'4_BENCHMARK'!$C$9=""),"",ABS(X287-'4_BENCHMARK'!$C$9))</f>
        <v>1</v>
      </c>
      <c r="AO287" s="10">
        <f>IF(OR(Y287="",'4_BENCHMARK'!$C$10=""),"",ABS(Y287-'4_BENCHMARK'!$C$10))</f>
        <v>0.25</v>
      </c>
      <c r="AP287" s="10">
        <f>IF(OR(Z287="",'4_BENCHMARK'!$C$11=""),"",ABS(Z287-'4_BENCHMARK'!$C$11))</f>
        <v>0.25</v>
      </c>
      <c r="AQ287" s="13">
        <f t="shared" si="157"/>
        <v>0.59375</v>
      </c>
      <c r="AR287" s="10"/>
      <c r="AS287" s="36" t="s">
        <v>145</v>
      </c>
      <c r="AT287" s="13">
        <f t="shared" si="158"/>
        <v>0.791666666666667</v>
      </c>
      <c r="AU287" s="1" t="str">
        <f t="shared" si="159"/>
        <v/>
      </c>
      <c r="AV287" s="1" t="str">
        <f t="shared" si="160"/>
        <v/>
      </c>
      <c r="AW287" s="1" t="str">
        <f t="shared" si="161"/>
        <v/>
      </c>
      <c r="AX287" s="1" t="str">
        <f t="shared" si="162"/>
        <v/>
      </c>
      <c r="AY287" s="1" t="str">
        <f t="shared" si="163"/>
        <v/>
      </c>
      <c r="AZ287" s="1" t="str">
        <f t="shared" si="164"/>
        <v/>
      </c>
      <c r="BA287" s="1" t="str">
        <f t="shared" si="165"/>
        <v/>
      </c>
      <c r="BB287" s="1" t="str">
        <f t="shared" si="166"/>
        <v/>
      </c>
      <c r="BC287" s="1" t="str">
        <f t="shared" si="167"/>
        <v/>
      </c>
      <c r="BD287" s="1" t="str">
        <f t="shared" si="168"/>
        <v/>
      </c>
      <c r="BE287" s="1" t="str">
        <f t="shared" si="169"/>
        <v/>
      </c>
      <c r="BF287" s="1" t="str">
        <f t="shared" si="170"/>
        <v/>
      </c>
      <c r="BG287" s="1" t="str">
        <f t="shared" si="171"/>
        <v/>
      </c>
      <c r="BH287" s="1" t="str">
        <f t="shared" si="172"/>
        <v/>
      </c>
      <c r="BI287" s="1" t="str">
        <f t="shared" si="173"/>
        <v/>
      </c>
      <c r="BJ287" s="1" t="str">
        <f t="shared" si="174"/>
        <v/>
      </c>
    </row>
    <row r="288" ht="14.25" customHeight="1" spans="1:62">
      <c r="A288" s="10">
        <v>284</v>
      </c>
      <c r="B288" s="10" t="s">
        <v>1020</v>
      </c>
      <c r="C288" s="10">
        <v>1960</v>
      </c>
      <c r="D288" s="10">
        <f t="shared" si="140"/>
        <v>1960</v>
      </c>
      <c r="E288" s="10" t="s">
        <v>801</v>
      </c>
      <c r="F288" s="35" t="s">
        <v>1021</v>
      </c>
      <c r="G288" s="10" t="s">
        <v>1022</v>
      </c>
      <c r="H288" s="10" t="s">
        <v>140</v>
      </c>
      <c r="I288" s="10" t="s">
        <v>140</v>
      </c>
      <c r="J288" s="10" t="s">
        <v>374</v>
      </c>
      <c r="K288" s="10">
        <v>4</v>
      </c>
      <c r="L288" s="10">
        <v>4</v>
      </c>
      <c r="M288" s="10">
        <v>4</v>
      </c>
      <c r="N288" s="10">
        <v>5</v>
      </c>
      <c r="O288" s="10">
        <v>5</v>
      </c>
      <c r="P288" s="10">
        <v>5</v>
      </c>
      <c r="Q288" s="10">
        <v>2</v>
      </c>
      <c r="R288" s="10">
        <v>4</v>
      </c>
      <c r="S288" s="10">
        <f t="shared" si="141"/>
        <v>0.75</v>
      </c>
      <c r="T288" s="10">
        <f t="shared" si="142"/>
        <v>0.75</v>
      </c>
      <c r="U288" s="10">
        <f t="shared" si="143"/>
        <v>0.75</v>
      </c>
      <c r="V288" s="10">
        <f t="shared" si="144"/>
        <v>1</v>
      </c>
      <c r="W288" s="10">
        <f t="shared" si="145"/>
        <v>1</v>
      </c>
      <c r="X288" s="10">
        <f t="shared" si="146"/>
        <v>1</v>
      </c>
      <c r="Y288" s="10">
        <f t="shared" si="147"/>
        <v>0.25</v>
      </c>
      <c r="Z288" s="10">
        <f t="shared" si="148"/>
        <v>0.75</v>
      </c>
      <c r="AA288" s="10" t="str">
        <f t="shared" si="149"/>
        <v/>
      </c>
      <c r="AB288" s="10" t="str">
        <f t="shared" si="150"/>
        <v/>
      </c>
      <c r="AC288" s="10" t="str">
        <f t="shared" si="151"/>
        <v/>
      </c>
      <c r="AD288" s="10" t="str">
        <f t="shared" si="152"/>
        <v/>
      </c>
      <c r="AE288" s="10" t="str">
        <f t="shared" si="153"/>
        <v/>
      </c>
      <c r="AF288" s="10" t="str">
        <f t="shared" si="154"/>
        <v/>
      </c>
      <c r="AG288" s="10" t="str">
        <f t="shared" si="155"/>
        <v/>
      </c>
      <c r="AH288" s="10" t="str">
        <f t="shared" si="156"/>
        <v/>
      </c>
      <c r="AI288" s="10">
        <f>IF(OR(S288="",'4_BENCHMARK'!$C$4=""),"",ABS(S288-'4_BENCHMARK'!$C$4))</f>
        <v>0.25</v>
      </c>
      <c r="AJ288" s="10">
        <f>IF(OR(T288="",'4_BENCHMARK'!$C$5=""),"",ABS(T288-'4_BENCHMARK'!$C$5))</f>
        <v>0.25</v>
      </c>
      <c r="AK288" s="10">
        <f>IF(OR(U288="",'4_BENCHMARK'!$C$6=""),"",ABS(U288-'4_BENCHMARK'!$C$6))</f>
        <v>0.25</v>
      </c>
      <c r="AL288" s="10">
        <f>IF(OR(V288="",'4_BENCHMARK'!$C$7=""),"",ABS(V288-'4_BENCHMARK'!$C$7))</f>
        <v>0</v>
      </c>
      <c r="AM288" s="10">
        <f>IF(OR(W288="",'4_BENCHMARK'!$C$8=""),"",ABS(W288-'4_BENCHMARK'!$C$8))</f>
        <v>1</v>
      </c>
      <c r="AN288" s="10">
        <f>IF(OR(X288="",'4_BENCHMARK'!$C$9=""),"",ABS(X288-'4_BENCHMARK'!$C$9))</f>
        <v>1</v>
      </c>
      <c r="AO288" s="10">
        <f>IF(OR(Y288="",'4_BENCHMARK'!$C$10=""),"",ABS(Y288-'4_BENCHMARK'!$C$10))</f>
        <v>0.25</v>
      </c>
      <c r="AP288" s="10">
        <f>IF(OR(Z288="",'4_BENCHMARK'!$C$11=""),"",ABS(Z288-'4_BENCHMARK'!$C$11))</f>
        <v>0.25</v>
      </c>
      <c r="AQ288" s="13">
        <f t="shared" si="157"/>
        <v>0.59375</v>
      </c>
      <c r="AR288" s="10"/>
      <c r="AS288" s="36" t="s">
        <v>145</v>
      </c>
      <c r="AT288" s="13">
        <f t="shared" si="158"/>
        <v>0.791666666666667</v>
      </c>
      <c r="AU288" s="1" t="str">
        <f t="shared" si="159"/>
        <v/>
      </c>
      <c r="AV288" s="1" t="str">
        <f t="shared" si="160"/>
        <v/>
      </c>
      <c r="AW288" s="1" t="str">
        <f t="shared" si="161"/>
        <v/>
      </c>
      <c r="AX288" s="1" t="str">
        <f t="shared" si="162"/>
        <v/>
      </c>
      <c r="AY288" s="1" t="str">
        <f t="shared" si="163"/>
        <v/>
      </c>
      <c r="AZ288" s="1" t="str">
        <f t="shared" si="164"/>
        <v/>
      </c>
      <c r="BA288" s="1" t="str">
        <f t="shared" si="165"/>
        <v/>
      </c>
      <c r="BB288" s="1" t="str">
        <f t="shared" si="166"/>
        <v/>
      </c>
      <c r="BC288" s="1" t="str">
        <f t="shared" si="167"/>
        <v/>
      </c>
      <c r="BD288" s="1" t="str">
        <f t="shared" si="168"/>
        <v/>
      </c>
      <c r="BE288" s="1" t="str">
        <f t="shared" si="169"/>
        <v/>
      </c>
      <c r="BF288" s="1" t="str">
        <f t="shared" si="170"/>
        <v/>
      </c>
      <c r="BG288" s="1" t="str">
        <f t="shared" si="171"/>
        <v/>
      </c>
      <c r="BH288" s="1" t="str">
        <f t="shared" si="172"/>
        <v/>
      </c>
      <c r="BI288" s="1" t="str">
        <f t="shared" si="173"/>
        <v/>
      </c>
      <c r="BJ288" s="1" t="str">
        <f t="shared" si="174"/>
        <v/>
      </c>
    </row>
    <row r="289" ht="14.25" customHeight="1" spans="1:62">
      <c r="A289" s="10">
        <v>285</v>
      </c>
      <c r="B289" s="10" t="s">
        <v>1023</v>
      </c>
      <c r="C289" s="10">
        <v>1960</v>
      </c>
      <c r="D289" s="10">
        <f t="shared" si="140"/>
        <v>1960</v>
      </c>
      <c r="E289" s="10" t="s">
        <v>801</v>
      </c>
      <c r="F289" s="35" t="s">
        <v>1024</v>
      </c>
      <c r="G289" s="10" t="s">
        <v>1025</v>
      </c>
      <c r="H289" s="10" t="s">
        <v>140</v>
      </c>
      <c r="I289" s="10" t="s">
        <v>140</v>
      </c>
      <c r="J289" s="10" t="s">
        <v>374</v>
      </c>
      <c r="K289" s="10">
        <v>3</v>
      </c>
      <c r="L289" s="10">
        <v>4</v>
      </c>
      <c r="M289" s="10">
        <v>4</v>
      </c>
      <c r="N289" s="10">
        <v>5</v>
      </c>
      <c r="O289" s="10">
        <v>5</v>
      </c>
      <c r="P289" s="10">
        <v>5</v>
      </c>
      <c r="Q289" s="10">
        <v>1</v>
      </c>
      <c r="R289" s="10">
        <v>5</v>
      </c>
      <c r="S289" s="10">
        <f t="shared" si="141"/>
        <v>0.5</v>
      </c>
      <c r="T289" s="10">
        <f t="shared" si="142"/>
        <v>0.75</v>
      </c>
      <c r="U289" s="10">
        <f t="shared" si="143"/>
        <v>0.75</v>
      </c>
      <c r="V289" s="10">
        <f t="shared" si="144"/>
        <v>1</v>
      </c>
      <c r="W289" s="10">
        <f t="shared" si="145"/>
        <v>1</v>
      </c>
      <c r="X289" s="10">
        <f t="shared" si="146"/>
        <v>1</v>
      </c>
      <c r="Y289" s="10">
        <f t="shared" si="147"/>
        <v>0</v>
      </c>
      <c r="Z289" s="10">
        <f t="shared" si="148"/>
        <v>1</v>
      </c>
      <c r="AA289" s="10" t="str">
        <f t="shared" si="149"/>
        <v/>
      </c>
      <c r="AB289" s="10" t="str">
        <f t="shared" si="150"/>
        <v/>
      </c>
      <c r="AC289" s="10" t="str">
        <f t="shared" si="151"/>
        <v/>
      </c>
      <c r="AD289" s="10" t="str">
        <f t="shared" si="152"/>
        <v/>
      </c>
      <c r="AE289" s="10" t="str">
        <f t="shared" si="153"/>
        <v/>
      </c>
      <c r="AF289" s="10" t="str">
        <f t="shared" si="154"/>
        <v/>
      </c>
      <c r="AG289" s="10" t="str">
        <f t="shared" si="155"/>
        <v/>
      </c>
      <c r="AH289" s="10" t="str">
        <f t="shared" si="156"/>
        <v/>
      </c>
      <c r="AI289" s="10">
        <f>IF(OR(S289="",'4_BENCHMARK'!$C$4=""),"",ABS(S289-'4_BENCHMARK'!$C$4))</f>
        <v>0.5</v>
      </c>
      <c r="AJ289" s="10">
        <f>IF(OR(T289="",'4_BENCHMARK'!$C$5=""),"",ABS(T289-'4_BENCHMARK'!$C$5))</f>
        <v>0.25</v>
      </c>
      <c r="AK289" s="10">
        <f>IF(OR(U289="",'4_BENCHMARK'!$C$6=""),"",ABS(U289-'4_BENCHMARK'!$C$6))</f>
        <v>0.25</v>
      </c>
      <c r="AL289" s="10">
        <f>IF(OR(V289="",'4_BENCHMARK'!$C$7=""),"",ABS(V289-'4_BENCHMARK'!$C$7))</f>
        <v>0</v>
      </c>
      <c r="AM289" s="10">
        <f>IF(OR(W289="",'4_BENCHMARK'!$C$8=""),"",ABS(W289-'4_BENCHMARK'!$C$8))</f>
        <v>1</v>
      </c>
      <c r="AN289" s="10">
        <f>IF(OR(X289="",'4_BENCHMARK'!$C$9=""),"",ABS(X289-'4_BENCHMARK'!$C$9))</f>
        <v>1</v>
      </c>
      <c r="AO289" s="10">
        <f>IF(OR(Y289="",'4_BENCHMARK'!$C$10=""),"",ABS(Y289-'4_BENCHMARK'!$C$10))</f>
        <v>0.5</v>
      </c>
      <c r="AP289" s="10">
        <f>IF(OR(Z289="",'4_BENCHMARK'!$C$11=""),"",ABS(Z289-'4_BENCHMARK'!$C$11))</f>
        <v>0</v>
      </c>
      <c r="AQ289" s="13">
        <f t="shared" si="157"/>
        <v>0.5625</v>
      </c>
      <c r="AR289" s="10"/>
      <c r="AS289" s="36" t="s">
        <v>145</v>
      </c>
      <c r="AT289" s="13">
        <f t="shared" si="158"/>
        <v>0.75</v>
      </c>
      <c r="AU289" s="1" t="str">
        <f t="shared" si="159"/>
        <v/>
      </c>
      <c r="AV289" s="1" t="str">
        <f t="shared" si="160"/>
        <v/>
      </c>
      <c r="AW289" s="1" t="str">
        <f t="shared" si="161"/>
        <v/>
      </c>
      <c r="AX289" s="1" t="str">
        <f t="shared" si="162"/>
        <v/>
      </c>
      <c r="AY289" s="1" t="str">
        <f t="shared" si="163"/>
        <v/>
      </c>
      <c r="AZ289" s="1" t="str">
        <f t="shared" si="164"/>
        <v/>
      </c>
      <c r="BA289" s="1" t="str">
        <f t="shared" si="165"/>
        <v/>
      </c>
      <c r="BB289" s="1" t="str">
        <f t="shared" si="166"/>
        <v/>
      </c>
      <c r="BC289" s="1" t="str">
        <f t="shared" si="167"/>
        <v/>
      </c>
      <c r="BD289" s="1" t="str">
        <f t="shared" si="168"/>
        <v/>
      </c>
      <c r="BE289" s="1" t="str">
        <f t="shared" si="169"/>
        <v/>
      </c>
      <c r="BF289" s="1" t="str">
        <f t="shared" si="170"/>
        <v/>
      </c>
      <c r="BG289" s="1" t="str">
        <f t="shared" si="171"/>
        <v/>
      </c>
      <c r="BH289" s="1" t="str">
        <f t="shared" si="172"/>
        <v/>
      </c>
      <c r="BI289" s="1" t="str">
        <f t="shared" si="173"/>
        <v/>
      </c>
      <c r="BJ289" s="1" t="str">
        <f t="shared" si="174"/>
        <v/>
      </c>
    </row>
    <row r="290" ht="14.25" customHeight="1" spans="1:62">
      <c r="A290" s="10">
        <v>286</v>
      </c>
      <c r="B290" s="10" t="s">
        <v>1026</v>
      </c>
      <c r="C290" s="10">
        <v>1960</v>
      </c>
      <c r="D290" s="10">
        <f t="shared" si="140"/>
        <v>1960</v>
      </c>
      <c r="E290" s="10" t="s">
        <v>136</v>
      </c>
      <c r="F290" s="35" t="s">
        <v>1027</v>
      </c>
      <c r="G290" s="10" t="s">
        <v>1028</v>
      </c>
      <c r="H290" s="10" t="s">
        <v>140</v>
      </c>
      <c r="I290" s="10" t="s">
        <v>140</v>
      </c>
      <c r="J290" s="10" t="s">
        <v>374</v>
      </c>
      <c r="K290" s="10">
        <v>5</v>
      </c>
      <c r="L290" s="10">
        <v>5</v>
      </c>
      <c r="M290" s="10">
        <v>5</v>
      </c>
      <c r="N290" s="10">
        <v>4</v>
      </c>
      <c r="O290" s="10">
        <v>5</v>
      </c>
      <c r="P290" s="10">
        <v>5</v>
      </c>
      <c r="Q290" s="10">
        <v>2</v>
      </c>
      <c r="R290" s="10">
        <v>5</v>
      </c>
      <c r="S290" s="10">
        <f t="shared" si="141"/>
        <v>1</v>
      </c>
      <c r="T290" s="10">
        <f t="shared" si="142"/>
        <v>1</v>
      </c>
      <c r="U290" s="10">
        <f t="shared" si="143"/>
        <v>1</v>
      </c>
      <c r="V290" s="10">
        <f t="shared" si="144"/>
        <v>0.75</v>
      </c>
      <c r="W290" s="10">
        <f t="shared" si="145"/>
        <v>1</v>
      </c>
      <c r="X290" s="10">
        <f t="shared" si="146"/>
        <v>1</v>
      </c>
      <c r="Y290" s="10">
        <f t="shared" si="147"/>
        <v>0.25</v>
      </c>
      <c r="Z290" s="10">
        <f t="shared" si="148"/>
        <v>1</v>
      </c>
      <c r="AA290" s="10" t="str">
        <f t="shared" si="149"/>
        <v/>
      </c>
      <c r="AB290" s="10" t="str">
        <f t="shared" si="150"/>
        <v/>
      </c>
      <c r="AC290" s="10" t="str">
        <f t="shared" si="151"/>
        <v/>
      </c>
      <c r="AD290" s="10" t="str">
        <f t="shared" si="152"/>
        <v/>
      </c>
      <c r="AE290" s="10" t="str">
        <f t="shared" si="153"/>
        <v/>
      </c>
      <c r="AF290" s="10" t="str">
        <f t="shared" si="154"/>
        <v/>
      </c>
      <c r="AG290" s="10" t="str">
        <f t="shared" si="155"/>
        <v/>
      </c>
      <c r="AH290" s="10" t="str">
        <f t="shared" si="156"/>
        <v/>
      </c>
      <c r="AI290" s="10">
        <f>IF(OR(S290="",'4_BENCHMARK'!$C$4=""),"",ABS(S290-'4_BENCHMARK'!$C$4))</f>
        <v>0</v>
      </c>
      <c r="AJ290" s="10">
        <f>IF(OR(T290="",'4_BENCHMARK'!$C$5=""),"",ABS(T290-'4_BENCHMARK'!$C$5))</f>
        <v>0</v>
      </c>
      <c r="AK290" s="10">
        <f>IF(OR(U290="",'4_BENCHMARK'!$C$6=""),"",ABS(U290-'4_BENCHMARK'!$C$6))</f>
        <v>0</v>
      </c>
      <c r="AL290" s="10">
        <f>IF(OR(V290="",'4_BENCHMARK'!$C$7=""),"",ABS(V290-'4_BENCHMARK'!$C$7))</f>
        <v>0.25</v>
      </c>
      <c r="AM290" s="10">
        <f>IF(OR(W290="",'4_BENCHMARK'!$C$8=""),"",ABS(W290-'4_BENCHMARK'!$C$8))</f>
        <v>1</v>
      </c>
      <c r="AN290" s="10">
        <f>IF(OR(X290="",'4_BENCHMARK'!$C$9=""),"",ABS(X290-'4_BENCHMARK'!$C$9))</f>
        <v>1</v>
      </c>
      <c r="AO290" s="10">
        <f>IF(OR(Y290="",'4_BENCHMARK'!$C$10=""),"",ABS(Y290-'4_BENCHMARK'!$C$10))</f>
        <v>0.25</v>
      </c>
      <c r="AP290" s="10">
        <f>IF(OR(Z290="",'4_BENCHMARK'!$C$11=""),"",ABS(Z290-'4_BENCHMARK'!$C$11))</f>
        <v>0</v>
      </c>
      <c r="AQ290" s="13">
        <f t="shared" si="157"/>
        <v>0.6875</v>
      </c>
      <c r="AR290" s="10"/>
      <c r="AS290" s="36" t="s">
        <v>149</v>
      </c>
      <c r="AT290" s="13">
        <f t="shared" si="158"/>
        <v>0.916666666666667</v>
      </c>
      <c r="AU290" s="1" t="str">
        <f t="shared" si="159"/>
        <v/>
      </c>
      <c r="AV290" s="1" t="str">
        <f t="shared" si="160"/>
        <v/>
      </c>
      <c r="AW290" s="1" t="str">
        <f t="shared" si="161"/>
        <v/>
      </c>
      <c r="AX290" s="1" t="str">
        <f t="shared" si="162"/>
        <v/>
      </c>
      <c r="AY290" s="1" t="str">
        <f t="shared" si="163"/>
        <v/>
      </c>
      <c r="AZ290" s="1" t="str">
        <f t="shared" si="164"/>
        <v/>
      </c>
      <c r="BA290" s="1" t="str">
        <f t="shared" si="165"/>
        <v/>
      </c>
      <c r="BB290" s="1" t="str">
        <f t="shared" si="166"/>
        <v/>
      </c>
      <c r="BC290" s="1" t="str">
        <f t="shared" si="167"/>
        <v/>
      </c>
      <c r="BD290" s="1" t="str">
        <f t="shared" si="168"/>
        <v/>
      </c>
      <c r="BE290" s="1" t="str">
        <f t="shared" si="169"/>
        <v/>
      </c>
      <c r="BF290" s="1" t="str">
        <f t="shared" si="170"/>
        <v/>
      </c>
      <c r="BG290" s="1" t="str">
        <f t="shared" si="171"/>
        <v/>
      </c>
      <c r="BH290" s="1" t="str">
        <f t="shared" si="172"/>
        <v/>
      </c>
      <c r="BI290" s="1" t="str">
        <f t="shared" si="173"/>
        <v/>
      </c>
      <c r="BJ290" s="1" t="str">
        <f t="shared" si="174"/>
        <v/>
      </c>
    </row>
    <row r="291" ht="14.25" customHeight="1" spans="1:62">
      <c r="A291" s="10">
        <v>287</v>
      </c>
      <c r="B291" s="10" t="s">
        <v>1029</v>
      </c>
      <c r="C291" s="10">
        <v>1960</v>
      </c>
      <c r="D291" s="10">
        <f t="shared" si="140"/>
        <v>1960</v>
      </c>
      <c r="E291" s="10" t="s">
        <v>136</v>
      </c>
      <c r="F291" s="35" t="s">
        <v>1030</v>
      </c>
      <c r="G291" s="10" t="s">
        <v>1031</v>
      </c>
      <c r="H291" s="10" t="s">
        <v>140</v>
      </c>
      <c r="I291" s="10" t="s">
        <v>140</v>
      </c>
      <c r="J291" s="10" t="s">
        <v>374</v>
      </c>
      <c r="K291" s="10">
        <v>4</v>
      </c>
      <c r="L291" s="10">
        <v>4</v>
      </c>
      <c r="M291" s="10">
        <v>4</v>
      </c>
      <c r="N291" s="10">
        <v>3</v>
      </c>
      <c r="O291" s="10">
        <v>5</v>
      </c>
      <c r="P291" s="10">
        <v>5</v>
      </c>
      <c r="Q291" s="10">
        <v>2</v>
      </c>
      <c r="R291" s="10">
        <v>5</v>
      </c>
      <c r="S291" s="10">
        <f t="shared" si="141"/>
        <v>0.75</v>
      </c>
      <c r="T291" s="10">
        <f t="shared" si="142"/>
        <v>0.75</v>
      </c>
      <c r="U291" s="10">
        <f t="shared" si="143"/>
        <v>0.75</v>
      </c>
      <c r="V291" s="10">
        <f t="shared" si="144"/>
        <v>0.5</v>
      </c>
      <c r="W291" s="10">
        <f t="shared" si="145"/>
        <v>1</v>
      </c>
      <c r="X291" s="10">
        <f t="shared" si="146"/>
        <v>1</v>
      </c>
      <c r="Y291" s="10">
        <f t="shared" si="147"/>
        <v>0.25</v>
      </c>
      <c r="Z291" s="10">
        <f t="shared" si="148"/>
        <v>1</v>
      </c>
      <c r="AA291" s="10" t="str">
        <f t="shared" si="149"/>
        <v/>
      </c>
      <c r="AB291" s="10" t="str">
        <f t="shared" si="150"/>
        <v/>
      </c>
      <c r="AC291" s="10" t="str">
        <f t="shared" si="151"/>
        <v/>
      </c>
      <c r="AD291" s="10" t="str">
        <f t="shared" si="152"/>
        <v/>
      </c>
      <c r="AE291" s="10" t="str">
        <f t="shared" si="153"/>
        <v/>
      </c>
      <c r="AF291" s="10" t="str">
        <f t="shared" si="154"/>
        <v/>
      </c>
      <c r="AG291" s="10" t="str">
        <f t="shared" si="155"/>
        <v/>
      </c>
      <c r="AH291" s="10" t="str">
        <f t="shared" si="156"/>
        <v/>
      </c>
      <c r="AI291" s="10">
        <f>IF(OR(S291="",'4_BENCHMARK'!$C$4=""),"",ABS(S291-'4_BENCHMARK'!$C$4))</f>
        <v>0.25</v>
      </c>
      <c r="AJ291" s="10">
        <f>IF(OR(T291="",'4_BENCHMARK'!$C$5=""),"",ABS(T291-'4_BENCHMARK'!$C$5))</f>
        <v>0.25</v>
      </c>
      <c r="AK291" s="10">
        <f>IF(OR(U291="",'4_BENCHMARK'!$C$6=""),"",ABS(U291-'4_BENCHMARK'!$C$6))</f>
        <v>0.25</v>
      </c>
      <c r="AL291" s="10">
        <f>IF(OR(V291="",'4_BENCHMARK'!$C$7=""),"",ABS(V291-'4_BENCHMARK'!$C$7))</f>
        <v>0.5</v>
      </c>
      <c r="AM291" s="10">
        <f>IF(OR(W291="",'4_BENCHMARK'!$C$8=""),"",ABS(W291-'4_BENCHMARK'!$C$8))</f>
        <v>1</v>
      </c>
      <c r="AN291" s="10">
        <f>IF(OR(X291="",'4_BENCHMARK'!$C$9=""),"",ABS(X291-'4_BENCHMARK'!$C$9))</f>
        <v>1</v>
      </c>
      <c r="AO291" s="10">
        <f>IF(OR(Y291="",'4_BENCHMARK'!$C$10=""),"",ABS(Y291-'4_BENCHMARK'!$C$10))</f>
        <v>0.25</v>
      </c>
      <c r="AP291" s="10">
        <f>IF(OR(Z291="",'4_BENCHMARK'!$C$11=""),"",ABS(Z291-'4_BENCHMARK'!$C$11))</f>
        <v>0</v>
      </c>
      <c r="AQ291" s="13">
        <f t="shared" si="157"/>
        <v>0.5625</v>
      </c>
      <c r="AR291" s="10"/>
      <c r="AS291" s="36" t="s">
        <v>145</v>
      </c>
      <c r="AT291" s="13">
        <f t="shared" si="158"/>
        <v>0.75</v>
      </c>
      <c r="AU291" s="1" t="str">
        <f t="shared" si="159"/>
        <v/>
      </c>
      <c r="AV291" s="1" t="str">
        <f t="shared" si="160"/>
        <v/>
      </c>
      <c r="AW291" s="1" t="str">
        <f t="shared" si="161"/>
        <v/>
      </c>
      <c r="AX291" s="1" t="str">
        <f t="shared" si="162"/>
        <v/>
      </c>
      <c r="AY291" s="1" t="str">
        <f t="shared" si="163"/>
        <v/>
      </c>
      <c r="AZ291" s="1" t="str">
        <f t="shared" si="164"/>
        <v/>
      </c>
      <c r="BA291" s="1" t="str">
        <f t="shared" si="165"/>
        <v/>
      </c>
      <c r="BB291" s="1" t="str">
        <f t="shared" si="166"/>
        <v/>
      </c>
      <c r="BC291" s="1" t="str">
        <f t="shared" si="167"/>
        <v/>
      </c>
      <c r="BD291" s="1" t="str">
        <f t="shared" si="168"/>
        <v/>
      </c>
      <c r="BE291" s="1" t="str">
        <f t="shared" si="169"/>
        <v/>
      </c>
      <c r="BF291" s="1" t="str">
        <f t="shared" si="170"/>
        <v/>
      </c>
      <c r="BG291" s="1" t="str">
        <f t="shared" si="171"/>
        <v/>
      </c>
      <c r="BH291" s="1" t="str">
        <f t="shared" si="172"/>
        <v/>
      </c>
      <c r="BI291" s="1" t="str">
        <f t="shared" si="173"/>
        <v/>
      </c>
      <c r="BJ291" s="1" t="str">
        <f t="shared" si="174"/>
        <v/>
      </c>
    </row>
    <row r="292" ht="14.25" customHeight="1" spans="1:62">
      <c r="A292" s="10">
        <v>288</v>
      </c>
      <c r="B292" s="10" t="s">
        <v>800</v>
      </c>
      <c r="C292" s="10">
        <v>1960</v>
      </c>
      <c r="D292" s="10">
        <f t="shared" si="140"/>
        <v>1960</v>
      </c>
      <c r="E292" s="10" t="s">
        <v>801</v>
      </c>
      <c r="F292" s="35" t="s">
        <v>802</v>
      </c>
      <c r="G292" s="10" t="s">
        <v>1032</v>
      </c>
      <c r="H292" s="10" t="s">
        <v>140</v>
      </c>
      <c r="I292" s="10" t="s">
        <v>140</v>
      </c>
      <c r="J292" s="10" t="s">
        <v>374</v>
      </c>
      <c r="K292" s="10">
        <v>4</v>
      </c>
      <c r="L292" s="10">
        <v>4</v>
      </c>
      <c r="M292" s="10">
        <v>4</v>
      </c>
      <c r="N292" s="10">
        <v>4</v>
      </c>
      <c r="O292" s="10">
        <v>5</v>
      </c>
      <c r="P292" s="10">
        <v>5</v>
      </c>
      <c r="Q292" s="10">
        <v>1</v>
      </c>
      <c r="R292" s="10">
        <v>5</v>
      </c>
      <c r="S292" s="10">
        <f t="shared" si="141"/>
        <v>0.75</v>
      </c>
      <c r="T292" s="10">
        <f t="shared" si="142"/>
        <v>0.75</v>
      </c>
      <c r="U292" s="10">
        <f t="shared" si="143"/>
        <v>0.75</v>
      </c>
      <c r="V292" s="10">
        <f t="shared" si="144"/>
        <v>0.75</v>
      </c>
      <c r="W292" s="10">
        <f t="shared" si="145"/>
        <v>1</v>
      </c>
      <c r="X292" s="10">
        <f t="shared" si="146"/>
        <v>1</v>
      </c>
      <c r="Y292" s="10">
        <f t="shared" si="147"/>
        <v>0</v>
      </c>
      <c r="Z292" s="10">
        <f t="shared" si="148"/>
        <v>1</v>
      </c>
      <c r="AA292" s="10" t="str">
        <f t="shared" si="149"/>
        <v/>
      </c>
      <c r="AB292" s="10" t="str">
        <f t="shared" si="150"/>
        <v/>
      </c>
      <c r="AC292" s="10" t="str">
        <f t="shared" si="151"/>
        <v/>
      </c>
      <c r="AD292" s="10" t="str">
        <f t="shared" si="152"/>
        <v/>
      </c>
      <c r="AE292" s="10" t="str">
        <f t="shared" si="153"/>
        <v/>
      </c>
      <c r="AF292" s="10" t="str">
        <f t="shared" si="154"/>
        <v/>
      </c>
      <c r="AG292" s="10" t="str">
        <f t="shared" si="155"/>
        <v/>
      </c>
      <c r="AH292" s="10" t="str">
        <f t="shared" si="156"/>
        <v/>
      </c>
      <c r="AI292" s="10">
        <f>IF(OR(S292="",'4_BENCHMARK'!$C$4=""),"",ABS(S292-'4_BENCHMARK'!$C$4))</f>
        <v>0.25</v>
      </c>
      <c r="AJ292" s="10">
        <f>IF(OR(T292="",'4_BENCHMARK'!$C$5=""),"",ABS(T292-'4_BENCHMARK'!$C$5))</f>
        <v>0.25</v>
      </c>
      <c r="AK292" s="10">
        <f>IF(OR(U292="",'4_BENCHMARK'!$C$6=""),"",ABS(U292-'4_BENCHMARK'!$C$6))</f>
        <v>0.25</v>
      </c>
      <c r="AL292" s="10">
        <f>IF(OR(V292="",'4_BENCHMARK'!$C$7=""),"",ABS(V292-'4_BENCHMARK'!$C$7))</f>
        <v>0.25</v>
      </c>
      <c r="AM292" s="10">
        <f>IF(OR(W292="",'4_BENCHMARK'!$C$8=""),"",ABS(W292-'4_BENCHMARK'!$C$8))</f>
        <v>1</v>
      </c>
      <c r="AN292" s="10">
        <f>IF(OR(X292="",'4_BENCHMARK'!$C$9=""),"",ABS(X292-'4_BENCHMARK'!$C$9))</f>
        <v>1</v>
      </c>
      <c r="AO292" s="10">
        <f>IF(OR(Y292="",'4_BENCHMARK'!$C$10=""),"",ABS(Y292-'4_BENCHMARK'!$C$10))</f>
        <v>0.5</v>
      </c>
      <c r="AP292" s="10">
        <f>IF(OR(Z292="",'4_BENCHMARK'!$C$11=""),"",ABS(Z292-'4_BENCHMARK'!$C$11))</f>
        <v>0</v>
      </c>
      <c r="AQ292" s="13">
        <f t="shared" si="157"/>
        <v>0.5625</v>
      </c>
      <c r="AR292" s="10"/>
      <c r="AS292" s="36" t="s">
        <v>145</v>
      </c>
      <c r="AT292" s="13">
        <f t="shared" si="158"/>
        <v>0.75</v>
      </c>
      <c r="AU292" s="1" t="str">
        <f t="shared" si="159"/>
        <v/>
      </c>
      <c r="AV292" s="1" t="str">
        <f t="shared" si="160"/>
        <v/>
      </c>
      <c r="AW292" s="1" t="str">
        <f t="shared" si="161"/>
        <v/>
      </c>
      <c r="AX292" s="1" t="str">
        <f t="shared" si="162"/>
        <v/>
      </c>
      <c r="AY292" s="1" t="str">
        <f t="shared" si="163"/>
        <v/>
      </c>
      <c r="AZ292" s="1" t="str">
        <f t="shared" si="164"/>
        <v/>
      </c>
      <c r="BA292" s="1" t="str">
        <f t="shared" si="165"/>
        <v/>
      </c>
      <c r="BB292" s="1" t="str">
        <f t="shared" si="166"/>
        <v/>
      </c>
      <c r="BC292" s="1" t="str">
        <f t="shared" si="167"/>
        <v/>
      </c>
      <c r="BD292" s="1" t="str">
        <f t="shared" si="168"/>
        <v/>
      </c>
      <c r="BE292" s="1" t="str">
        <f t="shared" si="169"/>
        <v/>
      </c>
      <c r="BF292" s="1" t="str">
        <f t="shared" si="170"/>
        <v/>
      </c>
      <c r="BG292" s="1" t="str">
        <f t="shared" si="171"/>
        <v/>
      </c>
      <c r="BH292" s="1" t="str">
        <f t="shared" si="172"/>
        <v/>
      </c>
      <c r="BI292" s="1" t="str">
        <f t="shared" si="173"/>
        <v/>
      </c>
      <c r="BJ292" s="1" t="str">
        <f t="shared" si="174"/>
        <v/>
      </c>
    </row>
    <row r="293" ht="14.25" customHeight="1" spans="1:62">
      <c r="A293" s="10">
        <v>289</v>
      </c>
      <c r="B293" s="10" t="s">
        <v>1033</v>
      </c>
      <c r="C293" s="10">
        <v>1960</v>
      </c>
      <c r="D293" s="10">
        <f t="shared" si="140"/>
        <v>1960</v>
      </c>
      <c r="E293" s="10" t="s">
        <v>1034</v>
      </c>
      <c r="F293" s="35" t="s">
        <v>1035</v>
      </c>
      <c r="G293" s="10" t="s">
        <v>1036</v>
      </c>
      <c r="H293" s="10" t="s">
        <v>140</v>
      </c>
      <c r="I293" s="10" t="s">
        <v>140</v>
      </c>
      <c r="J293" s="10" t="s">
        <v>1037</v>
      </c>
      <c r="K293" s="10">
        <v>4</v>
      </c>
      <c r="L293" s="10">
        <v>3</v>
      </c>
      <c r="M293" s="10">
        <v>4</v>
      </c>
      <c r="N293" s="10">
        <v>5</v>
      </c>
      <c r="O293" s="10">
        <v>5</v>
      </c>
      <c r="P293" s="10">
        <v>5</v>
      </c>
      <c r="Q293" s="10">
        <v>1</v>
      </c>
      <c r="R293" s="10">
        <v>5</v>
      </c>
      <c r="S293" s="10">
        <f t="shared" si="141"/>
        <v>0.75</v>
      </c>
      <c r="T293" s="10">
        <f t="shared" si="142"/>
        <v>0.5</v>
      </c>
      <c r="U293" s="10">
        <f t="shared" si="143"/>
        <v>0.75</v>
      </c>
      <c r="V293" s="10">
        <f t="shared" si="144"/>
        <v>1</v>
      </c>
      <c r="W293" s="10">
        <f t="shared" si="145"/>
        <v>1</v>
      </c>
      <c r="X293" s="10">
        <f t="shared" si="146"/>
        <v>1</v>
      </c>
      <c r="Y293" s="10">
        <f t="shared" si="147"/>
        <v>0</v>
      </c>
      <c r="Z293" s="10">
        <f t="shared" si="148"/>
        <v>1</v>
      </c>
      <c r="AA293" s="10" t="str">
        <f t="shared" si="149"/>
        <v/>
      </c>
      <c r="AB293" s="10" t="str">
        <f t="shared" si="150"/>
        <v/>
      </c>
      <c r="AC293" s="10" t="str">
        <f t="shared" si="151"/>
        <v/>
      </c>
      <c r="AD293" s="10" t="str">
        <f t="shared" si="152"/>
        <v/>
      </c>
      <c r="AE293" s="10" t="str">
        <f t="shared" si="153"/>
        <v/>
      </c>
      <c r="AF293" s="10" t="str">
        <f t="shared" si="154"/>
        <v/>
      </c>
      <c r="AG293" s="10" t="str">
        <f t="shared" si="155"/>
        <v/>
      </c>
      <c r="AH293" s="10" t="str">
        <f t="shared" si="156"/>
        <v/>
      </c>
      <c r="AI293" s="10">
        <f>IF(OR(S293="",'4_BENCHMARK'!$C$4=""),"",ABS(S293-'4_BENCHMARK'!$C$4))</f>
        <v>0.25</v>
      </c>
      <c r="AJ293" s="10">
        <f>IF(OR(T293="",'4_BENCHMARK'!$C$5=""),"",ABS(T293-'4_BENCHMARK'!$C$5))</f>
        <v>0.5</v>
      </c>
      <c r="AK293" s="10">
        <f>IF(OR(U293="",'4_BENCHMARK'!$C$6=""),"",ABS(U293-'4_BENCHMARK'!$C$6))</f>
        <v>0.25</v>
      </c>
      <c r="AL293" s="10">
        <f>IF(OR(V293="",'4_BENCHMARK'!$C$7=""),"",ABS(V293-'4_BENCHMARK'!$C$7))</f>
        <v>0</v>
      </c>
      <c r="AM293" s="10">
        <f>IF(OR(W293="",'4_BENCHMARK'!$C$8=""),"",ABS(W293-'4_BENCHMARK'!$C$8))</f>
        <v>1</v>
      </c>
      <c r="AN293" s="10">
        <f>IF(OR(X293="",'4_BENCHMARK'!$C$9=""),"",ABS(X293-'4_BENCHMARK'!$C$9))</f>
        <v>1</v>
      </c>
      <c r="AO293" s="10">
        <f>IF(OR(Y293="",'4_BENCHMARK'!$C$10=""),"",ABS(Y293-'4_BENCHMARK'!$C$10))</f>
        <v>0.5</v>
      </c>
      <c r="AP293" s="10">
        <f>IF(OR(Z293="",'4_BENCHMARK'!$C$11=""),"",ABS(Z293-'4_BENCHMARK'!$C$11))</f>
        <v>0</v>
      </c>
      <c r="AQ293" s="13">
        <f t="shared" si="157"/>
        <v>0.5625</v>
      </c>
      <c r="AR293" s="10"/>
      <c r="AS293" s="36" t="s">
        <v>145</v>
      </c>
      <c r="AT293" s="13">
        <f t="shared" si="158"/>
        <v>0.75</v>
      </c>
      <c r="AU293" s="1" t="str">
        <f t="shared" si="159"/>
        <v/>
      </c>
      <c r="AV293" s="1" t="str">
        <f t="shared" si="160"/>
        <v/>
      </c>
      <c r="AW293" s="1" t="str">
        <f t="shared" si="161"/>
        <v/>
      </c>
      <c r="AX293" s="1" t="str">
        <f t="shared" si="162"/>
        <v/>
      </c>
      <c r="AY293" s="1" t="str">
        <f t="shared" si="163"/>
        <v/>
      </c>
      <c r="AZ293" s="1" t="str">
        <f t="shared" si="164"/>
        <v/>
      </c>
      <c r="BA293" s="1" t="str">
        <f t="shared" si="165"/>
        <v/>
      </c>
      <c r="BB293" s="1" t="str">
        <f t="shared" si="166"/>
        <v/>
      </c>
      <c r="BC293" s="1" t="str">
        <f t="shared" si="167"/>
        <v/>
      </c>
      <c r="BD293" s="1" t="str">
        <f t="shared" si="168"/>
        <v/>
      </c>
      <c r="BE293" s="1" t="str">
        <f t="shared" si="169"/>
        <v/>
      </c>
      <c r="BF293" s="1" t="str">
        <f t="shared" si="170"/>
        <v/>
      </c>
      <c r="BG293" s="1" t="str">
        <f t="shared" si="171"/>
        <v/>
      </c>
      <c r="BH293" s="1" t="str">
        <f t="shared" si="172"/>
        <v/>
      </c>
      <c r="BI293" s="1" t="str">
        <f t="shared" si="173"/>
        <v/>
      </c>
      <c r="BJ293" s="1" t="str">
        <f t="shared" si="174"/>
        <v/>
      </c>
    </row>
    <row r="294" ht="14.25" customHeight="1" spans="1:62">
      <c r="A294" s="10">
        <v>290</v>
      </c>
      <c r="B294" s="10" t="s">
        <v>1038</v>
      </c>
      <c r="C294" s="10">
        <v>1970</v>
      </c>
      <c r="D294" s="10">
        <f t="shared" si="140"/>
        <v>1970</v>
      </c>
      <c r="E294" s="10" t="s">
        <v>801</v>
      </c>
      <c r="F294" s="35" t="s">
        <v>1039</v>
      </c>
      <c r="G294" s="10" t="s">
        <v>1040</v>
      </c>
      <c r="H294" s="10" t="s">
        <v>140</v>
      </c>
      <c r="I294" s="10" t="s">
        <v>140</v>
      </c>
      <c r="J294" s="10" t="s">
        <v>807</v>
      </c>
      <c r="K294" s="10">
        <v>4</v>
      </c>
      <c r="L294" s="10">
        <v>4</v>
      </c>
      <c r="M294" s="10">
        <v>4</v>
      </c>
      <c r="N294" s="10">
        <v>5</v>
      </c>
      <c r="O294" s="10">
        <v>5</v>
      </c>
      <c r="P294" s="10">
        <v>5</v>
      </c>
      <c r="Q294" s="10">
        <v>2</v>
      </c>
      <c r="R294" s="10">
        <v>4</v>
      </c>
      <c r="S294" s="10">
        <f t="shared" si="141"/>
        <v>0.75</v>
      </c>
      <c r="T294" s="10">
        <f t="shared" si="142"/>
        <v>0.75</v>
      </c>
      <c r="U294" s="10">
        <f t="shared" si="143"/>
        <v>0.75</v>
      </c>
      <c r="V294" s="10">
        <f t="shared" si="144"/>
        <v>1</v>
      </c>
      <c r="W294" s="10">
        <f t="shared" si="145"/>
        <v>1</v>
      </c>
      <c r="X294" s="10">
        <f t="shared" si="146"/>
        <v>1</v>
      </c>
      <c r="Y294" s="10">
        <f t="shared" si="147"/>
        <v>0.25</v>
      </c>
      <c r="Z294" s="10">
        <f t="shared" si="148"/>
        <v>0.75</v>
      </c>
      <c r="AA294" s="10" t="str">
        <f t="shared" si="149"/>
        <v/>
      </c>
      <c r="AB294" s="10" t="str">
        <f t="shared" si="150"/>
        <v/>
      </c>
      <c r="AC294" s="10" t="str">
        <f t="shared" si="151"/>
        <v/>
      </c>
      <c r="AD294" s="10" t="str">
        <f t="shared" si="152"/>
        <v/>
      </c>
      <c r="AE294" s="10" t="str">
        <f t="shared" si="153"/>
        <v/>
      </c>
      <c r="AF294" s="10" t="str">
        <f t="shared" si="154"/>
        <v/>
      </c>
      <c r="AG294" s="10" t="str">
        <f t="shared" si="155"/>
        <v/>
      </c>
      <c r="AH294" s="10" t="str">
        <f t="shared" si="156"/>
        <v/>
      </c>
      <c r="AI294" s="10">
        <f>IF(OR(S294="",'4_BENCHMARK'!$C$4=""),"",ABS(S294-'4_BENCHMARK'!$C$4))</f>
        <v>0.25</v>
      </c>
      <c r="AJ294" s="10">
        <f>IF(OR(T294="",'4_BENCHMARK'!$C$5=""),"",ABS(T294-'4_BENCHMARK'!$C$5))</f>
        <v>0.25</v>
      </c>
      <c r="AK294" s="10">
        <f>IF(OR(U294="",'4_BENCHMARK'!$C$6=""),"",ABS(U294-'4_BENCHMARK'!$C$6))</f>
        <v>0.25</v>
      </c>
      <c r="AL294" s="10">
        <f>IF(OR(V294="",'4_BENCHMARK'!$C$7=""),"",ABS(V294-'4_BENCHMARK'!$C$7))</f>
        <v>0</v>
      </c>
      <c r="AM294" s="10">
        <f>IF(OR(W294="",'4_BENCHMARK'!$C$8=""),"",ABS(W294-'4_BENCHMARK'!$C$8))</f>
        <v>1</v>
      </c>
      <c r="AN294" s="10">
        <f>IF(OR(X294="",'4_BENCHMARK'!$C$9=""),"",ABS(X294-'4_BENCHMARK'!$C$9))</f>
        <v>1</v>
      </c>
      <c r="AO294" s="10">
        <f>IF(OR(Y294="",'4_BENCHMARK'!$C$10=""),"",ABS(Y294-'4_BENCHMARK'!$C$10))</f>
        <v>0.25</v>
      </c>
      <c r="AP294" s="10">
        <f>IF(OR(Z294="",'4_BENCHMARK'!$C$11=""),"",ABS(Z294-'4_BENCHMARK'!$C$11))</f>
        <v>0.25</v>
      </c>
      <c r="AQ294" s="13">
        <f t="shared" si="157"/>
        <v>0.59375</v>
      </c>
      <c r="AR294" s="10"/>
      <c r="AS294" s="36" t="s">
        <v>145</v>
      </c>
      <c r="AT294" s="13">
        <f t="shared" si="158"/>
        <v>0.791666666666667</v>
      </c>
      <c r="AU294" s="1" t="str">
        <f t="shared" si="159"/>
        <v/>
      </c>
      <c r="AV294" s="1" t="str">
        <f t="shared" si="160"/>
        <v/>
      </c>
      <c r="AW294" s="1" t="str">
        <f t="shared" si="161"/>
        <v/>
      </c>
      <c r="AX294" s="1" t="str">
        <f t="shared" si="162"/>
        <v/>
      </c>
      <c r="AY294" s="1" t="str">
        <f t="shared" si="163"/>
        <v/>
      </c>
      <c r="AZ294" s="1" t="str">
        <f t="shared" si="164"/>
        <v/>
      </c>
      <c r="BA294" s="1" t="str">
        <f t="shared" si="165"/>
        <v/>
      </c>
      <c r="BB294" s="1" t="str">
        <f t="shared" si="166"/>
        <v/>
      </c>
      <c r="BC294" s="1" t="str">
        <f t="shared" si="167"/>
        <v/>
      </c>
      <c r="BD294" s="1" t="str">
        <f t="shared" si="168"/>
        <v/>
      </c>
      <c r="BE294" s="1" t="str">
        <f t="shared" si="169"/>
        <v/>
      </c>
      <c r="BF294" s="1" t="str">
        <f t="shared" si="170"/>
        <v/>
      </c>
      <c r="BG294" s="1" t="str">
        <f t="shared" si="171"/>
        <v/>
      </c>
      <c r="BH294" s="1" t="str">
        <f t="shared" si="172"/>
        <v/>
      </c>
      <c r="BI294" s="1" t="str">
        <f t="shared" si="173"/>
        <v/>
      </c>
      <c r="BJ294" s="1" t="str">
        <f t="shared" si="174"/>
        <v/>
      </c>
    </row>
    <row r="295" ht="14.25" customHeight="1" spans="1:62">
      <c r="A295" s="10">
        <v>291</v>
      </c>
      <c r="B295" s="10" t="s">
        <v>1041</v>
      </c>
      <c r="C295" s="10">
        <v>1970</v>
      </c>
      <c r="D295" s="10">
        <f t="shared" si="140"/>
        <v>1970</v>
      </c>
      <c r="E295" s="10" t="s">
        <v>801</v>
      </c>
      <c r="F295" s="35" t="s">
        <v>1042</v>
      </c>
      <c r="G295" s="10" t="s">
        <v>1043</v>
      </c>
      <c r="H295" s="10" t="s">
        <v>140</v>
      </c>
      <c r="I295" s="10" t="s">
        <v>140</v>
      </c>
      <c r="J295" s="10" t="s">
        <v>807</v>
      </c>
      <c r="K295" s="10">
        <v>3</v>
      </c>
      <c r="L295" s="10">
        <v>5</v>
      </c>
      <c r="M295" s="10">
        <v>5</v>
      </c>
      <c r="N295" s="10">
        <v>5</v>
      </c>
      <c r="O295" s="10">
        <v>5</v>
      </c>
      <c r="P295" s="10">
        <v>5</v>
      </c>
      <c r="Q295" s="10">
        <v>1</v>
      </c>
      <c r="R295" s="10">
        <v>4</v>
      </c>
      <c r="S295" s="10">
        <f t="shared" si="141"/>
        <v>0.5</v>
      </c>
      <c r="T295" s="10">
        <f t="shared" si="142"/>
        <v>1</v>
      </c>
      <c r="U295" s="10">
        <f t="shared" si="143"/>
        <v>1</v>
      </c>
      <c r="V295" s="10">
        <f t="shared" si="144"/>
        <v>1</v>
      </c>
      <c r="W295" s="10">
        <f t="shared" si="145"/>
        <v>1</v>
      </c>
      <c r="X295" s="10">
        <f t="shared" si="146"/>
        <v>1</v>
      </c>
      <c r="Y295" s="10">
        <f t="shared" si="147"/>
        <v>0</v>
      </c>
      <c r="Z295" s="10">
        <f t="shared" si="148"/>
        <v>0.75</v>
      </c>
      <c r="AA295" s="10" t="str">
        <f t="shared" si="149"/>
        <v/>
      </c>
      <c r="AB295" s="10" t="str">
        <f t="shared" si="150"/>
        <v/>
      </c>
      <c r="AC295" s="10" t="str">
        <f t="shared" si="151"/>
        <v/>
      </c>
      <c r="AD295" s="10" t="str">
        <f t="shared" si="152"/>
        <v/>
      </c>
      <c r="AE295" s="10" t="str">
        <f t="shared" si="153"/>
        <v/>
      </c>
      <c r="AF295" s="10" t="str">
        <f t="shared" si="154"/>
        <v/>
      </c>
      <c r="AG295" s="10" t="str">
        <f t="shared" si="155"/>
        <v/>
      </c>
      <c r="AH295" s="10" t="str">
        <f t="shared" si="156"/>
        <v/>
      </c>
      <c r="AI295" s="10">
        <f>IF(OR(S295="",'4_BENCHMARK'!$C$4=""),"",ABS(S295-'4_BENCHMARK'!$C$4))</f>
        <v>0.5</v>
      </c>
      <c r="AJ295" s="10">
        <f>IF(OR(T295="",'4_BENCHMARK'!$C$5=""),"",ABS(T295-'4_BENCHMARK'!$C$5))</f>
        <v>0</v>
      </c>
      <c r="AK295" s="10">
        <f>IF(OR(U295="",'4_BENCHMARK'!$C$6=""),"",ABS(U295-'4_BENCHMARK'!$C$6))</f>
        <v>0</v>
      </c>
      <c r="AL295" s="10">
        <f>IF(OR(V295="",'4_BENCHMARK'!$C$7=""),"",ABS(V295-'4_BENCHMARK'!$C$7))</f>
        <v>0</v>
      </c>
      <c r="AM295" s="10">
        <f>IF(OR(W295="",'4_BENCHMARK'!$C$8=""),"",ABS(W295-'4_BENCHMARK'!$C$8))</f>
        <v>1</v>
      </c>
      <c r="AN295" s="10">
        <f>IF(OR(X295="",'4_BENCHMARK'!$C$9=""),"",ABS(X295-'4_BENCHMARK'!$C$9))</f>
        <v>1</v>
      </c>
      <c r="AO295" s="10">
        <f>IF(OR(Y295="",'4_BENCHMARK'!$C$10=""),"",ABS(Y295-'4_BENCHMARK'!$C$10))</f>
        <v>0.5</v>
      </c>
      <c r="AP295" s="10">
        <f>IF(OR(Z295="",'4_BENCHMARK'!$C$11=""),"",ABS(Z295-'4_BENCHMARK'!$C$11))</f>
        <v>0.25</v>
      </c>
      <c r="AQ295" s="13">
        <f t="shared" si="157"/>
        <v>0.59375</v>
      </c>
      <c r="AR295" s="10"/>
      <c r="AS295" s="36" t="s">
        <v>145</v>
      </c>
      <c r="AT295" s="13">
        <f t="shared" si="158"/>
        <v>0.791666666666667</v>
      </c>
      <c r="AU295" s="1" t="str">
        <f t="shared" si="159"/>
        <v/>
      </c>
      <c r="AV295" s="1" t="str">
        <f t="shared" si="160"/>
        <v/>
      </c>
      <c r="AW295" s="1" t="str">
        <f t="shared" si="161"/>
        <v/>
      </c>
      <c r="AX295" s="1" t="str">
        <f t="shared" si="162"/>
        <v/>
      </c>
      <c r="AY295" s="1" t="str">
        <f t="shared" si="163"/>
        <v/>
      </c>
      <c r="AZ295" s="1" t="str">
        <f t="shared" si="164"/>
        <v/>
      </c>
      <c r="BA295" s="1" t="str">
        <f t="shared" si="165"/>
        <v/>
      </c>
      <c r="BB295" s="1" t="str">
        <f t="shared" si="166"/>
        <v/>
      </c>
      <c r="BC295" s="1" t="str">
        <f t="shared" si="167"/>
        <v/>
      </c>
      <c r="BD295" s="1" t="str">
        <f t="shared" si="168"/>
        <v/>
      </c>
      <c r="BE295" s="1" t="str">
        <f t="shared" si="169"/>
        <v/>
      </c>
      <c r="BF295" s="1" t="str">
        <f t="shared" si="170"/>
        <v/>
      </c>
      <c r="BG295" s="1" t="str">
        <f t="shared" si="171"/>
        <v/>
      </c>
      <c r="BH295" s="1" t="str">
        <f t="shared" si="172"/>
        <v/>
      </c>
      <c r="BI295" s="1" t="str">
        <f t="shared" si="173"/>
        <v/>
      </c>
      <c r="BJ295" s="1" t="str">
        <f t="shared" si="174"/>
        <v/>
      </c>
    </row>
    <row r="296" ht="14.25" customHeight="1" spans="1:62">
      <c r="A296" s="10">
        <v>292</v>
      </c>
      <c r="B296" s="10" t="s">
        <v>1044</v>
      </c>
      <c r="C296" s="10">
        <v>1970</v>
      </c>
      <c r="D296" s="10">
        <v>1970</v>
      </c>
      <c r="E296" s="10" t="s">
        <v>801</v>
      </c>
      <c r="F296" s="35" t="s">
        <v>1045</v>
      </c>
      <c r="G296" s="10" t="s">
        <v>1046</v>
      </c>
      <c r="H296" s="10" t="s">
        <v>140</v>
      </c>
      <c r="I296" s="10" t="s">
        <v>140</v>
      </c>
      <c r="J296" s="10" t="s">
        <v>807</v>
      </c>
      <c r="K296" s="10">
        <v>3</v>
      </c>
      <c r="L296" s="10">
        <v>3</v>
      </c>
      <c r="M296" s="10">
        <v>3</v>
      </c>
      <c r="N296" s="10">
        <v>5</v>
      </c>
      <c r="O296" s="10">
        <v>5</v>
      </c>
      <c r="P296" s="10">
        <v>5</v>
      </c>
      <c r="Q296" s="10">
        <v>2</v>
      </c>
      <c r="R296" s="10">
        <v>4</v>
      </c>
      <c r="S296" s="10">
        <f t="shared" si="141"/>
        <v>0.5</v>
      </c>
      <c r="T296" s="10">
        <f t="shared" si="142"/>
        <v>0.5</v>
      </c>
      <c r="U296" s="10">
        <f t="shared" si="143"/>
        <v>0.5</v>
      </c>
      <c r="V296" s="10">
        <f t="shared" si="144"/>
        <v>1</v>
      </c>
      <c r="W296" s="10">
        <f t="shared" si="145"/>
        <v>1</v>
      </c>
      <c r="X296" s="10">
        <f t="shared" si="146"/>
        <v>1</v>
      </c>
      <c r="Y296" s="10">
        <f t="shared" si="147"/>
        <v>0.25</v>
      </c>
      <c r="Z296" s="10">
        <f t="shared" si="148"/>
        <v>0.75</v>
      </c>
      <c r="AA296" s="10" t="str">
        <f t="shared" si="149"/>
        <v/>
      </c>
      <c r="AB296" s="10" t="str">
        <f t="shared" si="150"/>
        <v/>
      </c>
      <c r="AC296" s="10" t="str">
        <f t="shared" si="151"/>
        <v/>
      </c>
      <c r="AD296" s="10" t="str">
        <f t="shared" si="152"/>
        <v/>
      </c>
      <c r="AE296" s="10" t="str">
        <f t="shared" si="153"/>
        <v/>
      </c>
      <c r="AF296" s="10" t="str">
        <f t="shared" si="154"/>
        <v/>
      </c>
      <c r="AG296" s="10" t="str">
        <f t="shared" si="155"/>
        <v/>
      </c>
      <c r="AH296" s="10" t="str">
        <f t="shared" si="156"/>
        <v/>
      </c>
      <c r="AI296" s="10">
        <f>IF(OR(S296="",'4_BENCHMARK'!$C$4=""),"",ABS(S296-'4_BENCHMARK'!$C$4))</f>
        <v>0.5</v>
      </c>
      <c r="AJ296" s="10">
        <f>IF(OR(T296="",'4_BENCHMARK'!$C$5=""),"",ABS(T296-'4_BENCHMARK'!$C$5))</f>
        <v>0.5</v>
      </c>
      <c r="AK296" s="10">
        <f>IF(OR(U296="",'4_BENCHMARK'!$C$6=""),"",ABS(U296-'4_BENCHMARK'!$C$6))</f>
        <v>0.5</v>
      </c>
      <c r="AL296" s="10">
        <f>IF(OR(V296="",'4_BENCHMARK'!$C$7=""),"",ABS(V296-'4_BENCHMARK'!$C$7))</f>
        <v>0</v>
      </c>
      <c r="AM296" s="10">
        <f>IF(OR(W296="",'4_BENCHMARK'!$C$8=""),"",ABS(W296-'4_BENCHMARK'!$C$8))</f>
        <v>1</v>
      </c>
      <c r="AN296" s="10">
        <f>IF(OR(X296="",'4_BENCHMARK'!$C$9=""),"",ABS(X296-'4_BENCHMARK'!$C$9))</f>
        <v>1</v>
      </c>
      <c r="AO296" s="10">
        <f>IF(OR(Y296="",'4_BENCHMARK'!$C$10=""),"",ABS(Y296-'4_BENCHMARK'!$C$10))</f>
        <v>0.25</v>
      </c>
      <c r="AP296" s="10">
        <f>IF(OR(Z296="",'4_BENCHMARK'!$C$11=""),"",ABS(Z296-'4_BENCHMARK'!$C$11))</f>
        <v>0.25</v>
      </c>
      <c r="AQ296" s="13">
        <f t="shared" si="157"/>
        <v>0.5</v>
      </c>
      <c r="AR296" s="10"/>
      <c r="AS296" s="36" t="s">
        <v>145</v>
      </c>
      <c r="AT296" s="13">
        <f t="shared" si="158"/>
        <v>0.666666666666667</v>
      </c>
      <c r="AU296" s="1" t="str">
        <f t="shared" si="159"/>
        <v/>
      </c>
      <c r="AV296" s="1" t="str">
        <f t="shared" si="160"/>
        <v/>
      </c>
      <c r="AW296" s="1" t="str">
        <f t="shared" si="161"/>
        <v/>
      </c>
      <c r="AX296" s="1" t="str">
        <f t="shared" si="162"/>
        <v/>
      </c>
      <c r="AY296" s="1" t="str">
        <f t="shared" si="163"/>
        <v/>
      </c>
      <c r="AZ296" s="1" t="str">
        <f t="shared" si="164"/>
        <v/>
      </c>
      <c r="BA296" s="1" t="str">
        <f t="shared" si="165"/>
        <v/>
      </c>
      <c r="BB296" s="1" t="str">
        <f t="shared" si="166"/>
        <v/>
      </c>
      <c r="BC296" s="1" t="str">
        <f t="shared" si="167"/>
        <v/>
      </c>
      <c r="BD296" s="1" t="str">
        <f t="shared" si="168"/>
        <v/>
      </c>
      <c r="BE296" s="1" t="str">
        <f t="shared" si="169"/>
        <v/>
      </c>
      <c r="BF296" s="1" t="str">
        <f t="shared" si="170"/>
        <v/>
      </c>
      <c r="BG296" s="1" t="str">
        <f t="shared" si="171"/>
        <v/>
      </c>
      <c r="BH296" s="1" t="str">
        <f t="shared" si="172"/>
        <v/>
      </c>
      <c r="BI296" s="1" t="str">
        <f t="shared" si="173"/>
        <v/>
      </c>
      <c r="BJ296" s="1" t="str">
        <f t="shared" si="174"/>
        <v/>
      </c>
    </row>
    <row r="297" ht="14.25" customHeight="1" spans="1:62">
      <c r="A297" s="10">
        <v>293</v>
      </c>
      <c r="B297" s="10" t="s">
        <v>1047</v>
      </c>
      <c r="C297" s="10">
        <v>1970</v>
      </c>
      <c r="D297" s="10">
        <f t="shared" ref="D297:D328" si="175">IF(C297="","",FLOOR(C297,10))</f>
        <v>1970</v>
      </c>
      <c r="E297" s="10" t="s">
        <v>801</v>
      </c>
      <c r="F297" s="35" t="s">
        <v>1048</v>
      </c>
      <c r="G297" s="10" t="s">
        <v>1049</v>
      </c>
      <c r="H297" s="10" t="s">
        <v>140</v>
      </c>
      <c r="I297" s="10" t="s">
        <v>140</v>
      </c>
      <c r="J297" s="10" t="s">
        <v>807</v>
      </c>
      <c r="K297" s="10">
        <v>4</v>
      </c>
      <c r="L297" s="10">
        <v>3</v>
      </c>
      <c r="M297" s="10">
        <v>4</v>
      </c>
      <c r="N297" s="10">
        <v>5</v>
      </c>
      <c r="O297" s="10">
        <v>5</v>
      </c>
      <c r="P297" s="10">
        <v>5</v>
      </c>
      <c r="Q297" s="10">
        <v>2</v>
      </c>
      <c r="R297" s="10">
        <v>5</v>
      </c>
      <c r="S297" s="10">
        <f t="shared" si="141"/>
        <v>0.75</v>
      </c>
      <c r="T297" s="10">
        <f t="shared" si="142"/>
        <v>0.5</v>
      </c>
      <c r="U297" s="10">
        <f t="shared" si="143"/>
        <v>0.75</v>
      </c>
      <c r="V297" s="10">
        <f t="shared" si="144"/>
        <v>1</v>
      </c>
      <c r="W297" s="10">
        <f t="shared" si="145"/>
        <v>1</v>
      </c>
      <c r="X297" s="10">
        <f t="shared" si="146"/>
        <v>1</v>
      </c>
      <c r="Y297" s="10">
        <f t="shared" si="147"/>
        <v>0.25</v>
      </c>
      <c r="Z297" s="10">
        <f t="shared" si="148"/>
        <v>1</v>
      </c>
      <c r="AA297" s="10" t="str">
        <f t="shared" si="149"/>
        <v/>
      </c>
      <c r="AB297" s="10" t="str">
        <f t="shared" si="150"/>
        <v/>
      </c>
      <c r="AC297" s="10" t="str">
        <f t="shared" si="151"/>
        <v/>
      </c>
      <c r="AD297" s="10" t="str">
        <f t="shared" si="152"/>
        <v/>
      </c>
      <c r="AE297" s="10" t="str">
        <f t="shared" si="153"/>
        <v/>
      </c>
      <c r="AF297" s="10" t="str">
        <f t="shared" si="154"/>
        <v/>
      </c>
      <c r="AG297" s="10" t="str">
        <f t="shared" si="155"/>
        <v/>
      </c>
      <c r="AH297" s="10" t="str">
        <f t="shared" si="156"/>
        <v/>
      </c>
      <c r="AI297" s="10">
        <f>IF(OR(S297="",'4_BENCHMARK'!$C$4=""),"",ABS(S297-'4_BENCHMARK'!$C$4))</f>
        <v>0.25</v>
      </c>
      <c r="AJ297" s="10">
        <f>IF(OR(T297="",'4_BENCHMARK'!$C$5=""),"",ABS(T297-'4_BENCHMARK'!$C$5))</f>
        <v>0.5</v>
      </c>
      <c r="AK297" s="10">
        <f>IF(OR(U297="",'4_BENCHMARK'!$C$6=""),"",ABS(U297-'4_BENCHMARK'!$C$6))</f>
        <v>0.25</v>
      </c>
      <c r="AL297" s="10">
        <f>IF(OR(V297="",'4_BENCHMARK'!$C$7=""),"",ABS(V297-'4_BENCHMARK'!$C$7))</f>
        <v>0</v>
      </c>
      <c r="AM297" s="10">
        <f>IF(OR(W297="",'4_BENCHMARK'!$C$8=""),"",ABS(W297-'4_BENCHMARK'!$C$8))</f>
        <v>1</v>
      </c>
      <c r="AN297" s="10">
        <f>IF(OR(X297="",'4_BENCHMARK'!$C$9=""),"",ABS(X297-'4_BENCHMARK'!$C$9))</f>
        <v>1</v>
      </c>
      <c r="AO297" s="10">
        <f>IF(OR(Y297="",'4_BENCHMARK'!$C$10=""),"",ABS(Y297-'4_BENCHMARK'!$C$10))</f>
        <v>0.25</v>
      </c>
      <c r="AP297" s="10">
        <f>IF(OR(Z297="",'4_BENCHMARK'!$C$11=""),"",ABS(Z297-'4_BENCHMARK'!$C$11))</f>
        <v>0</v>
      </c>
      <c r="AQ297" s="13">
        <f t="shared" si="157"/>
        <v>0.59375</v>
      </c>
      <c r="AR297" s="10"/>
      <c r="AS297" s="36" t="s">
        <v>145</v>
      </c>
      <c r="AT297" s="13">
        <f t="shared" si="158"/>
        <v>0.791666666666667</v>
      </c>
      <c r="AU297" s="1" t="str">
        <f t="shared" si="159"/>
        <v/>
      </c>
      <c r="AV297" s="1" t="str">
        <f t="shared" si="160"/>
        <v/>
      </c>
      <c r="AW297" s="1" t="str">
        <f t="shared" si="161"/>
        <v/>
      </c>
      <c r="AX297" s="1" t="str">
        <f t="shared" si="162"/>
        <v/>
      </c>
      <c r="AY297" s="1" t="str">
        <f t="shared" si="163"/>
        <v/>
      </c>
      <c r="AZ297" s="1" t="str">
        <f t="shared" si="164"/>
        <v/>
      </c>
      <c r="BA297" s="1" t="str">
        <f t="shared" si="165"/>
        <v/>
      </c>
      <c r="BB297" s="1" t="str">
        <f t="shared" si="166"/>
        <v/>
      </c>
      <c r="BC297" s="1" t="str">
        <f t="shared" si="167"/>
        <v/>
      </c>
      <c r="BD297" s="1" t="str">
        <f t="shared" si="168"/>
        <v/>
      </c>
      <c r="BE297" s="1" t="str">
        <f t="shared" si="169"/>
        <v/>
      </c>
      <c r="BF297" s="1" t="str">
        <f t="shared" si="170"/>
        <v/>
      </c>
      <c r="BG297" s="1" t="str">
        <f t="shared" si="171"/>
        <v/>
      </c>
      <c r="BH297" s="1" t="str">
        <f t="shared" si="172"/>
        <v/>
      </c>
      <c r="BI297" s="1" t="str">
        <f t="shared" si="173"/>
        <v/>
      </c>
      <c r="BJ297" s="1" t="str">
        <f t="shared" si="174"/>
        <v/>
      </c>
    </row>
    <row r="298" ht="14.25" customHeight="1" spans="1:62">
      <c r="A298" s="10">
        <v>294</v>
      </c>
      <c r="B298" s="10" t="s">
        <v>1050</v>
      </c>
      <c r="C298" s="10">
        <v>1970</v>
      </c>
      <c r="D298" s="10">
        <f t="shared" si="175"/>
        <v>1970</v>
      </c>
      <c r="E298" s="10" t="s">
        <v>801</v>
      </c>
      <c r="F298" s="35" t="s">
        <v>1051</v>
      </c>
      <c r="G298" s="10" t="s">
        <v>1052</v>
      </c>
      <c r="H298" s="10" t="s">
        <v>139</v>
      </c>
      <c r="I298" s="10" t="s">
        <v>140</v>
      </c>
      <c r="J298" s="10" t="s">
        <v>807</v>
      </c>
      <c r="K298" s="10">
        <v>4</v>
      </c>
      <c r="L298" s="10">
        <v>3</v>
      </c>
      <c r="M298" s="10">
        <v>5</v>
      </c>
      <c r="N298" s="10">
        <v>5</v>
      </c>
      <c r="O298" s="10">
        <v>5</v>
      </c>
      <c r="P298" s="10">
        <v>5</v>
      </c>
      <c r="Q298" s="10">
        <v>2</v>
      </c>
      <c r="R298" s="10">
        <v>5</v>
      </c>
      <c r="S298" s="10">
        <f t="shared" si="141"/>
        <v>0.75</v>
      </c>
      <c r="T298" s="10">
        <f t="shared" si="142"/>
        <v>0.5</v>
      </c>
      <c r="U298" s="10">
        <f t="shared" si="143"/>
        <v>1</v>
      </c>
      <c r="V298" s="10">
        <f t="shared" si="144"/>
        <v>1</v>
      </c>
      <c r="W298" s="10">
        <f t="shared" si="145"/>
        <v>1</v>
      </c>
      <c r="X298" s="10">
        <f t="shared" si="146"/>
        <v>1</v>
      </c>
      <c r="Y298" s="10">
        <f t="shared" si="147"/>
        <v>0.25</v>
      </c>
      <c r="Z298" s="10">
        <f t="shared" si="148"/>
        <v>1</v>
      </c>
      <c r="AA298" s="10" t="str">
        <f t="shared" si="149"/>
        <v/>
      </c>
      <c r="AB298" s="10" t="str">
        <f t="shared" si="150"/>
        <v/>
      </c>
      <c r="AC298" s="10" t="str">
        <f t="shared" si="151"/>
        <v/>
      </c>
      <c r="AD298" s="10" t="str">
        <f t="shared" si="152"/>
        <v/>
      </c>
      <c r="AE298" s="10" t="str">
        <f t="shared" si="153"/>
        <v/>
      </c>
      <c r="AF298" s="10" t="str">
        <f t="shared" si="154"/>
        <v/>
      </c>
      <c r="AG298" s="10" t="str">
        <f t="shared" si="155"/>
        <v/>
      </c>
      <c r="AH298" s="10" t="str">
        <f t="shared" si="156"/>
        <v/>
      </c>
      <c r="AI298" s="10">
        <f>IF(OR(S298="",'4_BENCHMARK'!$C$4=""),"",ABS(S298-'4_BENCHMARK'!$C$4))</f>
        <v>0.25</v>
      </c>
      <c r="AJ298" s="10">
        <f>IF(OR(T298="",'4_BENCHMARK'!$C$5=""),"",ABS(T298-'4_BENCHMARK'!$C$5))</f>
        <v>0.5</v>
      </c>
      <c r="AK298" s="10">
        <f>IF(OR(U298="",'4_BENCHMARK'!$C$6=""),"",ABS(U298-'4_BENCHMARK'!$C$6))</f>
        <v>0</v>
      </c>
      <c r="AL298" s="10">
        <f>IF(OR(V298="",'4_BENCHMARK'!$C$7=""),"",ABS(V298-'4_BENCHMARK'!$C$7))</f>
        <v>0</v>
      </c>
      <c r="AM298" s="10">
        <f>IF(OR(W298="",'4_BENCHMARK'!$C$8=""),"",ABS(W298-'4_BENCHMARK'!$C$8))</f>
        <v>1</v>
      </c>
      <c r="AN298" s="10">
        <f>IF(OR(X298="",'4_BENCHMARK'!$C$9=""),"",ABS(X298-'4_BENCHMARK'!$C$9))</f>
        <v>1</v>
      </c>
      <c r="AO298" s="10">
        <f>IF(OR(Y298="",'4_BENCHMARK'!$C$10=""),"",ABS(Y298-'4_BENCHMARK'!$C$10))</f>
        <v>0.25</v>
      </c>
      <c r="AP298" s="10">
        <f>IF(OR(Z298="",'4_BENCHMARK'!$C$11=""),"",ABS(Z298-'4_BENCHMARK'!$C$11))</f>
        <v>0</v>
      </c>
      <c r="AQ298" s="13">
        <f t="shared" si="157"/>
        <v>0.625</v>
      </c>
      <c r="AR298" s="10"/>
      <c r="AS298" s="36" t="s">
        <v>145</v>
      </c>
      <c r="AT298" s="13">
        <f t="shared" si="158"/>
        <v>0.833333333333333</v>
      </c>
      <c r="AU298" s="1" t="str">
        <f t="shared" si="159"/>
        <v/>
      </c>
      <c r="AV298" s="1" t="str">
        <f t="shared" si="160"/>
        <v/>
      </c>
      <c r="AW298" s="1" t="str">
        <f t="shared" si="161"/>
        <v/>
      </c>
      <c r="AX298" s="1" t="str">
        <f t="shared" si="162"/>
        <v/>
      </c>
      <c r="AY298" s="1" t="str">
        <f t="shared" si="163"/>
        <v/>
      </c>
      <c r="AZ298" s="1" t="str">
        <f t="shared" si="164"/>
        <v/>
      </c>
      <c r="BA298" s="1" t="str">
        <f t="shared" si="165"/>
        <v/>
      </c>
      <c r="BB298" s="1" t="str">
        <f t="shared" si="166"/>
        <v/>
      </c>
      <c r="BC298" s="1" t="str">
        <f t="shared" si="167"/>
        <v/>
      </c>
      <c r="BD298" s="1" t="str">
        <f t="shared" si="168"/>
        <v/>
      </c>
      <c r="BE298" s="1" t="str">
        <f t="shared" si="169"/>
        <v/>
      </c>
      <c r="BF298" s="1" t="str">
        <f t="shared" si="170"/>
        <v/>
      </c>
      <c r="BG298" s="1" t="str">
        <f t="shared" si="171"/>
        <v/>
      </c>
      <c r="BH298" s="1" t="str">
        <f t="shared" si="172"/>
        <v/>
      </c>
      <c r="BI298" s="1" t="str">
        <f t="shared" si="173"/>
        <v/>
      </c>
      <c r="BJ298" s="1" t="str">
        <f t="shared" si="174"/>
        <v/>
      </c>
    </row>
    <row r="299" ht="14.25" customHeight="1" spans="1:62">
      <c r="A299" s="10">
        <v>295</v>
      </c>
      <c r="B299" s="10" t="s">
        <v>1053</v>
      </c>
      <c r="C299" s="10">
        <v>1970</v>
      </c>
      <c r="D299" s="10">
        <f t="shared" si="175"/>
        <v>1970</v>
      </c>
      <c r="E299" s="10" t="s">
        <v>801</v>
      </c>
      <c r="F299" s="35" t="s">
        <v>1054</v>
      </c>
      <c r="G299" s="10" t="s">
        <v>1055</v>
      </c>
      <c r="H299" s="10" t="s">
        <v>140</v>
      </c>
      <c r="I299" s="10" t="s">
        <v>140</v>
      </c>
      <c r="J299" s="10" t="s">
        <v>807</v>
      </c>
      <c r="K299" s="10">
        <v>4</v>
      </c>
      <c r="L299" s="10">
        <v>3</v>
      </c>
      <c r="M299" s="10">
        <v>5</v>
      </c>
      <c r="N299" s="10">
        <v>5</v>
      </c>
      <c r="O299" s="10">
        <v>5</v>
      </c>
      <c r="P299" s="10">
        <v>5</v>
      </c>
      <c r="Q299" s="10">
        <v>2</v>
      </c>
      <c r="R299" s="10">
        <v>5</v>
      </c>
      <c r="S299" s="10">
        <f t="shared" si="141"/>
        <v>0.75</v>
      </c>
      <c r="T299" s="10">
        <f t="shared" si="142"/>
        <v>0.5</v>
      </c>
      <c r="U299" s="10">
        <f t="shared" si="143"/>
        <v>1</v>
      </c>
      <c r="V299" s="10">
        <f t="shared" si="144"/>
        <v>1</v>
      </c>
      <c r="W299" s="10">
        <f t="shared" si="145"/>
        <v>1</v>
      </c>
      <c r="X299" s="10">
        <f t="shared" si="146"/>
        <v>1</v>
      </c>
      <c r="Y299" s="10">
        <f t="shared" si="147"/>
        <v>0.25</v>
      </c>
      <c r="Z299" s="10">
        <f t="shared" si="148"/>
        <v>1</v>
      </c>
      <c r="AA299" s="10" t="str">
        <f t="shared" si="149"/>
        <v/>
      </c>
      <c r="AB299" s="10" t="str">
        <f t="shared" si="150"/>
        <v/>
      </c>
      <c r="AC299" s="10" t="str">
        <f t="shared" si="151"/>
        <v/>
      </c>
      <c r="AD299" s="10" t="str">
        <f t="shared" si="152"/>
        <v/>
      </c>
      <c r="AE299" s="10" t="str">
        <f t="shared" si="153"/>
        <v/>
      </c>
      <c r="AF299" s="10" t="str">
        <f t="shared" si="154"/>
        <v/>
      </c>
      <c r="AG299" s="10" t="str">
        <f t="shared" si="155"/>
        <v/>
      </c>
      <c r="AH299" s="10" t="str">
        <f t="shared" si="156"/>
        <v/>
      </c>
      <c r="AI299" s="10">
        <f>IF(OR(S299="",'4_BENCHMARK'!$C$4=""),"",ABS(S299-'4_BENCHMARK'!$C$4))</f>
        <v>0.25</v>
      </c>
      <c r="AJ299" s="10">
        <f>IF(OR(T299="",'4_BENCHMARK'!$C$5=""),"",ABS(T299-'4_BENCHMARK'!$C$5))</f>
        <v>0.5</v>
      </c>
      <c r="AK299" s="10">
        <f>IF(OR(U299="",'4_BENCHMARK'!$C$6=""),"",ABS(U299-'4_BENCHMARK'!$C$6))</f>
        <v>0</v>
      </c>
      <c r="AL299" s="10">
        <f>IF(OR(V299="",'4_BENCHMARK'!$C$7=""),"",ABS(V299-'4_BENCHMARK'!$C$7))</f>
        <v>0</v>
      </c>
      <c r="AM299" s="10">
        <f>IF(OR(W299="",'4_BENCHMARK'!$C$8=""),"",ABS(W299-'4_BENCHMARK'!$C$8))</f>
        <v>1</v>
      </c>
      <c r="AN299" s="10">
        <f>IF(OR(X299="",'4_BENCHMARK'!$C$9=""),"",ABS(X299-'4_BENCHMARK'!$C$9))</f>
        <v>1</v>
      </c>
      <c r="AO299" s="10">
        <f>IF(OR(Y299="",'4_BENCHMARK'!$C$10=""),"",ABS(Y299-'4_BENCHMARK'!$C$10))</f>
        <v>0.25</v>
      </c>
      <c r="AP299" s="10">
        <f>IF(OR(Z299="",'4_BENCHMARK'!$C$11=""),"",ABS(Z299-'4_BENCHMARK'!$C$11))</f>
        <v>0</v>
      </c>
      <c r="AQ299" s="13">
        <f t="shared" si="157"/>
        <v>0.625</v>
      </c>
      <c r="AR299" s="10"/>
      <c r="AS299" s="36" t="s">
        <v>145</v>
      </c>
      <c r="AT299" s="13">
        <f t="shared" si="158"/>
        <v>0.833333333333333</v>
      </c>
      <c r="AU299" s="1" t="str">
        <f t="shared" si="159"/>
        <v/>
      </c>
      <c r="AV299" s="1" t="str">
        <f t="shared" si="160"/>
        <v/>
      </c>
      <c r="AW299" s="1" t="str">
        <f t="shared" si="161"/>
        <v/>
      </c>
      <c r="AX299" s="1" t="str">
        <f t="shared" si="162"/>
        <v/>
      </c>
      <c r="AY299" s="1" t="str">
        <f t="shared" si="163"/>
        <v/>
      </c>
      <c r="AZ299" s="1" t="str">
        <f t="shared" si="164"/>
        <v/>
      </c>
      <c r="BA299" s="1" t="str">
        <f t="shared" si="165"/>
        <v/>
      </c>
      <c r="BB299" s="1" t="str">
        <f t="shared" si="166"/>
        <v/>
      </c>
      <c r="BC299" s="1" t="str">
        <f t="shared" si="167"/>
        <v/>
      </c>
      <c r="BD299" s="1" t="str">
        <f t="shared" si="168"/>
        <v/>
      </c>
      <c r="BE299" s="1" t="str">
        <f t="shared" si="169"/>
        <v/>
      </c>
      <c r="BF299" s="1" t="str">
        <f t="shared" si="170"/>
        <v/>
      </c>
      <c r="BG299" s="1" t="str">
        <f t="shared" si="171"/>
        <v/>
      </c>
      <c r="BH299" s="1" t="str">
        <f t="shared" si="172"/>
        <v/>
      </c>
      <c r="BI299" s="1" t="str">
        <f t="shared" si="173"/>
        <v/>
      </c>
      <c r="BJ299" s="1" t="str">
        <f t="shared" si="174"/>
        <v/>
      </c>
    </row>
    <row r="300" ht="14.25" customHeight="1" spans="1:62">
      <c r="A300" s="10">
        <v>296</v>
      </c>
      <c r="B300" s="10" t="s">
        <v>1056</v>
      </c>
      <c r="C300" s="10">
        <v>1970</v>
      </c>
      <c r="D300" s="10">
        <f t="shared" si="175"/>
        <v>1970</v>
      </c>
      <c r="E300" s="10" t="s">
        <v>801</v>
      </c>
      <c r="F300" s="35" t="s">
        <v>1057</v>
      </c>
      <c r="G300" s="10" t="s">
        <v>1058</v>
      </c>
      <c r="H300" s="10" t="s">
        <v>140</v>
      </c>
      <c r="I300" s="10" t="s">
        <v>140</v>
      </c>
      <c r="J300" s="10" t="s">
        <v>807</v>
      </c>
      <c r="K300" s="10">
        <v>3</v>
      </c>
      <c r="L300" s="10">
        <v>4</v>
      </c>
      <c r="M300" s="10">
        <v>4</v>
      </c>
      <c r="N300" s="10">
        <v>5</v>
      </c>
      <c r="O300" s="10">
        <v>5</v>
      </c>
      <c r="P300" s="10">
        <v>5</v>
      </c>
      <c r="Q300" s="10">
        <v>1</v>
      </c>
      <c r="R300" s="10">
        <v>4</v>
      </c>
      <c r="S300" s="10">
        <f t="shared" si="141"/>
        <v>0.5</v>
      </c>
      <c r="T300" s="10">
        <f t="shared" si="142"/>
        <v>0.75</v>
      </c>
      <c r="U300" s="10">
        <f t="shared" si="143"/>
        <v>0.75</v>
      </c>
      <c r="V300" s="10">
        <f t="shared" si="144"/>
        <v>1</v>
      </c>
      <c r="W300" s="10">
        <f t="shared" si="145"/>
        <v>1</v>
      </c>
      <c r="X300" s="10">
        <f t="shared" si="146"/>
        <v>1</v>
      </c>
      <c r="Y300" s="10">
        <f t="shared" si="147"/>
        <v>0</v>
      </c>
      <c r="Z300" s="10">
        <f t="shared" si="148"/>
        <v>0.75</v>
      </c>
      <c r="AA300" s="10" t="str">
        <f t="shared" si="149"/>
        <v/>
      </c>
      <c r="AB300" s="10" t="str">
        <f t="shared" si="150"/>
        <v/>
      </c>
      <c r="AC300" s="10" t="str">
        <f t="shared" si="151"/>
        <v/>
      </c>
      <c r="AD300" s="10" t="str">
        <f t="shared" si="152"/>
        <v/>
      </c>
      <c r="AE300" s="10" t="str">
        <f t="shared" si="153"/>
        <v/>
      </c>
      <c r="AF300" s="10" t="str">
        <f t="shared" si="154"/>
        <v/>
      </c>
      <c r="AG300" s="10" t="str">
        <f t="shared" si="155"/>
        <v/>
      </c>
      <c r="AH300" s="10" t="str">
        <f t="shared" si="156"/>
        <v/>
      </c>
      <c r="AI300" s="10">
        <f>IF(OR(S300="",'4_BENCHMARK'!$C$4=""),"",ABS(S300-'4_BENCHMARK'!$C$4))</f>
        <v>0.5</v>
      </c>
      <c r="AJ300" s="10">
        <f>IF(OR(T300="",'4_BENCHMARK'!$C$5=""),"",ABS(T300-'4_BENCHMARK'!$C$5))</f>
        <v>0.25</v>
      </c>
      <c r="AK300" s="10">
        <f>IF(OR(U300="",'4_BENCHMARK'!$C$6=""),"",ABS(U300-'4_BENCHMARK'!$C$6))</f>
        <v>0.25</v>
      </c>
      <c r="AL300" s="10">
        <f>IF(OR(V300="",'4_BENCHMARK'!$C$7=""),"",ABS(V300-'4_BENCHMARK'!$C$7))</f>
        <v>0</v>
      </c>
      <c r="AM300" s="10">
        <f>IF(OR(W300="",'4_BENCHMARK'!$C$8=""),"",ABS(W300-'4_BENCHMARK'!$C$8))</f>
        <v>1</v>
      </c>
      <c r="AN300" s="10">
        <f>IF(OR(X300="",'4_BENCHMARK'!$C$9=""),"",ABS(X300-'4_BENCHMARK'!$C$9))</f>
        <v>1</v>
      </c>
      <c r="AO300" s="10">
        <f>IF(OR(Y300="",'4_BENCHMARK'!$C$10=""),"",ABS(Y300-'4_BENCHMARK'!$C$10))</f>
        <v>0.5</v>
      </c>
      <c r="AP300" s="10">
        <f>IF(OR(Z300="",'4_BENCHMARK'!$C$11=""),"",ABS(Z300-'4_BENCHMARK'!$C$11))</f>
        <v>0.25</v>
      </c>
      <c r="AQ300" s="13">
        <f t="shared" si="157"/>
        <v>0.53125</v>
      </c>
      <c r="AR300" s="10"/>
      <c r="AS300" s="36" t="s">
        <v>145</v>
      </c>
      <c r="AT300" s="13">
        <f t="shared" si="158"/>
        <v>0.708333333333333</v>
      </c>
      <c r="AU300" s="1" t="str">
        <f t="shared" si="159"/>
        <v/>
      </c>
      <c r="AV300" s="1" t="str">
        <f t="shared" si="160"/>
        <v/>
      </c>
      <c r="AW300" s="1" t="str">
        <f t="shared" si="161"/>
        <v/>
      </c>
      <c r="AX300" s="1" t="str">
        <f t="shared" si="162"/>
        <v/>
      </c>
      <c r="AY300" s="1" t="str">
        <f t="shared" si="163"/>
        <v/>
      </c>
      <c r="AZ300" s="1" t="str">
        <f t="shared" si="164"/>
        <v/>
      </c>
      <c r="BA300" s="1" t="str">
        <f t="shared" si="165"/>
        <v/>
      </c>
      <c r="BB300" s="1" t="str">
        <f t="shared" si="166"/>
        <v/>
      </c>
      <c r="BC300" s="1" t="str">
        <f t="shared" si="167"/>
        <v/>
      </c>
      <c r="BD300" s="1" t="str">
        <f t="shared" si="168"/>
        <v/>
      </c>
      <c r="BE300" s="1" t="str">
        <f t="shared" si="169"/>
        <v/>
      </c>
      <c r="BF300" s="1" t="str">
        <f t="shared" si="170"/>
        <v/>
      </c>
      <c r="BG300" s="1" t="str">
        <f t="shared" si="171"/>
        <v/>
      </c>
      <c r="BH300" s="1" t="str">
        <f t="shared" si="172"/>
        <v/>
      </c>
      <c r="BI300" s="1" t="str">
        <f t="shared" si="173"/>
        <v/>
      </c>
      <c r="BJ300" s="1" t="str">
        <f t="shared" si="174"/>
        <v/>
      </c>
    </row>
    <row r="301" ht="14.25" customHeight="1" spans="1:62">
      <c r="A301" s="10">
        <v>297</v>
      </c>
      <c r="B301" s="10" t="s">
        <v>804</v>
      </c>
      <c r="C301" s="10">
        <v>1970</v>
      </c>
      <c r="D301" s="10">
        <f t="shared" si="175"/>
        <v>1970</v>
      </c>
      <c r="E301" s="10" t="s">
        <v>801</v>
      </c>
      <c r="F301" s="35" t="s">
        <v>805</v>
      </c>
      <c r="G301" s="10" t="s">
        <v>1059</v>
      </c>
      <c r="H301" s="10" t="s">
        <v>140</v>
      </c>
      <c r="I301" s="10" t="s">
        <v>140</v>
      </c>
      <c r="J301" s="10" t="s">
        <v>807</v>
      </c>
      <c r="K301" s="10">
        <v>4</v>
      </c>
      <c r="L301" s="10">
        <v>4</v>
      </c>
      <c r="M301" s="10">
        <v>5</v>
      </c>
      <c r="N301" s="10">
        <v>5</v>
      </c>
      <c r="O301" s="10">
        <v>5</v>
      </c>
      <c r="P301" s="10">
        <v>5</v>
      </c>
      <c r="Q301" s="10">
        <v>1</v>
      </c>
      <c r="R301" s="10">
        <v>5</v>
      </c>
      <c r="S301" s="10">
        <f t="shared" si="141"/>
        <v>0.75</v>
      </c>
      <c r="T301" s="10">
        <f t="shared" si="142"/>
        <v>0.75</v>
      </c>
      <c r="U301" s="10">
        <f t="shared" si="143"/>
        <v>1</v>
      </c>
      <c r="V301" s="10">
        <f t="shared" si="144"/>
        <v>1</v>
      </c>
      <c r="W301" s="10">
        <f t="shared" si="145"/>
        <v>1</v>
      </c>
      <c r="X301" s="10">
        <f t="shared" si="146"/>
        <v>1</v>
      </c>
      <c r="Y301" s="10">
        <f t="shared" si="147"/>
        <v>0</v>
      </c>
      <c r="Z301" s="10">
        <f t="shared" si="148"/>
        <v>1</v>
      </c>
      <c r="AA301" s="10" t="str">
        <f t="shared" si="149"/>
        <v/>
      </c>
      <c r="AB301" s="10" t="str">
        <f t="shared" si="150"/>
        <v/>
      </c>
      <c r="AC301" s="10" t="str">
        <f t="shared" si="151"/>
        <v/>
      </c>
      <c r="AD301" s="10" t="str">
        <f t="shared" si="152"/>
        <v/>
      </c>
      <c r="AE301" s="10" t="str">
        <f t="shared" si="153"/>
        <v/>
      </c>
      <c r="AF301" s="10" t="str">
        <f t="shared" si="154"/>
        <v/>
      </c>
      <c r="AG301" s="10" t="str">
        <f t="shared" si="155"/>
        <v/>
      </c>
      <c r="AH301" s="10" t="str">
        <f t="shared" si="156"/>
        <v/>
      </c>
      <c r="AI301" s="10">
        <f>IF(OR(S301="",'4_BENCHMARK'!$C$4=""),"",ABS(S301-'4_BENCHMARK'!$C$4))</f>
        <v>0.25</v>
      </c>
      <c r="AJ301" s="10">
        <f>IF(OR(T301="",'4_BENCHMARK'!$C$5=""),"",ABS(T301-'4_BENCHMARK'!$C$5))</f>
        <v>0.25</v>
      </c>
      <c r="AK301" s="10">
        <f>IF(OR(U301="",'4_BENCHMARK'!$C$6=""),"",ABS(U301-'4_BENCHMARK'!$C$6))</f>
        <v>0</v>
      </c>
      <c r="AL301" s="10">
        <f>IF(OR(V301="",'4_BENCHMARK'!$C$7=""),"",ABS(V301-'4_BENCHMARK'!$C$7))</f>
        <v>0</v>
      </c>
      <c r="AM301" s="10">
        <f>IF(OR(W301="",'4_BENCHMARK'!$C$8=""),"",ABS(W301-'4_BENCHMARK'!$C$8))</f>
        <v>1</v>
      </c>
      <c r="AN301" s="10">
        <f>IF(OR(X301="",'4_BENCHMARK'!$C$9=""),"",ABS(X301-'4_BENCHMARK'!$C$9))</f>
        <v>1</v>
      </c>
      <c r="AO301" s="10">
        <f>IF(OR(Y301="",'4_BENCHMARK'!$C$10=""),"",ABS(Y301-'4_BENCHMARK'!$C$10))</f>
        <v>0.5</v>
      </c>
      <c r="AP301" s="10">
        <f>IF(OR(Z301="",'4_BENCHMARK'!$C$11=""),"",ABS(Z301-'4_BENCHMARK'!$C$11))</f>
        <v>0</v>
      </c>
      <c r="AQ301" s="13">
        <f t="shared" si="157"/>
        <v>0.625</v>
      </c>
      <c r="AR301" s="10"/>
      <c r="AS301" s="36" t="s">
        <v>145</v>
      </c>
      <c r="AT301" s="13">
        <f t="shared" si="158"/>
        <v>0.833333333333333</v>
      </c>
      <c r="AU301" s="1" t="str">
        <f t="shared" si="159"/>
        <v/>
      </c>
      <c r="AV301" s="1" t="str">
        <f t="shared" si="160"/>
        <v/>
      </c>
      <c r="AW301" s="1" t="str">
        <f t="shared" si="161"/>
        <v/>
      </c>
      <c r="AX301" s="1" t="str">
        <f t="shared" si="162"/>
        <v/>
      </c>
      <c r="AY301" s="1" t="str">
        <f t="shared" si="163"/>
        <v/>
      </c>
      <c r="AZ301" s="1" t="str">
        <f t="shared" si="164"/>
        <v/>
      </c>
      <c r="BA301" s="1" t="str">
        <f t="shared" si="165"/>
        <v/>
      </c>
      <c r="BB301" s="1" t="str">
        <f t="shared" si="166"/>
        <v/>
      </c>
      <c r="BC301" s="1" t="str">
        <f t="shared" si="167"/>
        <v/>
      </c>
      <c r="BD301" s="1" t="str">
        <f t="shared" si="168"/>
        <v/>
      </c>
      <c r="BE301" s="1" t="str">
        <f t="shared" si="169"/>
        <v/>
      </c>
      <c r="BF301" s="1" t="str">
        <f t="shared" si="170"/>
        <v/>
      </c>
      <c r="BG301" s="1" t="str">
        <f t="shared" si="171"/>
        <v/>
      </c>
      <c r="BH301" s="1" t="str">
        <f t="shared" si="172"/>
        <v/>
      </c>
      <c r="BI301" s="1" t="str">
        <f t="shared" si="173"/>
        <v/>
      </c>
      <c r="BJ301" s="1" t="str">
        <f t="shared" si="174"/>
        <v/>
      </c>
    </row>
    <row r="302" ht="14.25" customHeight="1" spans="1:62">
      <c r="A302" s="10">
        <v>298</v>
      </c>
      <c r="B302" s="10" t="s">
        <v>1060</v>
      </c>
      <c r="C302" s="10">
        <v>1970</v>
      </c>
      <c r="D302" s="10">
        <f t="shared" si="175"/>
        <v>1970</v>
      </c>
      <c r="E302" s="10" t="s">
        <v>801</v>
      </c>
      <c r="F302" s="35" t="s">
        <v>1061</v>
      </c>
      <c r="G302" s="10" t="s">
        <v>1062</v>
      </c>
      <c r="H302" s="10" t="s">
        <v>140</v>
      </c>
      <c r="I302" s="10" t="s">
        <v>140</v>
      </c>
      <c r="J302" s="10" t="s">
        <v>807</v>
      </c>
      <c r="K302" s="10">
        <v>4</v>
      </c>
      <c r="L302" s="10">
        <v>4</v>
      </c>
      <c r="M302" s="10">
        <v>4</v>
      </c>
      <c r="N302" s="10">
        <v>5</v>
      </c>
      <c r="O302" s="10">
        <v>4</v>
      </c>
      <c r="P302" s="10">
        <v>5</v>
      </c>
      <c r="Q302" s="10">
        <v>1</v>
      </c>
      <c r="R302" s="10">
        <v>5</v>
      </c>
      <c r="S302" s="10">
        <f t="shared" si="141"/>
        <v>0.75</v>
      </c>
      <c r="T302" s="10">
        <f t="shared" si="142"/>
        <v>0.75</v>
      </c>
      <c r="U302" s="10">
        <f t="shared" si="143"/>
        <v>0.75</v>
      </c>
      <c r="V302" s="10">
        <f t="shared" si="144"/>
        <v>1</v>
      </c>
      <c r="W302" s="10">
        <f t="shared" si="145"/>
        <v>0.75</v>
      </c>
      <c r="X302" s="10">
        <f t="shared" si="146"/>
        <v>1</v>
      </c>
      <c r="Y302" s="10">
        <f t="shared" si="147"/>
        <v>0</v>
      </c>
      <c r="Z302" s="10">
        <f t="shared" si="148"/>
        <v>1</v>
      </c>
      <c r="AA302" s="10" t="str">
        <f t="shared" si="149"/>
        <v/>
      </c>
      <c r="AB302" s="10" t="str">
        <f t="shared" si="150"/>
        <v/>
      </c>
      <c r="AC302" s="10" t="str">
        <f t="shared" si="151"/>
        <v/>
      </c>
      <c r="AD302" s="10" t="str">
        <f t="shared" si="152"/>
        <v/>
      </c>
      <c r="AE302" s="10" t="str">
        <f t="shared" si="153"/>
        <v/>
      </c>
      <c r="AF302" s="10" t="str">
        <f t="shared" si="154"/>
        <v/>
      </c>
      <c r="AG302" s="10" t="str">
        <f t="shared" si="155"/>
        <v/>
      </c>
      <c r="AH302" s="10" t="str">
        <f t="shared" si="156"/>
        <v/>
      </c>
      <c r="AI302" s="10">
        <f>IF(OR(S302="",'4_BENCHMARK'!$C$4=""),"",ABS(S302-'4_BENCHMARK'!$C$4))</f>
        <v>0.25</v>
      </c>
      <c r="AJ302" s="10">
        <f>IF(OR(T302="",'4_BENCHMARK'!$C$5=""),"",ABS(T302-'4_BENCHMARK'!$C$5))</f>
        <v>0.25</v>
      </c>
      <c r="AK302" s="10">
        <f>IF(OR(U302="",'4_BENCHMARK'!$C$6=""),"",ABS(U302-'4_BENCHMARK'!$C$6))</f>
        <v>0.25</v>
      </c>
      <c r="AL302" s="10">
        <f>IF(OR(V302="",'4_BENCHMARK'!$C$7=""),"",ABS(V302-'4_BENCHMARK'!$C$7))</f>
        <v>0</v>
      </c>
      <c r="AM302" s="10">
        <f>IF(OR(W302="",'4_BENCHMARK'!$C$8=""),"",ABS(W302-'4_BENCHMARK'!$C$8))</f>
        <v>0.75</v>
      </c>
      <c r="AN302" s="10">
        <f>IF(OR(X302="",'4_BENCHMARK'!$C$9=""),"",ABS(X302-'4_BENCHMARK'!$C$9))</f>
        <v>1</v>
      </c>
      <c r="AO302" s="10">
        <f>IF(OR(Y302="",'4_BENCHMARK'!$C$10=""),"",ABS(Y302-'4_BENCHMARK'!$C$10))</f>
        <v>0.5</v>
      </c>
      <c r="AP302" s="10">
        <f>IF(OR(Z302="",'4_BENCHMARK'!$C$11=""),"",ABS(Z302-'4_BENCHMARK'!$C$11))</f>
        <v>0</v>
      </c>
      <c r="AQ302" s="13">
        <f t="shared" si="157"/>
        <v>0.625</v>
      </c>
      <c r="AR302" s="10"/>
      <c r="AS302" s="36" t="s">
        <v>145</v>
      </c>
      <c r="AT302" s="13">
        <f t="shared" si="158"/>
        <v>0.791666666666667</v>
      </c>
      <c r="AU302" s="1" t="str">
        <f t="shared" si="159"/>
        <v/>
      </c>
      <c r="AV302" s="1" t="str">
        <f t="shared" si="160"/>
        <v/>
      </c>
      <c r="AW302" s="1" t="str">
        <f t="shared" si="161"/>
        <v/>
      </c>
      <c r="AX302" s="1" t="str">
        <f t="shared" si="162"/>
        <v/>
      </c>
      <c r="AY302" s="1" t="str">
        <f t="shared" si="163"/>
        <v/>
      </c>
      <c r="AZ302" s="1" t="str">
        <f t="shared" si="164"/>
        <v/>
      </c>
      <c r="BA302" s="1" t="str">
        <f t="shared" si="165"/>
        <v/>
      </c>
      <c r="BB302" s="1" t="str">
        <f t="shared" si="166"/>
        <v/>
      </c>
      <c r="BC302" s="1" t="str">
        <f t="shared" si="167"/>
        <v/>
      </c>
      <c r="BD302" s="1" t="str">
        <f t="shared" si="168"/>
        <v/>
      </c>
      <c r="BE302" s="1" t="str">
        <f t="shared" si="169"/>
        <v/>
      </c>
      <c r="BF302" s="1" t="str">
        <f t="shared" si="170"/>
        <v/>
      </c>
      <c r="BG302" s="1" t="str">
        <f t="shared" si="171"/>
        <v/>
      </c>
      <c r="BH302" s="1" t="str">
        <f t="shared" si="172"/>
        <v/>
      </c>
      <c r="BI302" s="1" t="str">
        <f t="shared" si="173"/>
        <v/>
      </c>
      <c r="BJ302" s="1" t="str">
        <f t="shared" si="174"/>
        <v/>
      </c>
    </row>
    <row r="303" ht="14.25" customHeight="1" spans="1:62">
      <c r="A303" s="10">
        <v>299</v>
      </c>
      <c r="B303" s="10" t="s">
        <v>1063</v>
      </c>
      <c r="C303" s="10">
        <v>1970</v>
      </c>
      <c r="D303" s="10">
        <f t="shared" si="175"/>
        <v>1970</v>
      </c>
      <c r="E303" s="10" t="s">
        <v>801</v>
      </c>
      <c r="F303" s="35" t="s">
        <v>1064</v>
      </c>
      <c r="G303" s="10" t="s">
        <v>1065</v>
      </c>
      <c r="H303" s="10" t="s">
        <v>140</v>
      </c>
      <c r="I303" s="10" t="s">
        <v>140</v>
      </c>
      <c r="J303" s="10" t="s">
        <v>807</v>
      </c>
      <c r="K303" s="10">
        <v>4</v>
      </c>
      <c r="L303" s="10">
        <v>4</v>
      </c>
      <c r="M303" s="10">
        <v>4</v>
      </c>
      <c r="N303" s="10">
        <v>4</v>
      </c>
      <c r="O303" s="10">
        <v>5</v>
      </c>
      <c r="P303" s="10">
        <v>5</v>
      </c>
      <c r="Q303" s="10">
        <v>1</v>
      </c>
      <c r="R303" s="10">
        <v>4</v>
      </c>
      <c r="S303" s="10">
        <f t="shared" si="141"/>
        <v>0.75</v>
      </c>
      <c r="T303" s="10">
        <f t="shared" si="142"/>
        <v>0.75</v>
      </c>
      <c r="U303" s="10">
        <f t="shared" si="143"/>
        <v>0.75</v>
      </c>
      <c r="V303" s="10">
        <f t="shared" si="144"/>
        <v>0.75</v>
      </c>
      <c r="W303" s="10">
        <f t="shared" si="145"/>
        <v>1</v>
      </c>
      <c r="X303" s="10">
        <f t="shared" si="146"/>
        <v>1</v>
      </c>
      <c r="Y303" s="10">
        <f t="shared" si="147"/>
        <v>0</v>
      </c>
      <c r="Z303" s="10">
        <f t="shared" si="148"/>
        <v>0.75</v>
      </c>
      <c r="AA303" s="10" t="str">
        <f t="shared" si="149"/>
        <v/>
      </c>
      <c r="AB303" s="10" t="str">
        <f t="shared" si="150"/>
        <v/>
      </c>
      <c r="AC303" s="10" t="str">
        <f t="shared" si="151"/>
        <v/>
      </c>
      <c r="AD303" s="10" t="str">
        <f t="shared" si="152"/>
        <v/>
      </c>
      <c r="AE303" s="10" t="str">
        <f t="shared" si="153"/>
        <v/>
      </c>
      <c r="AF303" s="10" t="str">
        <f t="shared" si="154"/>
        <v/>
      </c>
      <c r="AG303" s="10" t="str">
        <f t="shared" si="155"/>
        <v/>
      </c>
      <c r="AH303" s="10" t="str">
        <f t="shared" si="156"/>
        <v/>
      </c>
      <c r="AI303" s="10">
        <f>IF(OR(S303="",'4_BENCHMARK'!$C$4=""),"",ABS(S303-'4_BENCHMARK'!$C$4))</f>
        <v>0.25</v>
      </c>
      <c r="AJ303" s="10">
        <f>IF(OR(T303="",'4_BENCHMARK'!$C$5=""),"",ABS(T303-'4_BENCHMARK'!$C$5))</f>
        <v>0.25</v>
      </c>
      <c r="AK303" s="10">
        <f>IF(OR(U303="",'4_BENCHMARK'!$C$6=""),"",ABS(U303-'4_BENCHMARK'!$C$6))</f>
        <v>0.25</v>
      </c>
      <c r="AL303" s="10">
        <f>IF(OR(V303="",'4_BENCHMARK'!$C$7=""),"",ABS(V303-'4_BENCHMARK'!$C$7))</f>
        <v>0.25</v>
      </c>
      <c r="AM303" s="10">
        <f>IF(OR(W303="",'4_BENCHMARK'!$C$8=""),"",ABS(W303-'4_BENCHMARK'!$C$8))</f>
        <v>1</v>
      </c>
      <c r="AN303" s="10">
        <f>IF(OR(X303="",'4_BENCHMARK'!$C$9=""),"",ABS(X303-'4_BENCHMARK'!$C$9))</f>
        <v>1</v>
      </c>
      <c r="AO303" s="10">
        <f>IF(OR(Y303="",'4_BENCHMARK'!$C$10=""),"",ABS(Y303-'4_BENCHMARK'!$C$10))</f>
        <v>0.5</v>
      </c>
      <c r="AP303" s="10">
        <f>IF(OR(Z303="",'4_BENCHMARK'!$C$11=""),"",ABS(Z303-'4_BENCHMARK'!$C$11))</f>
        <v>0.25</v>
      </c>
      <c r="AQ303" s="13">
        <f t="shared" si="157"/>
        <v>0.53125</v>
      </c>
      <c r="AR303" s="10"/>
      <c r="AS303" s="36" t="s">
        <v>145</v>
      </c>
      <c r="AT303" s="13">
        <f t="shared" si="158"/>
        <v>0.708333333333333</v>
      </c>
      <c r="AU303" s="1" t="str">
        <f t="shared" si="159"/>
        <v/>
      </c>
      <c r="AV303" s="1" t="str">
        <f t="shared" si="160"/>
        <v/>
      </c>
      <c r="AW303" s="1" t="str">
        <f t="shared" si="161"/>
        <v/>
      </c>
      <c r="AX303" s="1" t="str">
        <f t="shared" si="162"/>
        <v/>
      </c>
      <c r="AY303" s="1" t="str">
        <f t="shared" si="163"/>
        <v/>
      </c>
      <c r="AZ303" s="1" t="str">
        <f t="shared" si="164"/>
        <v/>
      </c>
      <c r="BA303" s="1" t="str">
        <f t="shared" si="165"/>
        <v/>
      </c>
      <c r="BB303" s="1" t="str">
        <f t="shared" si="166"/>
        <v/>
      </c>
      <c r="BC303" s="1" t="str">
        <f t="shared" si="167"/>
        <v/>
      </c>
      <c r="BD303" s="1" t="str">
        <f t="shared" si="168"/>
        <v/>
      </c>
      <c r="BE303" s="1" t="str">
        <f t="shared" si="169"/>
        <v/>
      </c>
      <c r="BF303" s="1" t="str">
        <f t="shared" si="170"/>
        <v/>
      </c>
      <c r="BG303" s="1" t="str">
        <f t="shared" si="171"/>
        <v/>
      </c>
      <c r="BH303" s="1" t="str">
        <f t="shared" si="172"/>
        <v/>
      </c>
      <c r="BI303" s="1" t="str">
        <f t="shared" si="173"/>
        <v/>
      </c>
      <c r="BJ303" s="1" t="str">
        <f t="shared" si="174"/>
        <v/>
      </c>
    </row>
    <row r="304" ht="14.25" customHeight="1" spans="1:62">
      <c r="A304" s="10">
        <v>300</v>
      </c>
      <c r="B304" s="10" t="s">
        <v>1066</v>
      </c>
      <c r="C304" s="10">
        <v>1970</v>
      </c>
      <c r="D304" s="10">
        <f t="shared" si="175"/>
        <v>1970</v>
      </c>
      <c r="E304" s="10" t="s">
        <v>801</v>
      </c>
      <c r="F304" s="35" t="s">
        <v>1067</v>
      </c>
      <c r="G304" s="10" t="s">
        <v>1068</v>
      </c>
      <c r="H304" s="10" t="s">
        <v>140</v>
      </c>
      <c r="I304" s="10" t="s">
        <v>140</v>
      </c>
      <c r="J304" s="10" t="s">
        <v>807</v>
      </c>
      <c r="K304" s="10">
        <v>4</v>
      </c>
      <c r="L304" s="10">
        <v>4</v>
      </c>
      <c r="M304" s="10">
        <v>4</v>
      </c>
      <c r="N304" s="10">
        <v>5</v>
      </c>
      <c r="O304" s="10">
        <v>5</v>
      </c>
      <c r="P304" s="10">
        <v>5</v>
      </c>
      <c r="Q304" s="10">
        <v>2</v>
      </c>
      <c r="R304" s="10">
        <v>5</v>
      </c>
      <c r="S304" s="10">
        <f t="shared" si="141"/>
        <v>0.75</v>
      </c>
      <c r="T304" s="10">
        <f t="shared" si="142"/>
        <v>0.75</v>
      </c>
      <c r="U304" s="10">
        <f t="shared" si="143"/>
        <v>0.75</v>
      </c>
      <c r="V304" s="10">
        <f t="shared" si="144"/>
        <v>1</v>
      </c>
      <c r="W304" s="10">
        <f t="shared" si="145"/>
        <v>1</v>
      </c>
      <c r="X304" s="10">
        <f t="shared" si="146"/>
        <v>1</v>
      </c>
      <c r="Y304" s="10">
        <f t="shared" si="147"/>
        <v>0.25</v>
      </c>
      <c r="Z304" s="10">
        <f t="shared" si="148"/>
        <v>1</v>
      </c>
      <c r="AA304" s="10" t="str">
        <f t="shared" si="149"/>
        <v/>
      </c>
      <c r="AB304" s="10" t="str">
        <f t="shared" si="150"/>
        <v/>
      </c>
      <c r="AC304" s="10" t="str">
        <f t="shared" si="151"/>
        <v/>
      </c>
      <c r="AD304" s="10" t="str">
        <f t="shared" si="152"/>
        <v/>
      </c>
      <c r="AE304" s="10" t="str">
        <f t="shared" si="153"/>
        <v/>
      </c>
      <c r="AF304" s="10" t="str">
        <f t="shared" si="154"/>
        <v/>
      </c>
      <c r="AG304" s="10" t="str">
        <f t="shared" si="155"/>
        <v/>
      </c>
      <c r="AH304" s="10" t="str">
        <f t="shared" si="156"/>
        <v/>
      </c>
      <c r="AI304" s="10">
        <f>IF(OR(S304="",'4_BENCHMARK'!$C$4=""),"",ABS(S304-'4_BENCHMARK'!$C$4))</f>
        <v>0.25</v>
      </c>
      <c r="AJ304" s="10">
        <f>IF(OR(T304="",'4_BENCHMARK'!$C$5=""),"",ABS(T304-'4_BENCHMARK'!$C$5))</f>
        <v>0.25</v>
      </c>
      <c r="AK304" s="10">
        <f>IF(OR(U304="",'4_BENCHMARK'!$C$6=""),"",ABS(U304-'4_BENCHMARK'!$C$6))</f>
        <v>0.25</v>
      </c>
      <c r="AL304" s="10">
        <f>IF(OR(V304="",'4_BENCHMARK'!$C$7=""),"",ABS(V304-'4_BENCHMARK'!$C$7))</f>
        <v>0</v>
      </c>
      <c r="AM304" s="10">
        <f>IF(OR(W304="",'4_BENCHMARK'!$C$8=""),"",ABS(W304-'4_BENCHMARK'!$C$8))</f>
        <v>1</v>
      </c>
      <c r="AN304" s="10">
        <f>IF(OR(X304="",'4_BENCHMARK'!$C$9=""),"",ABS(X304-'4_BENCHMARK'!$C$9))</f>
        <v>1</v>
      </c>
      <c r="AO304" s="10">
        <f>IF(OR(Y304="",'4_BENCHMARK'!$C$10=""),"",ABS(Y304-'4_BENCHMARK'!$C$10))</f>
        <v>0.25</v>
      </c>
      <c r="AP304" s="10">
        <f>IF(OR(Z304="",'4_BENCHMARK'!$C$11=""),"",ABS(Z304-'4_BENCHMARK'!$C$11))</f>
        <v>0</v>
      </c>
      <c r="AQ304" s="13">
        <f t="shared" si="157"/>
        <v>0.625</v>
      </c>
      <c r="AR304" s="10"/>
      <c r="AS304" s="36" t="s">
        <v>145</v>
      </c>
      <c r="AT304" s="13">
        <f t="shared" si="158"/>
        <v>0.833333333333333</v>
      </c>
      <c r="AU304" s="1" t="str">
        <f t="shared" si="159"/>
        <v/>
      </c>
      <c r="AV304" s="1" t="str">
        <f t="shared" si="160"/>
        <v/>
      </c>
      <c r="AW304" s="1" t="str">
        <f t="shared" si="161"/>
        <v/>
      </c>
      <c r="AX304" s="1" t="str">
        <f t="shared" si="162"/>
        <v/>
      </c>
      <c r="AY304" s="1" t="str">
        <f t="shared" si="163"/>
        <v/>
      </c>
      <c r="AZ304" s="1" t="str">
        <f t="shared" si="164"/>
        <v/>
      </c>
      <c r="BA304" s="1" t="str">
        <f t="shared" si="165"/>
        <v/>
      </c>
      <c r="BB304" s="1" t="str">
        <f t="shared" si="166"/>
        <v/>
      </c>
      <c r="BC304" s="1" t="str">
        <f t="shared" si="167"/>
        <v/>
      </c>
      <c r="BD304" s="1" t="str">
        <f t="shared" si="168"/>
        <v/>
      </c>
      <c r="BE304" s="1" t="str">
        <f t="shared" si="169"/>
        <v/>
      </c>
      <c r="BF304" s="1" t="str">
        <f t="shared" si="170"/>
        <v/>
      </c>
      <c r="BG304" s="1" t="str">
        <f t="shared" si="171"/>
        <v/>
      </c>
      <c r="BH304" s="1" t="str">
        <f t="shared" si="172"/>
        <v/>
      </c>
      <c r="BI304" s="1" t="str">
        <f t="shared" si="173"/>
        <v/>
      </c>
      <c r="BJ304" s="1" t="str">
        <f t="shared" si="174"/>
        <v/>
      </c>
    </row>
    <row r="305" ht="14.25" customHeight="1" spans="1:62">
      <c r="A305" s="10">
        <v>301</v>
      </c>
      <c r="B305" s="10" t="s">
        <v>1069</v>
      </c>
      <c r="C305" s="10">
        <v>1940</v>
      </c>
      <c r="D305" s="10">
        <f t="shared" si="175"/>
        <v>1940</v>
      </c>
      <c r="E305" s="10" t="s">
        <v>801</v>
      </c>
      <c r="F305" s="35" t="s">
        <v>1070</v>
      </c>
      <c r="G305" s="10" t="s">
        <v>1071</v>
      </c>
      <c r="H305" s="10" t="s">
        <v>139</v>
      </c>
      <c r="I305" s="10" t="s">
        <v>140</v>
      </c>
      <c r="J305" s="10" t="s">
        <v>1072</v>
      </c>
      <c r="K305" s="10">
        <v>5</v>
      </c>
      <c r="L305" s="10">
        <v>5</v>
      </c>
      <c r="M305" s="10">
        <v>5</v>
      </c>
      <c r="N305" s="10">
        <v>5</v>
      </c>
      <c r="O305" s="10">
        <v>5</v>
      </c>
      <c r="P305" s="10">
        <v>5</v>
      </c>
      <c r="Q305" s="10">
        <v>3</v>
      </c>
      <c r="R305" s="10">
        <v>5</v>
      </c>
      <c r="S305" s="10">
        <f t="shared" si="141"/>
        <v>1</v>
      </c>
      <c r="T305" s="10">
        <f t="shared" si="142"/>
        <v>1</v>
      </c>
      <c r="U305" s="10">
        <f t="shared" si="143"/>
        <v>1</v>
      </c>
      <c r="V305" s="10">
        <f t="shared" si="144"/>
        <v>1</v>
      </c>
      <c r="W305" s="10">
        <f t="shared" si="145"/>
        <v>1</v>
      </c>
      <c r="X305" s="10">
        <f t="shared" si="146"/>
        <v>1</v>
      </c>
      <c r="Y305" s="10">
        <f t="shared" si="147"/>
        <v>0.5</v>
      </c>
      <c r="Z305" s="10">
        <f t="shared" si="148"/>
        <v>1</v>
      </c>
      <c r="AA305" s="10">
        <f t="shared" si="149"/>
        <v>1</v>
      </c>
      <c r="AB305" s="10">
        <f t="shared" si="150"/>
        <v>1</v>
      </c>
      <c r="AC305" s="10">
        <f t="shared" si="151"/>
        <v>1</v>
      </c>
      <c r="AD305" s="10">
        <f t="shared" si="152"/>
        <v>1</v>
      </c>
      <c r="AE305" s="10">
        <f t="shared" si="153"/>
        <v>1</v>
      </c>
      <c r="AF305" s="10">
        <f t="shared" si="154"/>
        <v>1</v>
      </c>
      <c r="AG305" s="10">
        <f t="shared" si="155"/>
        <v>0.5</v>
      </c>
      <c r="AH305" s="10">
        <f t="shared" si="156"/>
        <v>1</v>
      </c>
      <c r="AI305" s="10">
        <f>IF(OR(S305="",'4_BENCHMARK'!$C$4=""),"",ABS(S305-'4_BENCHMARK'!$C$4))</f>
        <v>0</v>
      </c>
      <c r="AJ305" s="10">
        <f>IF(OR(T305="",'4_BENCHMARK'!$C$5=""),"",ABS(T305-'4_BENCHMARK'!$C$5))</f>
        <v>0</v>
      </c>
      <c r="AK305" s="10">
        <f>IF(OR(U305="",'4_BENCHMARK'!$C$6=""),"",ABS(U305-'4_BENCHMARK'!$C$6))</f>
        <v>0</v>
      </c>
      <c r="AL305" s="10">
        <f>IF(OR(V305="",'4_BENCHMARK'!$C$7=""),"",ABS(V305-'4_BENCHMARK'!$C$7))</f>
        <v>0</v>
      </c>
      <c r="AM305" s="10">
        <f>IF(OR(W305="",'4_BENCHMARK'!$C$8=""),"",ABS(W305-'4_BENCHMARK'!$C$8))</f>
        <v>1</v>
      </c>
      <c r="AN305" s="10">
        <f>IF(OR(X305="",'4_BENCHMARK'!$C$9=""),"",ABS(X305-'4_BENCHMARK'!$C$9))</f>
        <v>1</v>
      </c>
      <c r="AO305" s="10">
        <f>IF(OR(Y305="",'4_BENCHMARK'!$C$10=""),"",ABS(Y305-'4_BENCHMARK'!$C$10))</f>
        <v>0</v>
      </c>
      <c r="AP305" s="10">
        <f>IF(OR(Z305="",'4_BENCHMARK'!$C$11=""),"",ABS(Z305-'4_BENCHMARK'!$C$11))</f>
        <v>0</v>
      </c>
      <c r="AQ305" s="13">
        <f t="shared" si="157"/>
        <v>0.75</v>
      </c>
      <c r="AR305" s="10"/>
      <c r="AS305" s="36" t="s">
        <v>141</v>
      </c>
      <c r="AT305" s="13">
        <f t="shared" si="158"/>
        <v>1</v>
      </c>
      <c r="AU305" s="1">
        <f t="shared" si="159"/>
        <v>5</v>
      </c>
      <c r="AV305" s="1">
        <f t="shared" si="160"/>
        <v>5</v>
      </c>
      <c r="AW305" s="1">
        <f t="shared" si="161"/>
        <v>5</v>
      </c>
      <c r="AX305" s="1">
        <f t="shared" si="162"/>
        <v>5</v>
      </c>
      <c r="AY305" s="1">
        <f t="shared" si="163"/>
        <v>5</v>
      </c>
      <c r="AZ305" s="1">
        <f t="shared" si="164"/>
        <v>5</v>
      </c>
      <c r="BA305" s="1">
        <f t="shared" si="165"/>
        <v>3</v>
      </c>
      <c r="BB305" s="1">
        <f t="shared" si="166"/>
        <v>5</v>
      </c>
      <c r="BC305" s="1" t="str">
        <f t="shared" si="167"/>
        <v/>
      </c>
      <c r="BD305" s="1" t="str">
        <f t="shared" si="168"/>
        <v/>
      </c>
      <c r="BE305" s="1" t="str">
        <f t="shared" si="169"/>
        <v/>
      </c>
      <c r="BF305" s="1" t="str">
        <f t="shared" si="170"/>
        <v/>
      </c>
      <c r="BG305" s="1" t="str">
        <f t="shared" si="171"/>
        <v/>
      </c>
      <c r="BH305" s="1" t="str">
        <f t="shared" si="172"/>
        <v/>
      </c>
      <c r="BI305" s="1" t="str">
        <f t="shared" si="173"/>
        <v/>
      </c>
      <c r="BJ305" s="1" t="str">
        <f t="shared" si="174"/>
        <v/>
      </c>
    </row>
    <row r="306" ht="14.25" customHeight="1" spans="1:62">
      <c r="A306" s="10">
        <v>302</v>
      </c>
      <c r="B306" s="36" t="s">
        <v>1073</v>
      </c>
      <c r="C306" s="10">
        <v>1940</v>
      </c>
      <c r="D306" s="10">
        <f t="shared" si="175"/>
        <v>1940</v>
      </c>
      <c r="E306" s="36" t="s">
        <v>1074</v>
      </c>
      <c r="F306" s="35" t="s">
        <v>1075</v>
      </c>
      <c r="G306" s="36" t="s">
        <v>1076</v>
      </c>
      <c r="H306" s="10" t="s">
        <v>140</v>
      </c>
      <c r="I306" s="36" t="s">
        <v>140</v>
      </c>
      <c r="J306" s="36" t="s">
        <v>1072</v>
      </c>
      <c r="K306" s="10">
        <v>5</v>
      </c>
      <c r="L306" s="10">
        <v>5</v>
      </c>
      <c r="M306" s="10">
        <v>5</v>
      </c>
      <c r="N306" s="10">
        <v>5</v>
      </c>
      <c r="O306" s="10">
        <v>5</v>
      </c>
      <c r="P306" s="10">
        <v>5</v>
      </c>
      <c r="Q306" s="10">
        <v>3</v>
      </c>
      <c r="R306" s="10">
        <v>5</v>
      </c>
      <c r="S306" s="10">
        <f t="shared" si="141"/>
        <v>1</v>
      </c>
      <c r="T306" s="10">
        <f t="shared" si="142"/>
        <v>1</v>
      </c>
      <c r="U306" s="10">
        <f t="shared" si="143"/>
        <v>1</v>
      </c>
      <c r="V306" s="10">
        <f t="shared" si="144"/>
        <v>1</v>
      </c>
      <c r="W306" s="10">
        <f t="shared" si="145"/>
        <v>1</v>
      </c>
      <c r="X306" s="10">
        <f t="shared" si="146"/>
        <v>1</v>
      </c>
      <c r="Y306" s="10">
        <f t="shared" si="147"/>
        <v>0.5</v>
      </c>
      <c r="Z306" s="10">
        <f t="shared" si="148"/>
        <v>1</v>
      </c>
      <c r="AA306" s="10">
        <f t="shared" si="149"/>
        <v>1</v>
      </c>
      <c r="AB306" s="10">
        <f t="shared" si="150"/>
        <v>1</v>
      </c>
      <c r="AC306" s="10">
        <f t="shared" si="151"/>
        <v>1</v>
      </c>
      <c r="AD306" s="10">
        <f t="shared" si="152"/>
        <v>1</v>
      </c>
      <c r="AE306" s="10">
        <f t="shared" si="153"/>
        <v>1</v>
      </c>
      <c r="AF306" s="10">
        <f t="shared" si="154"/>
        <v>1</v>
      </c>
      <c r="AG306" s="10">
        <f t="shared" si="155"/>
        <v>0.5</v>
      </c>
      <c r="AH306" s="10">
        <f t="shared" si="156"/>
        <v>1</v>
      </c>
      <c r="AI306" s="10">
        <f>IF(OR(S306="",'4_BENCHMARK'!$C$4=""),"",ABS(S306-'4_BENCHMARK'!$C$4))</f>
        <v>0</v>
      </c>
      <c r="AJ306" s="10">
        <f>IF(OR(T306="",'4_BENCHMARK'!$C$5=""),"",ABS(T306-'4_BENCHMARK'!$C$5))</f>
        <v>0</v>
      </c>
      <c r="AK306" s="10">
        <f>IF(OR(U306="",'4_BENCHMARK'!$C$6=""),"",ABS(U306-'4_BENCHMARK'!$C$6))</f>
        <v>0</v>
      </c>
      <c r="AL306" s="10">
        <f>IF(OR(V306="",'4_BENCHMARK'!$C$7=""),"",ABS(V306-'4_BENCHMARK'!$C$7))</f>
        <v>0</v>
      </c>
      <c r="AM306" s="10">
        <f>IF(OR(W306="",'4_BENCHMARK'!$C$8=""),"",ABS(W306-'4_BENCHMARK'!$C$8))</f>
        <v>1</v>
      </c>
      <c r="AN306" s="10">
        <f>IF(OR(X306="",'4_BENCHMARK'!$C$9=""),"",ABS(X306-'4_BENCHMARK'!$C$9))</f>
        <v>1</v>
      </c>
      <c r="AO306" s="10">
        <f>IF(OR(Y306="",'4_BENCHMARK'!$C$10=""),"",ABS(Y306-'4_BENCHMARK'!$C$10))</f>
        <v>0</v>
      </c>
      <c r="AP306" s="10">
        <f>IF(OR(Z306="",'4_BENCHMARK'!$C$11=""),"",ABS(Z306-'4_BENCHMARK'!$C$11))</f>
        <v>0</v>
      </c>
      <c r="AQ306" s="13">
        <f t="shared" si="157"/>
        <v>0.75</v>
      </c>
      <c r="AR306" s="10"/>
      <c r="AS306" s="36" t="s">
        <v>141</v>
      </c>
      <c r="AT306" s="13">
        <f t="shared" si="158"/>
        <v>1</v>
      </c>
      <c r="AU306" s="1">
        <f t="shared" si="159"/>
        <v>5</v>
      </c>
      <c r="AV306" s="1">
        <f t="shared" si="160"/>
        <v>5</v>
      </c>
      <c r="AW306" s="1">
        <f t="shared" si="161"/>
        <v>5</v>
      </c>
      <c r="AX306" s="1">
        <f t="shared" si="162"/>
        <v>5</v>
      </c>
      <c r="AY306" s="1">
        <f t="shared" si="163"/>
        <v>5</v>
      </c>
      <c r="AZ306" s="1">
        <f t="shared" si="164"/>
        <v>5</v>
      </c>
      <c r="BA306" s="1">
        <f t="shared" si="165"/>
        <v>3</v>
      </c>
      <c r="BB306" s="1">
        <f t="shared" si="166"/>
        <v>5</v>
      </c>
      <c r="BC306" s="1" t="str">
        <f t="shared" si="167"/>
        <v/>
      </c>
      <c r="BD306" s="1" t="str">
        <f t="shared" si="168"/>
        <v/>
      </c>
      <c r="BE306" s="1" t="str">
        <f t="shared" si="169"/>
        <v/>
      </c>
      <c r="BF306" s="1" t="str">
        <f t="shared" si="170"/>
        <v/>
      </c>
      <c r="BG306" s="1" t="str">
        <f t="shared" si="171"/>
        <v/>
      </c>
      <c r="BH306" s="1" t="str">
        <f t="shared" si="172"/>
        <v/>
      </c>
      <c r="BI306" s="1" t="str">
        <f t="shared" si="173"/>
        <v/>
      </c>
      <c r="BJ306" s="1" t="str">
        <f t="shared" si="174"/>
        <v/>
      </c>
    </row>
    <row r="307" ht="14.25" customHeight="1" spans="1:62">
      <c r="A307" s="10">
        <v>303</v>
      </c>
      <c r="B307" s="36" t="s">
        <v>1077</v>
      </c>
      <c r="C307" s="10">
        <v>1940</v>
      </c>
      <c r="D307" s="10">
        <f t="shared" si="175"/>
        <v>1940</v>
      </c>
      <c r="E307" s="36" t="s">
        <v>136</v>
      </c>
      <c r="F307" s="35" t="s">
        <v>1078</v>
      </c>
      <c r="G307" s="36" t="s">
        <v>1079</v>
      </c>
      <c r="H307" s="10" t="s">
        <v>140</v>
      </c>
      <c r="I307" s="10" t="s">
        <v>140</v>
      </c>
      <c r="J307" s="36" t="s">
        <v>1072</v>
      </c>
      <c r="K307" s="10">
        <v>5</v>
      </c>
      <c r="L307" s="10">
        <v>5</v>
      </c>
      <c r="M307" s="10">
        <v>5</v>
      </c>
      <c r="N307" s="10">
        <v>5</v>
      </c>
      <c r="O307" s="10">
        <v>5</v>
      </c>
      <c r="P307" s="10">
        <v>5</v>
      </c>
      <c r="Q307" s="10">
        <v>3</v>
      </c>
      <c r="R307" s="10">
        <v>5</v>
      </c>
      <c r="S307" s="10">
        <f t="shared" si="141"/>
        <v>1</v>
      </c>
      <c r="T307" s="10">
        <f t="shared" si="142"/>
        <v>1</v>
      </c>
      <c r="U307" s="10">
        <f t="shared" si="143"/>
        <v>1</v>
      </c>
      <c r="V307" s="10">
        <f t="shared" si="144"/>
        <v>1</v>
      </c>
      <c r="W307" s="10">
        <f t="shared" si="145"/>
        <v>1</v>
      </c>
      <c r="X307" s="10">
        <f t="shared" si="146"/>
        <v>1</v>
      </c>
      <c r="Y307" s="10">
        <f t="shared" si="147"/>
        <v>0.5</v>
      </c>
      <c r="Z307" s="10">
        <f t="shared" si="148"/>
        <v>1</v>
      </c>
      <c r="AA307" s="10">
        <f t="shared" si="149"/>
        <v>1</v>
      </c>
      <c r="AB307" s="10">
        <f t="shared" si="150"/>
        <v>1</v>
      </c>
      <c r="AC307" s="10">
        <f t="shared" si="151"/>
        <v>1</v>
      </c>
      <c r="AD307" s="10">
        <f t="shared" si="152"/>
        <v>1</v>
      </c>
      <c r="AE307" s="10">
        <f t="shared" si="153"/>
        <v>1</v>
      </c>
      <c r="AF307" s="10">
        <f t="shared" si="154"/>
        <v>1</v>
      </c>
      <c r="AG307" s="10">
        <f t="shared" si="155"/>
        <v>0.5</v>
      </c>
      <c r="AH307" s="10">
        <f t="shared" si="156"/>
        <v>1</v>
      </c>
      <c r="AI307" s="10">
        <f>IF(OR(S307="",'4_BENCHMARK'!$C$4=""),"",ABS(S307-'4_BENCHMARK'!$C$4))</f>
        <v>0</v>
      </c>
      <c r="AJ307" s="10">
        <f>IF(OR(T307="",'4_BENCHMARK'!$C$5=""),"",ABS(T307-'4_BENCHMARK'!$C$5))</f>
        <v>0</v>
      </c>
      <c r="AK307" s="10">
        <f>IF(OR(U307="",'4_BENCHMARK'!$C$6=""),"",ABS(U307-'4_BENCHMARK'!$C$6))</f>
        <v>0</v>
      </c>
      <c r="AL307" s="10">
        <f>IF(OR(V307="",'4_BENCHMARK'!$C$7=""),"",ABS(V307-'4_BENCHMARK'!$C$7))</f>
        <v>0</v>
      </c>
      <c r="AM307" s="10">
        <f>IF(OR(W307="",'4_BENCHMARK'!$C$8=""),"",ABS(W307-'4_BENCHMARK'!$C$8))</f>
        <v>1</v>
      </c>
      <c r="AN307" s="10">
        <f>IF(OR(X307="",'4_BENCHMARK'!$C$9=""),"",ABS(X307-'4_BENCHMARK'!$C$9))</f>
        <v>1</v>
      </c>
      <c r="AO307" s="10">
        <f>IF(OR(Y307="",'4_BENCHMARK'!$C$10=""),"",ABS(Y307-'4_BENCHMARK'!$C$10))</f>
        <v>0</v>
      </c>
      <c r="AP307" s="10">
        <f>IF(OR(Z307="",'4_BENCHMARK'!$C$11=""),"",ABS(Z307-'4_BENCHMARK'!$C$11))</f>
        <v>0</v>
      </c>
      <c r="AQ307" s="13">
        <f t="shared" si="157"/>
        <v>0.75</v>
      </c>
      <c r="AR307" s="10"/>
      <c r="AS307" s="36" t="s">
        <v>141</v>
      </c>
      <c r="AT307" s="13">
        <f t="shared" si="158"/>
        <v>1</v>
      </c>
      <c r="AU307" s="1">
        <f t="shared" si="159"/>
        <v>5</v>
      </c>
      <c r="AV307" s="1">
        <f t="shared" si="160"/>
        <v>5</v>
      </c>
      <c r="AW307" s="1">
        <f t="shared" si="161"/>
        <v>5</v>
      </c>
      <c r="AX307" s="1">
        <f t="shared" si="162"/>
        <v>5</v>
      </c>
      <c r="AY307" s="1">
        <f t="shared" si="163"/>
        <v>5</v>
      </c>
      <c r="AZ307" s="1">
        <f t="shared" si="164"/>
        <v>5</v>
      </c>
      <c r="BA307" s="1">
        <f t="shared" si="165"/>
        <v>3</v>
      </c>
      <c r="BB307" s="1">
        <f t="shared" si="166"/>
        <v>5</v>
      </c>
      <c r="BC307" s="1" t="str">
        <f t="shared" si="167"/>
        <v/>
      </c>
      <c r="BD307" s="1" t="str">
        <f t="shared" si="168"/>
        <v/>
      </c>
      <c r="BE307" s="1" t="str">
        <f t="shared" si="169"/>
        <v/>
      </c>
      <c r="BF307" s="1" t="str">
        <f t="shared" si="170"/>
        <v/>
      </c>
      <c r="BG307" s="1" t="str">
        <f t="shared" si="171"/>
        <v/>
      </c>
      <c r="BH307" s="1" t="str">
        <f t="shared" si="172"/>
        <v/>
      </c>
      <c r="BI307" s="1" t="str">
        <f t="shared" si="173"/>
        <v/>
      </c>
      <c r="BJ307" s="1" t="str">
        <f t="shared" si="174"/>
        <v/>
      </c>
    </row>
    <row r="308" ht="14.25" customHeight="1" spans="1:62">
      <c r="A308" s="10">
        <v>304</v>
      </c>
      <c r="B308" s="36" t="s">
        <v>542</v>
      </c>
      <c r="C308" s="10">
        <v>1940</v>
      </c>
      <c r="D308" s="10">
        <f t="shared" si="175"/>
        <v>1940</v>
      </c>
      <c r="E308" s="36" t="s">
        <v>136</v>
      </c>
      <c r="F308" s="35" t="s">
        <v>543</v>
      </c>
      <c r="G308" s="36" t="s">
        <v>1080</v>
      </c>
      <c r="H308" s="10" t="s">
        <v>140</v>
      </c>
      <c r="I308" s="10" t="s">
        <v>140</v>
      </c>
      <c r="J308" s="36" t="s">
        <v>545</v>
      </c>
      <c r="K308" s="10">
        <v>5</v>
      </c>
      <c r="L308" s="10">
        <v>5</v>
      </c>
      <c r="M308" s="10">
        <v>5</v>
      </c>
      <c r="N308" s="10">
        <v>5</v>
      </c>
      <c r="O308" s="10">
        <v>5</v>
      </c>
      <c r="P308" s="10">
        <v>5</v>
      </c>
      <c r="Q308" s="10">
        <v>3</v>
      </c>
      <c r="R308" s="10">
        <v>5</v>
      </c>
      <c r="S308" s="10">
        <f t="shared" si="141"/>
        <v>1</v>
      </c>
      <c r="T308" s="10">
        <f t="shared" si="142"/>
        <v>1</v>
      </c>
      <c r="U308" s="10">
        <f t="shared" si="143"/>
        <v>1</v>
      </c>
      <c r="V308" s="10">
        <f t="shared" si="144"/>
        <v>1</v>
      </c>
      <c r="W308" s="10">
        <f t="shared" si="145"/>
        <v>1</v>
      </c>
      <c r="X308" s="10">
        <f t="shared" si="146"/>
        <v>1</v>
      </c>
      <c r="Y308" s="10">
        <f t="shared" si="147"/>
        <v>0.5</v>
      </c>
      <c r="Z308" s="10">
        <f t="shared" si="148"/>
        <v>1</v>
      </c>
      <c r="AA308" s="10">
        <f t="shared" si="149"/>
        <v>1</v>
      </c>
      <c r="AB308" s="10">
        <f t="shared" si="150"/>
        <v>1</v>
      </c>
      <c r="AC308" s="10">
        <f t="shared" si="151"/>
        <v>1</v>
      </c>
      <c r="AD308" s="10">
        <f t="shared" si="152"/>
        <v>1</v>
      </c>
      <c r="AE308" s="10">
        <f t="shared" si="153"/>
        <v>1</v>
      </c>
      <c r="AF308" s="10">
        <f t="shared" si="154"/>
        <v>1</v>
      </c>
      <c r="AG308" s="10">
        <f t="shared" si="155"/>
        <v>0.5</v>
      </c>
      <c r="AH308" s="10">
        <f t="shared" si="156"/>
        <v>1</v>
      </c>
      <c r="AI308" s="10">
        <f>IF(OR(S308="",'4_BENCHMARK'!$C$4=""),"",ABS(S308-'4_BENCHMARK'!$C$4))</f>
        <v>0</v>
      </c>
      <c r="AJ308" s="10">
        <f>IF(OR(T308="",'4_BENCHMARK'!$C$5=""),"",ABS(T308-'4_BENCHMARK'!$C$5))</f>
        <v>0</v>
      </c>
      <c r="AK308" s="10">
        <f>IF(OR(U308="",'4_BENCHMARK'!$C$6=""),"",ABS(U308-'4_BENCHMARK'!$C$6))</f>
        <v>0</v>
      </c>
      <c r="AL308" s="10">
        <f>IF(OR(V308="",'4_BENCHMARK'!$C$7=""),"",ABS(V308-'4_BENCHMARK'!$C$7))</f>
        <v>0</v>
      </c>
      <c r="AM308" s="10">
        <f>IF(OR(W308="",'4_BENCHMARK'!$C$8=""),"",ABS(W308-'4_BENCHMARK'!$C$8))</f>
        <v>1</v>
      </c>
      <c r="AN308" s="10">
        <f>IF(OR(X308="",'4_BENCHMARK'!$C$9=""),"",ABS(X308-'4_BENCHMARK'!$C$9))</f>
        <v>1</v>
      </c>
      <c r="AO308" s="10">
        <f>IF(OR(Y308="",'4_BENCHMARK'!$C$10=""),"",ABS(Y308-'4_BENCHMARK'!$C$10))</f>
        <v>0</v>
      </c>
      <c r="AP308" s="10">
        <f>IF(OR(Z308="",'4_BENCHMARK'!$C$11=""),"",ABS(Z308-'4_BENCHMARK'!$C$11))</f>
        <v>0</v>
      </c>
      <c r="AQ308" s="13">
        <f t="shared" si="157"/>
        <v>0.75</v>
      </c>
      <c r="AR308" s="10"/>
      <c r="AS308" s="36" t="s">
        <v>141</v>
      </c>
      <c r="AT308" s="13">
        <f t="shared" si="158"/>
        <v>1</v>
      </c>
      <c r="AU308" s="1">
        <f t="shared" si="159"/>
        <v>5</v>
      </c>
      <c r="AV308" s="1">
        <f t="shared" si="160"/>
        <v>5</v>
      </c>
      <c r="AW308" s="1">
        <f t="shared" si="161"/>
        <v>5</v>
      </c>
      <c r="AX308" s="1">
        <f t="shared" si="162"/>
        <v>5</v>
      </c>
      <c r="AY308" s="1">
        <f t="shared" si="163"/>
        <v>5</v>
      </c>
      <c r="AZ308" s="1">
        <f t="shared" si="164"/>
        <v>5</v>
      </c>
      <c r="BA308" s="1">
        <f t="shared" si="165"/>
        <v>3</v>
      </c>
      <c r="BB308" s="1">
        <f t="shared" si="166"/>
        <v>5</v>
      </c>
      <c r="BC308" s="1" t="str">
        <f t="shared" si="167"/>
        <v/>
      </c>
      <c r="BD308" s="1" t="str">
        <f t="shared" si="168"/>
        <v/>
      </c>
      <c r="BE308" s="1" t="str">
        <f t="shared" si="169"/>
        <v/>
      </c>
      <c r="BF308" s="1" t="str">
        <f t="shared" si="170"/>
        <v/>
      </c>
      <c r="BG308" s="1" t="str">
        <f t="shared" si="171"/>
        <v/>
      </c>
      <c r="BH308" s="1" t="str">
        <f t="shared" si="172"/>
        <v/>
      </c>
      <c r="BI308" s="1" t="str">
        <f t="shared" si="173"/>
        <v/>
      </c>
      <c r="BJ308" s="1" t="str">
        <f t="shared" si="174"/>
        <v/>
      </c>
    </row>
    <row r="309" ht="14.25" customHeight="1" spans="1:62">
      <c r="A309" s="10">
        <v>305</v>
      </c>
      <c r="B309" s="36" t="s">
        <v>1081</v>
      </c>
      <c r="C309" s="10">
        <v>1940</v>
      </c>
      <c r="D309" s="10">
        <f t="shared" si="175"/>
        <v>1940</v>
      </c>
      <c r="E309" s="36" t="s">
        <v>136</v>
      </c>
      <c r="F309" s="35" t="s">
        <v>1082</v>
      </c>
      <c r="G309" s="36" t="s">
        <v>1083</v>
      </c>
      <c r="H309" s="10" t="s">
        <v>139</v>
      </c>
      <c r="I309" s="10" t="s">
        <v>140</v>
      </c>
      <c r="J309" s="36" t="s">
        <v>545</v>
      </c>
      <c r="K309" s="10">
        <v>5</v>
      </c>
      <c r="L309" s="10">
        <v>5</v>
      </c>
      <c r="M309" s="10">
        <v>5</v>
      </c>
      <c r="N309" s="10">
        <v>5</v>
      </c>
      <c r="O309" s="10">
        <v>1</v>
      </c>
      <c r="P309" s="10">
        <v>1</v>
      </c>
      <c r="Q309" s="10">
        <v>2</v>
      </c>
      <c r="R309" s="10">
        <v>5</v>
      </c>
      <c r="S309" s="10">
        <f t="shared" si="141"/>
        <v>1</v>
      </c>
      <c r="T309" s="10">
        <f t="shared" si="142"/>
        <v>1</v>
      </c>
      <c r="U309" s="10">
        <f t="shared" si="143"/>
        <v>1</v>
      </c>
      <c r="V309" s="10">
        <f t="shared" si="144"/>
        <v>1</v>
      </c>
      <c r="W309" s="10">
        <f t="shared" si="145"/>
        <v>0</v>
      </c>
      <c r="X309" s="10">
        <f t="shared" si="146"/>
        <v>0</v>
      </c>
      <c r="Y309" s="10">
        <f t="shared" si="147"/>
        <v>0.25</v>
      </c>
      <c r="Z309" s="10">
        <f t="shared" si="148"/>
        <v>1</v>
      </c>
      <c r="AA309" s="10">
        <f t="shared" si="149"/>
        <v>1</v>
      </c>
      <c r="AB309" s="10">
        <f t="shared" si="150"/>
        <v>1</v>
      </c>
      <c r="AC309" s="10">
        <f t="shared" si="151"/>
        <v>1</v>
      </c>
      <c r="AD309" s="10">
        <f t="shared" si="152"/>
        <v>1</v>
      </c>
      <c r="AE309" s="10">
        <f t="shared" si="153"/>
        <v>0</v>
      </c>
      <c r="AF309" s="10">
        <f t="shared" si="154"/>
        <v>0</v>
      </c>
      <c r="AG309" s="10">
        <f t="shared" si="155"/>
        <v>0.25</v>
      </c>
      <c r="AH309" s="10">
        <f t="shared" si="156"/>
        <v>1</v>
      </c>
      <c r="AI309" s="10">
        <f>IF(OR(S309="",'4_BENCHMARK'!$C$4=""),"",ABS(S309-'4_BENCHMARK'!$C$4))</f>
        <v>0</v>
      </c>
      <c r="AJ309" s="10">
        <f>IF(OR(T309="",'4_BENCHMARK'!$C$5=""),"",ABS(T309-'4_BENCHMARK'!$C$5))</f>
        <v>0</v>
      </c>
      <c r="AK309" s="10">
        <f>IF(OR(U309="",'4_BENCHMARK'!$C$6=""),"",ABS(U309-'4_BENCHMARK'!$C$6))</f>
        <v>0</v>
      </c>
      <c r="AL309" s="10">
        <f>IF(OR(V309="",'4_BENCHMARK'!$C$7=""),"",ABS(V309-'4_BENCHMARK'!$C$7))</f>
        <v>0</v>
      </c>
      <c r="AM309" s="10">
        <f>IF(OR(W309="",'4_BENCHMARK'!$C$8=""),"",ABS(W309-'4_BENCHMARK'!$C$8))</f>
        <v>0</v>
      </c>
      <c r="AN309" s="10">
        <f>IF(OR(X309="",'4_BENCHMARK'!$C$9=""),"",ABS(X309-'4_BENCHMARK'!$C$9))</f>
        <v>0</v>
      </c>
      <c r="AO309" s="10">
        <f>IF(OR(Y309="",'4_BENCHMARK'!$C$10=""),"",ABS(Y309-'4_BENCHMARK'!$C$10))</f>
        <v>0.25</v>
      </c>
      <c r="AP309" s="10">
        <f>IF(OR(Z309="",'4_BENCHMARK'!$C$11=""),"",ABS(Z309-'4_BENCHMARK'!$C$11))</f>
        <v>0</v>
      </c>
      <c r="AQ309" s="13">
        <f t="shared" si="157"/>
        <v>0.96875</v>
      </c>
      <c r="AR309" s="10"/>
      <c r="AS309" s="36" t="s">
        <v>141</v>
      </c>
      <c r="AT309" s="13">
        <f t="shared" si="158"/>
        <v>0.958333333333333</v>
      </c>
      <c r="AU309" s="1">
        <f t="shared" si="159"/>
        <v>5</v>
      </c>
      <c r="AV309" s="1">
        <f t="shared" si="160"/>
        <v>5</v>
      </c>
      <c r="AW309" s="1">
        <f t="shared" si="161"/>
        <v>5</v>
      </c>
      <c r="AX309" s="1">
        <f t="shared" si="162"/>
        <v>5</v>
      </c>
      <c r="AY309" s="1">
        <f t="shared" si="163"/>
        <v>1</v>
      </c>
      <c r="AZ309" s="1">
        <f t="shared" si="164"/>
        <v>1</v>
      </c>
      <c r="BA309" s="1">
        <f t="shared" si="165"/>
        <v>2</v>
      </c>
      <c r="BB309" s="1">
        <f t="shared" si="166"/>
        <v>5</v>
      </c>
      <c r="BC309" s="1" t="str">
        <f t="shared" si="167"/>
        <v/>
      </c>
      <c r="BD309" s="1" t="str">
        <f t="shared" si="168"/>
        <v/>
      </c>
      <c r="BE309" s="1" t="str">
        <f t="shared" si="169"/>
        <v/>
      </c>
      <c r="BF309" s="1" t="str">
        <f t="shared" si="170"/>
        <v/>
      </c>
      <c r="BG309" s="1" t="str">
        <f t="shared" si="171"/>
        <v/>
      </c>
      <c r="BH309" s="1" t="str">
        <f t="shared" si="172"/>
        <v/>
      </c>
      <c r="BI309" s="1" t="str">
        <f t="shared" si="173"/>
        <v/>
      </c>
      <c r="BJ309" s="1" t="str">
        <f t="shared" si="174"/>
        <v/>
      </c>
    </row>
    <row r="310" ht="14.25" customHeight="1" spans="1:62">
      <c r="A310" s="10">
        <v>306</v>
      </c>
      <c r="B310" s="36" t="s">
        <v>1084</v>
      </c>
      <c r="C310" s="10">
        <v>1950</v>
      </c>
      <c r="D310" s="10">
        <f t="shared" si="175"/>
        <v>1950</v>
      </c>
      <c r="E310" s="36" t="s">
        <v>136</v>
      </c>
      <c r="F310" s="35" t="s">
        <v>1085</v>
      </c>
      <c r="G310" s="36" t="s">
        <v>1086</v>
      </c>
      <c r="H310" s="10" t="s">
        <v>139</v>
      </c>
      <c r="I310" s="10" t="s">
        <v>140</v>
      </c>
      <c r="J310" s="36" t="s">
        <v>950</v>
      </c>
      <c r="K310" s="10">
        <v>5</v>
      </c>
      <c r="L310" s="10">
        <v>5</v>
      </c>
      <c r="M310" s="10">
        <v>5</v>
      </c>
      <c r="N310" s="10">
        <v>5</v>
      </c>
      <c r="O310" s="10">
        <v>5</v>
      </c>
      <c r="P310" s="10">
        <v>5</v>
      </c>
      <c r="Q310" s="10">
        <v>3</v>
      </c>
      <c r="R310" s="10">
        <v>5</v>
      </c>
      <c r="S310" s="10">
        <f t="shared" si="141"/>
        <v>1</v>
      </c>
      <c r="T310" s="10">
        <f t="shared" si="142"/>
        <v>1</v>
      </c>
      <c r="U310" s="10">
        <f t="shared" si="143"/>
        <v>1</v>
      </c>
      <c r="V310" s="10">
        <f t="shared" si="144"/>
        <v>1</v>
      </c>
      <c r="W310" s="10">
        <f t="shared" si="145"/>
        <v>1</v>
      </c>
      <c r="X310" s="10">
        <f t="shared" si="146"/>
        <v>1</v>
      </c>
      <c r="Y310" s="10">
        <f t="shared" si="147"/>
        <v>0.5</v>
      </c>
      <c r="Z310" s="10">
        <f t="shared" si="148"/>
        <v>1</v>
      </c>
      <c r="AA310" s="10" t="str">
        <f t="shared" si="149"/>
        <v/>
      </c>
      <c r="AB310" s="10" t="str">
        <f t="shared" si="150"/>
        <v/>
      </c>
      <c r="AC310" s="10" t="str">
        <f t="shared" si="151"/>
        <v/>
      </c>
      <c r="AD310" s="10" t="str">
        <f t="shared" si="152"/>
        <v/>
      </c>
      <c r="AE310" s="10" t="str">
        <f t="shared" si="153"/>
        <v/>
      </c>
      <c r="AF310" s="10" t="str">
        <f t="shared" si="154"/>
        <v/>
      </c>
      <c r="AG310" s="10" t="str">
        <f t="shared" si="155"/>
        <v/>
      </c>
      <c r="AH310" s="10" t="str">
        <f t="shared" si="156"/>
        <v/>
      </c>
      <c r="AI310" s="10">
        <f>IF(OR(S310="",'4_BENCHMARK'!$C$4=""),"",ABS(S310-'4_BENCHMARK'!$C$4))</f>
        <v>0</v>
      </c>
      <c r="AJ310" s="10">
        <f>IF(OR(T310="",'4_BENCHMARK'!$C$5=""),"",ABS(T310-'4_BENCHMARK'!$C$5))</f>
        <v>0</v>
      </c>
      <c r="AK310" s="10">
        <f>IF(OR(U310="",'4_BENCHMARK'!$C$6=""),"",ABS(U310-'4_BENCHMARK'!$C$6))</f>
        <v>0</v>
      </c>
      <c r="AL310" s="10">
        <f>IF(OR(V310="",'4_BENCHMARK'!$C$7=""),"",ABS(V310-'4_BENCHMARK'!$C$7))</f>
        <v>0</v>
      </c>
      <c r="AM310" s="10">
        <f>IF(OR(W310="",'4_BENCHMARK'!$C$8=""),"",ABS(W310-'4_BENCHMARK'!$C$8))</f>
        <v>1</v>
      </c>
      <c r="AN310" s="10">
        <f>IF(OR(X310="",'4_BENCHMARK'!$C$9=""),"",ABS(X310-'4_BENCHMARK'!$C$9))</f>
        <v>1</v>
      </c>
      <c r="AO310" s="10">
        <f>IF(OR(Y310="",'4_BENCHMARK'!$C$10=""),"",ABS(Y310-'4_BENCHMARK'!$C$10))</f>
        <v>0</v>
      </c>
      <c r="AP310" s="10">
        <f>IF(OR(Z310="",'4_BENCHMARK'!$C$11=""),"",ABS(Z310-'4_BENCHMARK'!$C$11))</f>
        <v>0</v>
      </c>
      <c r="AQ310" s="13">
        <f t="shared" si="157"/>
        <v>0.75</v>
      </c>
      <c r="AR310" s="10"/>
      <c r="AS310" s="36" t="s">
        <v>141</v>
      </c>
      <c r="AT310" s="13">
        <f t="shared" si="158"/>
        <v>1</v>
      </c>
      <c r="AU310" s="1" t="str">
        <f t="shared" si="159"/>
        <v/>
      </c>
      <c r="AV310" s="1" t="str">
        <f t="shared" si="160"/>
        <v/>
      </c>
      <c r="AW310" s="1" t="str">
        <f t="shared" si="161"/>
        <v/>
      </c>
      <c r="AX310" s="1" t="str">
        <f t="shared" si="162"/>
        <v/>
      </c>
      <c r="AY310" s="1" t="str">
        <f t="shared" si="163"/>
        <v/>
      </c>
      <c r="AZ310" s="1" t="str">
        <f t="shared" si="164"/>
        <v/>
      </c>
      <c r="BA310" s="1" t="str">
        <f t="shared" si="165"/>
        <v/>
      </c>
      <c r="BB310" s="1" t="str">
        <f t="shared" si="166"/>
        <v/>
      </c>
      <c r="BC310" s="1" t="str">
        <f t="shared" si="167"/>
        <v/>
      </c>
      <c r="BD310" s="1" t="str">
        <f t="shared" si="168"/>
        <v/>
      </c>
      <c r="BE310" s="1" t="str">
        <f t="shared" si="169"/>
        <v/>
      </c>
      <c r="BF310" s="1" t="str">
        <f t="shared" si="170"/>
        <v/>
      </c>
      <c r="BG310" s="1" t="str">
        <f t="shared" si="171"/>
        <v/>
      </c>
      <c r="BH310" s="1" t="str">
        <f t="shared" si="172"/>
        <v/>
      </c>
      <c r="BI310" s="1" t="str">
        <f t="shared" si="173"/>
        <v/>
      </c>
      <c r="BJ310" s="1" t="str">
        <f t="shared" si="174"/>
        <v/>
      </c>
    </row>
    <row r="311" ht="14.25" customHeight="1" spans="1:62">
      <c r="A311" s="10">
        <v>307</v>
      </c>
      <c r="B311" s="36" t="s">
        <v>1087</v>
      </c>
      <c r="C311" s="10">
        <v>1950</v>
      </c>
      <c r="D311" s="10">
        <f t="shared" si="175"/>
        <v>1950</v>
      </c>
      <c r="E311" s="36" t="s">
        <v>136</v>
      </c>
      <c r="F311" s="35" t="s">
        <v>1088</v>
      </c>
      <c r="G311" s="36" t="s">
        <v>1089</v>
      </c>
      <c r="H311" s="10" t="s">
        <v>139</v>
      </c>
      <c r="I311" s="10" t="s">
        <v>140</v>
      </c>
      <c r="J311" s="36" t="s">
        <v>950</v>
      </c>
      <c r="K311" s="10">
        <v>5</v>
      </c>
      <c r="L311" s="10">
        <v>5</v>
      </c>
      <c r="M311" s="10">
        <v>5</v>
      </c>
      <c r="N311" s="10">
        <v>5</v>
      </c>
      <c r="O311" s="10">
        <v>5</v>
      </c>
      <c r="P311" s="10">
        <v>5</v>
      </c>
      <c r="Q311" s="10">
        <v>2</v>
      </c>
      <c r="R311" s="10">
        <v>5</v>
      </c>
      <c r="S311" s="10">
        <f t="shared" si="141"/>
        <v>1</v>
      </c>
      <c r="T311" s="10">
        <f t="shared" si="142"/>
        <v>1</v>
      </c>
      <c r="U311" s="10">
        <f t="shared" si="143"/>
        <v>1</v>
      </c>
      <c r="V311" s="10">
        <f t="shared" si="144"/>
        <v>1</v>
      </c>
      <c r="W311" s="10">
        <f t="shared" si="145"/>
        <v>1</v>
      </c>
      <c r="X311" s="10">
        <f t="shared" si="146"/>
        <v>1</v>
      </c>
      <c r="Y311" s="10">
        <f t="shared" si="147"/>
        <v>0.25</v>
      </c>
      <c r="Z311" s="10">
        <f t="shared" si="148"/>
        <v>1</v>
      </c>
      <c r="AA311" s="10" t="str">
        <f t="shared" si="149"/>
        <v/>
      </c>
      <c r="AB311" s="10" t="str">
        <f t="shared" si="150"/>
        <v/>
      </c>
      <c r="AC311" s="10" t="str">
        <f t="shared" si="151"/>
        <v/>
      </c>
      <c r="AD311" s="10" t="str">
        <f t="shared" si="152"/>
        <v/>
      </c>
      <c r="AE311" s="10" t="str">
        <f t="shared" si="153"/>
        <v/>
      </c>
      <c r="AF311" s="10" t="str">
        <f t="shared" si="154"/>
        <v/>
      </c>
      <c r="AG311" s="10" t="str">
        <f t="shared" si="155"/>
        <v/>
      </c>
      <c r="AH311" s="10" t="str">
        <f t="shared" si="156"/>
        <v/>
      </c>
      <c r="AI311" s="10">
        <f>IF(OR(S311="",'4_BENCHMARK'!$C$4=""),"",ABS(S311-'4_BENCHMARK'!$C$4))</f>
        <v>0</v>
      </c>
      <c r="AJ311" s="10">
        <f>IF(OR(T311="",'4_BENCHMARK'!$C$5=""),"",ABS(T311-'4_BENCHMARK'!$C$5))</f>
        <v>0</v>
      </c>
      <c r="AK311" s="10">
        <f>IF(OR(U311="",'4_BENCHMARK'!$C$6=""),"",ABS(U311-'4_BENCHMARK'!$C$6))</f>
        <v>0</v>
      </c>
      <c r="AL311" s="10">
        <f>IF(OR(V311="",'4_BENCHMARK'!$C$7=""),"",ABS(V311-'4_BENCHMARK'!$C$7))</f>
        <v>0</v>
      </c>
      <c r="AM311" s="10">
        <f>IF(OR(W311="",'4_BENCHMARK'!$C$8=""),"",ABS(W311-'4_BENCHMARK'!$C$8))</f>
        <v>1</v>
      </c>
      <c r="AN311" s="10">
        <f>IF(OR(X311="",'4_BENCHMARK'!$C$9=""),"",ABS(X311-'4_BENCHMARK'!$C$9))</f>
        <v>1</v>
      </c>
      <c r="AO311" s="10">
        <f>IF(OR(Y311="",'4_BENCHMARK'!$C$10=""),"",ABS(Y311-'4_BENCHMARK'!$C$10))</f>
        <v>0.25</v>
      </c>
      <c r="AP311" s="10">
        <f>IF(OR(Z311="",'4_BENCHMARK'!$C$11=""),"",ABS(Z311-'4_BENCHMARK'!$C$11))</f>
        <v>0</v>
      </c>
      <c r="AQ311" s="13">
        <f t="shared" si="157"/>
        <v>0.71875</v>
      </c>
      <c r="AR311" s="10"/>
      <c r="AS311" s="36" t="s">
        <v>141</v>
      </c>
      <c r="AT311" s="13">
        <f t="shared" si="158"/>
        <v>0.958333333333333</v>
      </c>
      <c r="AU311" s="1" t="str">
        <f t="shared" si="159"/>
        <v/>
      </c>
      <c r="AV311" s="1" t="str">
        <f t="shared" si="160"/>
        <v/>
      </c>
      <c r="AW311" s="1" t="str">
        <f t="shared" si="161"/>
        <v/>
      </c>
      <c r="AX311" s="1" t="str">
        <f t="shared" si="162"/>
        <v/>
      </c>
      <c r="AY311" s="1" t="str">
        <f t="shared" si="163"/>
        <v/>
      </c>
      <c r="AZ311" s="1" t="str">
        <f t="shared" si="164"/>
        <v/>
      </c>
      <c r="BA311" s="1" t="str">
        <f t="shared" si="165"/>
        <v/>
      </c>
      <c r="BB311" s="1" t="str">
        <f t="shared" si="166"/>
        <v/>
      </c>
      <c r="BC311" s="1" t="str">
        <f t="shared" si="167"/>
        <v/>
      </c>
      <c r="BD311" s="1" t="str">
        <f t="shared" si="168"/>
        <v/>
      </c>
      <c r="BE311" s="1" t="str">
        <f t="shared" si="169"/>
        <v/>
      </c>
      <c r="BF311" s="1" t="str">
        <f t="shared" si="170"/>
        <v/>
      </c>
      <c r="BG311" s="1" t="str">
        <f t="shared" si="171"/>
        <v/>
      </c>
      <c r="BH311" s="1" t="str">
        <f t="shared" si="172"/>
        <v/>
      </c>
      <c r="BI311" s="1" t="str">
        <f t="shared" si="173"/>
        <v/>
      </c>
      <c r="BJ311" s="1" t="str">
        <f t="shared" si="174"/>
        <v/>
      </c>
    </row>
    <row r="312" ht="14.25" customHeight="1" spans="1:62">
      <c r="A312" s="10">
        <v>308</v>
      </c>
      <c r="B312" s="36" t="s">
        <v>1090</v>
      </c>
      <c r="C312" s="10">
        <v>1960</v>
      </c>
      <c r="D312" s="10">
        <f t="shared" si="175"/>
        <v>1960</v>
      </c>
      <c r="E312" s="36" t="s">
        <v>136</v>
      </c>
      <c r="F312" s="35" t="s">
        <v>1091</v>
      </c>
      <c r="G312" s="36" t="s">
        <v>1092</v>
      </c>
      <c r="H312" s="10" t="s">
        <v>139</v>
      </c>
      <c r="I312" s="10" t="s">
        <v>140</v>
      </c>
      <c r="J312" s="36" t="s">
        <v>556</v>
      </c>
      <c r="K312" s="10">
        <v>5</v>
      </c>
      <c r="L312" s="10">
        <v>5</v>
      </c>
      <c r="M312" s="10">
        <v>5</v>
      </c>
      <c r="N312" s="10">
        <v>4</v>
      </c>
      <c r="O312" s="10">
        <v>5</v>
      </c>
      <c r="P312" s="10">
        <v>5</v>
      </c>
      <c r="Q312" s="10">
        <v>3</v>
      </c>
      <c r="R312" s="10">
        <v>5</v>
      </c>
      <c r="S312" s="10">
        <f t="shared" si="141"/>
        <v>1</v>
      </c>
      <c r="T312" s="10">
        <f t="shared" si="142"/>
        <v>1</v>
      </c>
      <c r="U312" s="10">
        <f t="shared" si="143"/>
        <v>1</v>
      </c>
      <c r="V312" s="10">
        <f t="shared" si="144"/>
        <v>0.75</v>
      </c>
      <c r="W312" s="10">
        <f t="shared" si="145"/>
        <v>1</v>
      </c>
      <c r="X312" s="10">
        <f t="shared" si="146"/>
        <v>1</v>
      </c>
      <c r="Y312" s="10">
        <f t="shared" si="147"/>
        <v>0.5</v>
      </c>
      <c r="Z312" s="10">
        <f t="shared" si="148"/>
        <v>1</v>
      </c>
      <c r="AA312" s="10" t="str">
        <f t="shared" si="149"/>
        <v/>
      </c>
      <c r="AB312" s="10" t="str">
        <f t="shared" si="150"/>
        <v/>
      </c>
      <c r="AC312" s="10" t="str">
        <f t="shared" si="151"/>
        <v/>
      </c>
      <c r="AD312" s="10" t="str">
        <f t="shared" si="152"/>
        <v/>
      </c>
      <c r="AE312" s="10" t="str">
        <f t="shared" si="153"/>
        <v/>
      </c>
      <c r="AF312" s="10" t="str">
        <f t="shared" si="154"/>
        <v/>
      </c>
      <c r="AG312" s="10" t="str">
        <f t="shared" si="155"/>
        <v/>
      </c>
      <c r="AH312" s="10" t="str">
        <f t="shared" si="156"/>
        <v/>
      </c>
      <c r="AI312" s="10">
        <f>IF(OR(S312="",'4_BENCHMARK'!$C$4=""),"",ABS(S312-'4_BENCHMARK'!$C$4))</f>
        <v>0</v>
      </c>
      <c r="AJ312" s="10">
        <f>IF(OR(T312="",'4_BENCHMARK'!$C$5=""),"",ABS(T312-'4_BENCHMARK'!$C$5))</f>
        <v>0</v>
      </c>
      <c r="AK312" s="10">
        <f>IF(OR(U312="",'4_BENCHMARK'!$C$6=""),"",ABS(U312-'4_BENCHMARK'!$C$6))</f>
        <v>0</v>
      </c>
      <c r="AL312" s="10">
        <f>IF(OR(V312="",'4_BENCHMARK'!$C$7=""),"",ABS(V312-'4_BENCHMARK'!$C$7))</f>
        <v>0.25</v>
      </c>
      <c r="AM312" s="10">
        <f>IF(OR(W312="",'4_BENCHMARK'!$C$8=""),"",ABS(W312-'4_BENCHMARK'!$C$8))</f>
        <v>1</v>
      </c>
      <c r="AN312" s="10">
        <f>IF(OR(X312="",'4_BENCHMARK'!$C$9=""),"",ABS(X312-'4_BENCHMARK'!$C$9))</f>
        <v>1</v>
      </c>
      <c r="AO312" s="10">
        <f>IF(OR(Y312="",'4_BENCHMARK'!$C$10=""),"",ABS(Y312-'4_BENCHMARK'!$C$10))</f>
        <v>0</v>
      </c>
      <c r="AP312" s="10">
        <f>IF(OR(Z312="",'4_BENCHMARK'!$C$11=""),"",ABS(Z312-'4_BENCHMARK'!$C$11))</f>
        <v>0</v>
      </c>
      <c r="AQ312" s="13">
        <f t="shared" si="157"/>
        <v>0.71875</v>
      </c>
      <c r="AR312" s="10"/>
      <c r="AS312" s="36" t="s">
        <v>141</v>
      </c>
      <c r="AT312" s="13">
        <f t="shared" si="158"/>
        <v>0.958333333333333</v>
      </c>
      <c r="AU312" s="1" t="str">
        <f t="shared" si="159"/>
        <v/>
      </c>
      <c r="AV312" s="1" t="str">
        <f t="shared" si="160"/>
        <v/>
      </c>
      <c r="AW312" s="1" t="str">
        <f t="shared" si="161"/>
        <v/>
      </c>
      <c r="AX312" s="1" t="str">
        <f t="shared" si="162"/>
        <v/>
      </c>
      <c r="AY312" s="1" t="str">
        <f t="shared" si="163"/>
        <v/>
      </c>
      <c r="AZ312" s="1" t="str">
        <f t="shared" si="164"/>
        <v/>
      </c>
      <c r="BA312" s="1" t="str">
        <f t="shared" si="165"/>
        <v/>
      </c>
      <c r="BB312" s="1" t="str">
        <f t="shared" si="166"/>
        <v/>
      </c>
      <c r="BC312" s="1" t="str">
        <f t="shared" si="167"/>
        <v/>
      </c>
      <c r="BD312" s="1" t="str">
        <f t="shared" si="168"/>
        <v/>
      </c>
      <c r="BE312" s="1" t="str">
        <f t="shared" si="169"/>
        <v/>
      </c>
      <c r="BF312" s="1" t="str">
        <f t="shared" si="170"/>
        <v/>
      </c>
      <c r="BG312" s="1" t="str">
        <f t="shared" si="171"/>
        <v/>
      </c>
      <c r="BH312" s="1" t="str">
        <f t="shared" si="172"/>
        <v/>
      </c>
      <c r="BI312" s="1" t="str">
        <f t="shared" si="173"/>
        <v/>
      </c>
      <c r="BJ312" s="1" t="str">
        <f t="shared" si="174"/>
        <v/>
      </c>
    </row>
    <row r="313" ht="14.25" customHeight="1" spans="1:62">
      <c r="A313" s="10">
        <v>309</v>
      </c>
      <c r="B313" s="36" t="s">
        <v>1093</v>
      </c>
      <c r="C313" s="10">
        <v>1960</v>
      </c>
      <c r="D313" s="10">
        <f t="shared" si="175"/>
        <v>1960</v>
      </c>
      <c r="E313" s="36" t="s">
        <v>136</v>
      </c>
      <c r="F313" s="35" t="s">
        <v>1094</v>
      </c>
      <c r="G313" s="36" t="s">
        <v>1095</v>
      </c>
      <c r="H313" s="10" t="s">
        <v>139</v>
      </c>
      <c r="I313" s="10" t="s">
        <v>140</v>
      </c>
      <c r="J313" s="36" t="s">
        <v>556</v>
      </c>
      <c r="K313" s="10">
        <v>5</v>
      </c>
      <c r="L313" s="10">
        <v>5</v>
      </c>
      <c r="M313" s="10">
        <v>5</v>
      </c>
      <c r="N313" s="10">
        <v>4</v>
      </c>
      <c r="O313" s="10">
        <v>5</v>
      </c>
      <c r="P313" s="10">
        <v>5</v>
      </c>
      <c r="Q313" s="10">
        <v>3</v>
      </c>
      <c r="R313" s="10">
        <v>5</v>
      </c>
      <c r="S313" s="10">
        <f t="shared" si="141"/>
        <v>1</v>
      </c>
      <c r="T313" s="10">
        <f t="shared" si="142"/>
        <v>1</v>
      </c>
      <c r="U313" s="10">
        <f t="shared" si="143"/>
        <v>1</v>
      </c>
      <c r="V313" s="10">
        <f t="shared" si="144"/>
        <v>0.75</v>
      </c>
      <c r="W313" s="10">
        <f t="shared" si="145"/>
        <v>1</v>
      </c>
      <c r="X313" s="10">
        <f t="shared" si="146"/>
        <v>1</v>
      </c>
      <c r="Y313" s="10">
        <f t="shared" si="147"/>
        <v>0.5</v>
      </c>
      <c r="Z313" s="10">
        <f t="shared" si="148"/>
        <v>1</v>
      </c>
      <c r="AA313" s="10" t="str">
        <f t="shared" si="149"/>
        <v/>
      </c>
      <c r="AB313" s="10" t="str">
        <f t="shared" si="150"/>
        <v/>
      </c>
      <c r="AC313" s="10" t="str">
        <f t="shared" si="151"/>
        <v/>
      </c>
      <c r="AD313" s="10" t="str">
        <f t="shared" si="152"/>
        <v/>
      </c>
      <c r="AE313" s="10" t="str">
        <f t="shared" si="153"/>
        <v/>
      </c>
      <c r="AF313" s="10" t="str">
        <f t="shared" si="154"/>
        <v/>
      </c>
      <c r="AG313" s="10" t="str">
        <f t="shared" si="155"/>
        <v/>
      </c>
      <c r="AH313" s="10" t="str">
        <f t="shared" si="156"/>
        <v/>
      </c>
      <c r="AI313" s="10">
        <f>IF(OR(S313="",'4_BENCHMARK'!$C$4=""),"",ABS(S313-'4_BENCHMARK'!$C$4))</f>
        <v>0</v>
      </c>
      <c r="AJ313" s="10">
        <f>IF(OR(T313="",'4_BENCHMARK'!$C$5=""),"",ABS(T313-'4_BENCHMARK'!$C$5))</f>
        <v>0</v>
      </c>
      <c r="AK313" s="10">
        <f>IF(OR(U313="",'4_BENCHMARK'!$C$6=""),"",ABS(U313-'4_BENCHMARK'!$C$6))</f>
        <v>0</v>
      </c>
      <c r="AL313" s="10">
        <f>IF(OR(V313="",'4_BENCHMARK'!$C$7=""),"",ABS(V313-'4_BENCHMARK'!$C$7))</f>
        <v>0.25</v>
      </c>
      <c r="AM313" s="10">
        <f>IF(OR(W313="",'4_BENCHMARK'!$C$8=""),"",ABS(W313-'4_BENCHMARK'!$C$8))</f>
        <v>1</v>
      </c>
      <c r="AN313" s="10">
        <f>IF(OR(X313="",'4_BENCHMARK'!$C$9=""),"",ABS(X313-'4_BENCHMARK'!$C$9))</f>
        <v>1</v>
      </c>
      <c r="AO313" s="10">
        <f>IF(OR(Y313="",'4_BENCHMARK'!$C$10=""),"",ABS(Y313-'4_BENCHMARK'!$C$10))</f>
        <v>0</v>
      </c>
      <c r="AP313" s="10">
        <f>IF(OR(Z313="",'4_BENCHMARK'!$C$11=""),"",ABS(Z313-'4_BENCHMARK'!$C$11))</f>
        <v>0</v>
      </c>
      <c r="AQ313" s="13">
        <f t="shared" si="157"/>
        <v>0.71875</v>
      </c>
      <c r="AR313" s="10"/>
      <c r="AS313" s="36" t="s">
        <v>141</v>
      </c>
      <c r="AT313" s="13">
        <f t="shared" si="158"/>
        <v>0.958333333333333</v>
      </c>
      <c r="AU313" s="1" t="str">
        <f t="shared" si="159"/>
        <v/>
      </c>
      <c r="AV313" s="1" t="str">
        <f t="shared" si="160"/>
        <v/>
      </c>
      <c r="AW313" s="1" t="str">
        <f t="shared" si="161"/>
        <v/>
      </c>
      <c r="AX313" s="1" t="str">
        <f t="shared" si="162"/>
        <v/>
      </c>
      <c r="AY313" s="1" t="str">
        <f t="shared" si="163"/>
        <v/>
      </c>
      <c r="AZ313" s="1" t="str">
        <f t="shared" si="164"/>
        <v/>
      </c>
      <c r="BA313" s="1" t="str">
        <f t="shared" si="165"/>
        <v/>
      </c>
      <c r="BB313" s="1" t="str">
        <f t="shared" si="166"/>
        <v/>
      </c>
      <c r="BC313" s="1" t="str">
        <f t="shared" si="167"/>
        <v/>
      </c>
      <c r="BD313" s="1" t="str">
        <f t="shared" si="168"/>
        <v/>
      </c>
      <c r="BE313" s="1" t="str">
        <f t="shared" si="169"/>
        <v/>
      </c>
      <c r="BF313" s="1" t="str">
        <f t="shared" si="170"/>
        <v/>
      </c>
      <c r="BG313" s="1" t="str">
        <f t="shared" si="171"/>
        <v/>
      </c>
      <c r="BH313" s="1" t="str">
        <f t="shared" si="172"/>
        <v/>
      </c>
      <c r="BI313" s="1" t="str">
        <f t="shared" si="173"/>
        <v/>
      </c>
      <c r="BJ313" s="1" t="str">
        <f t="shared" si="174"/>
        <v/>
      </c>
    </row>
    <row r="314" ht="14.25" customHeight="1" spans="1:62">
      <c r="A314" s="10">
        <v>310</v>
      </c>
      <c r="B314" s="36" t="s">
        <v>1096</v>
      </c>
      <c r="C314" s="10">
        <v>1960</v>
      </c>
      <c r="D314" s="10">
        <f t="shared" si="175"/>
        <v>1960</v>
      </c>
      <c r="E314" s="36" t="s">
        <v>136</v>
      </c>
      <c r="F314" s="35" t="s">
        <v>1097</v>
      </c>
      <c r="G314" s="36" t="s">
        <v>1098</v>
      </c>
      <c r="H314" s="10" t="s">
        <v>139</v>
      </c>
      <c r="I314" s="10" t="s">
        <v>140</v>
      </c>
      <c r="J314" s="36" t="s">
        <v>556</v>
      </c>
      <c r="K314" s="10">
        <v>5</v>
      </c>
      <c r="L314" s="10">
        <v>5</v>
      </c>
      <c r="M314" s="10">
        <v>5</v>
      </c>
      <c r="N314" s="10">
        <v>5</v>
      </c>
      <c r="O314" s="10">
        <v>5</v>
      </c>
      <c r="P314" s="10">
        <v>5</v>
      </c>
      <c r="Q314" s="10">
        <v>3</v>
      </c>
      <c r="R314" s="10">
        <v>5</v>
      </c>
      <c r="S314" s="10">
        <f t="shared" si="141"/>
        <v>1</v>
      </c>
      <c r="T314" s="10">
        <f t="shared" si="142"/>
        <v>1</v>
      </c>
      <c r="U314" s="10">
        <f t="shared" si="143"/>
        <v>1</v>
      </c>
      <c r="V314" s="10">
        <f t="shared" si="144"/>
        <v>1</v>
      </c>
      <c r="W314" s="10">
        <f t="shared" si="145"/>
        <v>1</v>
      </c>
      <c r="X314" s="10">
        <f t="shared" si="146"/>
        <v>1</v>
      </c>
      <c r="Y314" s="10">
        <f t="shared" si="147"/>
        <v>0.5</v>
      </c>
      <c r="Z314" s="10">
        <f t="shared" si="148"/>
        <v>1</v>
      </c>
      <c r="AA314" s="10" t="str">
        <f t="shared" si="149"/>
        <v/>
      </c>
      <c r="AB314" s="10" t="str">
        <f t="shared" si="150"/>
        <v/>
      </c>
      <c r="AC314" s="10" t="str">
        <f t="shared" si="151"/>
        <v/>
      </c>
      <c r="AD314" s="10" t="str">
        <f t="shared" si="152"/>
        <v/>
      </c>
      <c r="AE314" s="10" t="str">
        <f t="shared" si="153"/>
        <v/>
      </c>
      <c r="AF314" s="10" t="str">
        <f t="shared" si="154"/>
        <v/>
      </c>
      <c r="AG314" s="10" t="str">
        <f t="shared" si="155"/>
        <v/>
      </c>
      <c r="AH314" s="10" t="str">
        <f t="shared" si="156"/>
        <v/>
      </c>
      <c r="AI314" s="10">
        <f>IF(OR(S314="",'4_BENCHMARK'!$C$4=""),"",ABS(S314-'4_BENCHMARK'!$C$4))</f>
        <v>0</v>
      </c>
      <c r="AJ314" s="10">
        <f>IF(OR(T314="",'4_BENCHMARK'!$C$5=""),"",ABS(T314-'4_BENCHMARK'!$C$5))</f>
        <v>0</v>
      </c>
      <c r="AK314" s="10">
        <f>IF(OR(U314="",'4_BENCHMARK'!$C$6=""),"",ABS(U314-'4_BENCHMARK'!$C$6))</f>
        <v>0</v>
      </c>
      <c r="AL314" s="10">
        <f>IF(OR(V314="",'4_BENCHMARK'!$C$7=""),"",ABS(V314-'4_BENCHMARK'!$C$7))</f>
        <v>0</v>
      </c>
      <c r="AM314" s="10">
        <f>IF(OR(W314="",'4_BENCHMARK'!$C$8=""),"",ABS(W314-'4_BENCHMARK'!$C$8))</f>
        <v>1</v>
      </c>
      <c r="AN314" s="10">
        <f>IF(OR(X314="",'4_BENCHMARK'!$C$9=""),"",ABS(X314-'4_BENCHMARK'!$C$9))</f>
        <v>1</v>
      </c>
      <c r="AO314" s="10">
        <f>IF(OR(Y314="",'4_BENCHMARK'!$C$10=""),"",ABS(Y314-'4_BENCHMARK'!$C$10))</f>
        <v>0</v>
      </c>
      <c r="AP314" s="10">
        <f>IF(OR(Z314="",'4_BENCHMARK'!$C$11=""),"",ABS(Z314-'4_BENCHMARK'!$C$11))</f>
        <v>0</v>
      </c>
      <c r="AQ314" s="13">
        <f t="shared" si="157"/>
        <v>0.75</v>
      </c>
      <c r="AR314" s="10"/>
      <c r="AS314" s="36" t="s">
        <v>141</v>
      </c>
      <c r="AT314" s="13">
        <f t="shared" si="158"/>
        <v>1</v>
      </c>
      <c r="AU314" s="1" t="str">
        <f t="shared" si="159"/>
        <v/>
      </c>
      <c r="AV314" s="1" t="str">
        <f t="shared" si="160"/>
        <v/>
      </c>
      <c r="AW314" s="1" t="str">
        <f t="shared" si="161"/>
        <v/>
      </c>
      <c r="AX314" s="1" t="str">
        <f t="shared" si="162"/>
        <v/>
      </c>
      <c r="AY314" s="1" t="str">
        <f t="shared" si="163"/>
        <v/>
      </c>
      <c r="AZ314" s="1" t="str">
        <f t="shared" si="164"/>
        <v/>
      </c>
      <c r="BA314" s="1" t="str">
        <f t="shared" si="165"/>
        <v/>
      </c>
      <c r="BB314" s="1" t="str">
        <f t="shared" si="166"/>
        <v/>
      </c>
      <c r="BC314" s="1" t="str">
        <f t="shared" si="167"/>
        <v/>
      </c>
      <c r="BD314" s="1" t="str">
        <f t="shared" si="168"/>
        <v/>
      </c>
      <c r="BE314" s="1" t="str">
        <f t="shared" si="169"/>
        <v/>
      </c>
      <c r="BF314" s="1" t="str">
        <f t="shared" si="170"/>
        <v/>
      </c>
      <c r="BG314" s="1" t="str">
        <f t="shared" si="171"/>
        <v/>
      </c>
      <c r="BH314" s="1" t="str">
        <f t="shared" si="172"/>
        <v/>
      </c>
      <c r="BI314" s="1" t="str">
        <f t="shared" si="173"/>
        <v/>
      </c>
      <c r="BJ314" s="1" t="str">
        <f t="shared" si="174"/>
        <v/>
      </c>
    </row>
    <row r="315" ht="14.25" customHeight="1" spans="1:62">
      <c r="A315" s="10">
        <v>311</v>
      </c>
      <c r="B315" s="36" t="s">
        <v>1096</v>
      </c>
      <c r="C315" s="10">
        <v>1960</v>
      </c>
      <c r="D315" s="10">
        <f t="shared" si="175"/>
        <v>1960</v>
      </c>
      <c r="E315" s="36" t="s">
        <v>136</v>
      </c>
      <c r="F315" s="35" t="s">
        <v>1099</v>
      </c>
      <c r="G315" s="36" t="s">
        <v>1100</v>
      </c>
      <c r="H315" s="10" t="s">
        <v>139</v>
      </c>
      <c r="I315" s="10" t="s">
        <v>140</v>
      </c>
      <c r="J315" s="36" t="s">
        <v>556</v>
      </c>
      <c r="K315" s="10">
        <v>5</v>
      </c>
      <c r="L315" s="10">
        <v>5</v>
      </c>
      <c r="M315" s="10">
        <v>5</v>
      </c>
      <c r="N315" s="10">
        <v>5</v>
      </c>
      <c r="O315" s="10">
        <v>5</v>
      </c>
      <c r="P315" s="10">
        <v>5</v>
      </c>
      <c r="Q315" s="10">
        <v>2</v>
      </c>
      <c r="R315" s="10">
        <v>5</v>
      </c>
      <c r="S315" s="10">
        <f t="shared" si="141"/>
        <v>1</v>
      </c>
      <c r="T315" s="10">
        <f t="shared" si="142"/>
        <v>1</v>
      </c>
      <c r="U315" s="10">
        <f t="shared" si="143"/>
        <v>1</v>
      </c>
      <c r="V315" s="10">
        <f t="shared" si="144"/>
        <v>1</v>
      </c>
      <c r="W315" s="10">
        <f t="shared" si="145"/>
        <v>1</v>
      </c>
      <c r="X315" s="10">
        <f t="shared" si="146"/>
        <v>1</v>
      </c>
      <c r="Y315" s="10">
        <f t="shared" si="147"/>
        <v>0.25</v>
      </c>
      <c r="Z315" s="10">
        <f t="shared" si="148"/>
        <v>1</v>
      </c>
      <c r="AA315" s="10" t="str">
        <f t="shared" si="149"/>
        <v/>
      </c>
      <c r="AB315" s="10" t="str">
        <f t="shared" si="150"/>
        <v/>
      </c>
      <c r="AC315" s="10" t="str">
        <f t="shared" si="151"/>
        <v/>
      </c>
      <c r="AD315" s="10" t="str">
        <f t="shared" si="152"/>
        <v/>
      </c>
      <c r="AE315" s="10" t="str">
        <f t="shared" si="153"/>
        <v/>
      </c>
      <c r="AF315" s="10" t="str">
        <f t="shared" si="154"/>
        <v/>
      </c>
      <c r="AG315" s="10" t="str">
        <f t="shared" si="155"/>
        <v/>
      </c>
      <c r="AH315" s="10" t="str">
        <f t="shared" si="156"/>
        <v/>
      </c>
      <c r="AI315" s="10">
        <f>IF(OR(S315="",'4_BENCHMARK'!$C$4=""),"",ABS(S315-'4_BENCHMARK'!$C$4))</f>
        <v>0</v>
      </c>
      <c r="AJ315" s="10">
        <f>IF(OR(T315="",'4_BENCHMARK'!$C$5=""),"",ABS(T315-'4_BENCHMARK'!$C$5))</f>
        <v>0</v>
      </c>
      <c r="AK315" s="10">
        <f>IF(OR(U315="",'4_BENCHMARK'!$C$6=""),"",ABS(U315-'4_BENCHMARK'!$C$6))</f>
        <v>0</v>
      </c>
      <c r="AL315" s="10">
        <f>IF(OR(V315="",'4_BENCHMARK'!$C$7=""),"",ABS(V315-'4_BENCHMARK'!$C$7))</f>
        <v>0</v>
      </c>
      <c r="AM315" s="10">
        <f>IF(OR(W315="",'4_BENCHMARK'!$C$8=""),"",ABS(W315-'4_BENCHMARK'!$C$8))</f>
        <v>1</v>
      </c>
      <c r="AN315" s="10">
        <f>IF(OR(X315="",'4_BENCHMARK'!$C$9=""),"",ABS(X315-'4_BENCHMARK'!$C$9))</f>
        <v>1</v>
      </c>
      <c r="AO315" s="10">
        <f>IF(OR(Y315="",'4_BENCHMARK'!$C$10=""),"",ABS(Y315-'4_BENCHMARK'!$C$10))</f>
        <v>0.25</v>
      </c>
      <c r="AP315" s="10">
        <f>IF(OR(Z315="",'4_BENCHMARK'!$C$11=""),"",ABS(Z315-'4_BENCHMARK'!$C$11))</f>
        <v>0</v>
      </c>
      <c r="AQ315" s="13">
        <f t="shared" si="157"/>
        <v>0.71875</v>
      </c>
      <c r="AR315" s="10"/>
      <c r="AS315" s="36" t="s">
        <v>141</v>
      </c>
      <c r="AT315" s="13">
        <f t="shared" si="158"/>
        <v>0.958333333333333</v>
      </c>
      <c r="AU315" s="1" t="str">
        <f t="shared" si="159"/>
        <v/>
      </c>
      <c r="AV315" s="1" t="str">
        <f t="shared" si="160"/>
        <v/>
      </c>
      <c r="AW315" s="1" t="str">
        <f t="shared" si="161"/>
        <v/>
      </c>
      <c r="AX315" s="1" t="str">
        <f t="shared" si="162"/>
        <v/>
      </c>
      <c r="AY315" s="1" t="str">
        <f t="shared" si="163"/>
        <v/>
      </c>
      <c r="AZ315" s="1" t="str">
        <f t="shared" si="164"/>
        <v/>
      </c>
      <c r="BA315" s="1" t="str">
        <f t="shared" si="165"/>
        <v/>
      </c>
      <c r="BB315" s="1" t="str">
        <f t="shared" si="166"/>
        <v/>
      </c>
      <c r="BC315" s="1" t="str">
        <f t="shared" si="167"/>
        <v/>
      </c>
      <c r="BD315" s="1" t="str">
        <f t="shared" si="168"/>
        <v/>
      </c>
      <c r="BE315" s="1" t="str">
        <f t="shared" si="169"/>
        <v/>
      </c>
      <c r="BF315" s="1" t="str">
        <f t="shared" si="170"/>
        <v/>
      </c>
      <c r="BG315" s="1" t="str">
        <f t="shared" si="171"/>
        <v/>
      </c>
      <c r="BH315" s="1" t="str">
        <f t="shared" si="172"/>
        <v/>
      </c>
      <c r="BI315" s="1" t="str">
        <f t="shared" si="173"/>
        <v/>
      </c>
      <c r="BJ315" s="1" t="str">
        <f t="shared" si="174"/>
        <v/>
      </c>
    </row>
    <row r="316" ht="14.25" customHeight="1" spans="1:62">
      <c r="A316" s="10">
        <v>312</v>
      </c>
      <c r="B316" s="36" t="s">
        <v>1096</v>
      </c>
      <c r="C316" s="10">
        <v>1960</v>
      </c>
      <c r="D316" s="10">
        <f t="shared" si="175"/>
        <v>1960</v>
      </c>
      <c r="E316" s="36" t="s">
        <v>136</v>
      </c>
      <c r="F316" s="35" t="s">
        <v>1101</v>
      </c>
      <c r="G316" s="36" t="s">
        <v>1102</v>
      </c>
      <c r="H316" s="10" t="s">
        <v>139</v>
      </c>
      <c r="I316" s="10" t="s">
        <v>140</v>
      </c>
      <c r="J316" s="36" t="s">
        <v>556</v>
      </c>
      <c r="K316" s="10">
        <v>5</v>
      </c>
      <c r="L316" s="10">
        <v>5</v>
      </c>
      <c r="M316" s="10">
        <v>5</v>
      </c>
      <c r="N316" s="10">
        <v>5</v>
      </c>
      <c r="O316" s="10">
        <v>1</v>
      </c>
      <c r="P316" s="10">
        <v>1</v>
      </c>
      <c r="Q316" s="10">
        <v>2</v>
      </c>
      <c r="R316" s="10">
        <v>5</v>
      </c>
      <c r="S316" s="10">
        <f t="shared" si="141"/>
        <v>1</v>
      </c>
      <c r="T316" s="10">
        <f t="shared" si="142"/>
        <v>1</v>
      </c>
      <c r="U316" s="10">
        <f t="shared" si="143"/>
        <v>1</v>
      </c>
      <c r="V316" s="10">
        <f t="shared" si="144"/>
        <v>1</v>
      </c>
      <c r="W316" s="10">
        <f t="shared" si="145"/>
        <v>0</v>
      </c>
      <c r="X316" s="10">
        <f t="shared" si="146"/>
        <v>0</v>
      </c>
      <c r="Y316" s="10">
        <f t="shared" si="147"/>
        <v>0.25</v>
      </c>
      <c r="Z316" s="10">
        <f t="shared" si="148"/>
        <v>1</v>
      </c>
      <c r="AA316" s="10" t="str">
        <f t="shared" si="149"/>
        <v/>
      </c>
      <c r="AB316" s="10" t="str">
        <f t="shared" si="150"/>
        <v/>
      </c>
      <c r="AC316" s="10" t="str">
        <f t="shared" si="151"/>
        <v/>
      </c>
      <c r="AD316" s="10" t="str">
        <f t="shared" si="152"/>
        <v/>
      </c>
      <c r="AE316" s="10" t="str">
        <f t="shared" si="153"/>
        <v/>
      </c>
      <c r="AF316" s="10" t="str">
        <f t="shared" si="154"/>
        <v/>
      </c>
      <c r="AG316" s="10" t="str">
        <f t="shared" si="155"/>
        <v/>
      </c>
      <c r="AH316" s="10" t="str">
        <f t="shared" si="156"/>
        <v/>
      </c>
      <c r="AI316" s="10">
        <f>IF(OR(S316="",'4_BENCHMARK'!$C$4=""),"",ABS(S316-'4_BENCHMARK'!$C$4))</f>
        <v>0</v>
      </c>
      <c r="AJ316" s="10">
        <f>IF(OR(T316="",'4_BENCHMARK'!$C$5=""),"",ABS(T316-'4_BENCHMARK'!$C$5))</f>
        <v>0</v>
      </c>
      <c r="AK316" s="10">
        <f>IF(OR(U316="",'4_BENCHMARK'!$C$6=""),"",ABS(U316-'4_BENCHMARK'!$C$6))</f>
        <v>0</v>
      </c>
      <c r="AL316" s="10">
        <f>IF(OR(V316="",'4_BENCHMARK'!$C$7=""),"",ABS(V316-'4_BENCHMARK'!$C$7))</f>
        <v>0</v>
      </c>
      <c r="AM316" s="10">
        <f>IF(OR(W316="",'4_BENCHMARK'!$C$8=""),"",ABS(W316-'4_BENCHMARK'!$C$8))</f>
        <v>0</v>
      </c>
      <c r="AN316" s="10">
        <f>IF(OR(X316="",'4_BENCHMARK'!$C$9=""),"",ABS(X316-'4_BENCHMARK'!$C$9))</f>
        <v>0</v>
      </c>
      <c r="AO316" s="10">
        <f>IF(OR(Y316="",'4_BENCHMARK'!$C$10=""),"",ABS(Y316-'4_BENCHMARK'!$C$10))</f>
        <v>0.25</v>
      </c>
      <c r="AP316" s="10">
        <f>IF(OR(Z316="",'4_BENCHMARK'!$C$11=""),"",ABS(Z316-'4_BENCHMARK'!$C$11))</f>
        <v>0</v>
      </c>
      <c r="AQ316" s="13">
        <f t="shared" si="157"/>
        <v>0.96875</v>
      </c>
      <c r="AR316" s="10"/>
      <c r="AS316" s="36" t="s">
        <v>141</v>
      </c>
      <c r="AT316" s="13">
        <f t="shared" si="158"/>
        <v>0.958333333333333</v>
      </c>
      <c r="AU316" s="1" t="str">
        <f t="shared" si="159"/>
        <v/>
      </c>
      <c r="AV316" s="1" t="str">
        <f t="shared" si="160"/>
        <v/>
      </c>
      <c r="AW316" s="1" t="str">
        <f t="shared" si="161"/>
        <v/>
      </c>
      <c r="AX316" s="1" t="str">
        <f t="shared" si="162"/>
        <v/>
      </c>
      <c r="AY316" s="1" t="str">
        <f t="shared" si="163"/>
        <v/>
      </c>
      <c r="AZ316" s="1" t="str">
        <f t="shared" si="164"/>
        <v/>
      </c>
      <c r="BA316" s="1" t="str">
        <f t="shared" si="165"/>
        <v/>
      </c>
      <c r="BB316" s="1" t="str">
        <f t="shared" si="166"/>
        <v/>
      </c>
      <c r="BC316" s="1" t="str">
        <f t="shared" si="167"/>
        <v/>
      </c>
      <c r="BD316" s="1" t="str">
        <f t="shared" si="168"/>
        <v/>
      </c>
      <c r="BE316" s="1" t="str">
        <f t="shared" si="169"/>
        <v/>
      </c>
      <c r="BF316" s="1" t="str">
        <f t="shared" si="170"/>
        <v/>
      </c>
      <c r="BG316" s="1" t="str">
        <f t="shared" si="171"/>
        <v/>
      </c>
      <c r="BH316" s="1" t="str">
        <f t="shared" si="172"/>
        <v/>
      </c>
      <c r="BI316" s="1" t="str">
        <f t="shared" si="173"/>
        <v/>
      </c>
      <c r="BJ316" s="1" t="str">
        <f t="shared" si="174"/>
        <v/>
      </c>
    </row>
    <row r="317" ht="14.25" customHeight="1" spans="1:62">
      <c r="A317" s="10">
        <v>313</v>
      </c>
      <c r="B317" s="36" t="s">
        <v>1096</v>
      </c>
      <c r="C317" s="10">
        <v>1960</v>
      </c>
      <c r="D317" s="10">
        <f t="shared" si="175"/>
        <v>1960</v>
      </c>
      <c r="E317" s="36" t="s">
        <v>136</v>
      </c>
      <c r="F317" s="35" t="s">
        <v>1103</v>
      </c>
      <c r="G317" s="36" t="s">
        <v>1104</v>
      </c>
      <c r="H317" s="10" t="s">
        <v>139</v>
      </c>
      <c r="I317" s="10" t="s">
        <v>140</v>
      </c>
      <c r="J317" s="36" t="s">
        <v>556</v>
      </c>
      <c r="K317" s="10">
        <v>5</v>
      </c>
      <c r="L317" s="10">
        <v>5</v>
      </c>
      <c r="M317" s="10">
        <v>5</v>
      </c>
      <c r="N317" s="10">
        <v>4</v>
      </c>
      <c r="O317" s="10">
        <v>1</v>
      </c>
      <c r="P317" s="10">
        <v>1</v>
      </c>
      <c r="Q317" s="10">
        <v>1</v>
      </c>
      <c r="R317" s="10">
        <v>4</v>
      </c>
      <c r="S317" s="10">
        <f t="shared" si="141"/>
        <v>1</v>
      </c>
      <c r="T317" s="10">
        <f t="shared" si="142"/>
        <v>1</v>
      </c>
      <c r="U317" s="10">
        <f t="shared" si="143"/>
        <v>1</v>
      </c>
      <c r="V317" s="10">
        <f t="shared" si="144"/>
        <v>0.75</v>
      </c>
      <c r="W317" s="10">
        <f t="shared" si="145"/>
        <v>0</v>
      </c>
      <c r="X317" s="10">
        <f t="shared" si="146"/>
        <v>0</v>
      </c>
      <c r="Y317" s="10">
        <f t="shared" si="147"/>
        <v>0</v>
      </c>
      <c r="Z317" s="10">
        <f t="shared" si="148"/>
        <v>0.75</v>
      </c>
      <c r="AA317" s="10" t="str">
        <f t="shared" si="149"/>
        <v/>
      </c>
      <c r="AB317" s="10" t="str">
        <f t="shared" si="150"/>
        <v/>
      </c>
      <c r="AC317" s="10" t="str">
        <f t="shared" si="151"/>
        <v/>
      </c>
      <c r="AD317" s="10" t="str">
        <f t="shared" si="152"/>
        <v/>
      </c>
      <c r="AE317" s="10" t="str">
        <f t="shared" si="153"/>
        <v/>
      </c>
      <c r="AF317" s="10" t="str">
        <f t="shared" si="154"/>
        <v/>
      </c>
      <c r="AG317" s="10" t="str">
        <f t="shared" si="155"/>
        <v/>
      </c>
      <c r="AH317" s="10" t="str">
        <f t="shared" si="156"/>
        <v/>
      </c>
      <c r="AI317" s="10">
        <f>IF(OR(S317="",'4_BENCHMARK'!$C$4=""),"",ABS(S317-'4_BENCHMARK'!$C$4))</f>
        <v>0</v>
      </c>
      <c r="AJ317" s="10">
        <f>IF(OR(T317="",'4_BENCHMARK'!$C$5=""),"",ABS(T317-'4_BENCHMARK'!$C$5))</f>
        <v>0</v>
      </c>
      <c r="AK317" s="10">
        <f>IF(OR(U317="",'4_BENCHMARK'!$C$6=""),"",ABS(U317-'4_BENCHMARK'!$C$6))</f>
        <v>0</v>
      </c>
      <c r="AL317" s="10">
        <f>IF(OR(V317="",'4_BENCHMARK'!$C$7=""),"",ABS(V317-'4_BENCHMARK'!$C$7))</f>
        <v>0.25</v>
      </c>
      <c r="AM317" s="10">
        <f>IF(OR(W317="",'4_BENCHMARK'!$C$8=""),"",ABS(W317-'4_BENCHMARK'!$C$8))</f>
        <v>0</v>
      </c>
      <c r="AN317" s="10">
        <f>IF(OR(X317="",'4_BENCHMARK'!$C$9=""),"",ABS(X317-'4_BENCHMARK'!$C$9))</f>
        <v>0</v>
      </c>
      <c r="AO317" s="10">
        <f>IF(OR(Y317="",'4_BENCHMARK'!$C$10=""),"",ABS(Y317-'4_BENCHMARK'!$C$10))</f>
        <v>0.5</v>
      </c>
      <c r="AP317" s="10">
        <f>IF(OR(Z317="",'4_BENCHMARK'!$C$11=""),"",ABS(Z317-'4_BENCHMARK'!$C$11))</f>
        <v>0.25</v>
      </c>
      <c r="AQ317" s="13">
        <f t="shared" si="157"/>
        <v>0.875</v>
      </c>
      <c r="AR317" s="10"/>
      <c r="AS317" s="36" t="s">
        <v>149</v>
      </c>
      <c r="AT317" s="13">
        <f t="shared" si="158"/>
        <v>0.833333333333333</v>
      </c>
      <c r="AU317" s="1" t="str">
        <f t="shared" si="159"/>
        <v/>
      </c>
      <c r="AV317" s="1" t="str">
        <f t="shared" si="160"/>
        <v/>
      </c>
      <c r="AW317" s="1" t="str">
        <f t="shared" si="161"/>
        <v/>
      </c>
      <c r="AX317" s="1" t="str">
        <f t="shared" si="162"/>
        <v/>
      </c>
      <c r="AY317" s="1" t="str">
        <f t="shared" si="163"/>
        <v/>
      </c>
      <c r="AZ317" s="1" t="str">
        <f t="shared" si="164"/>
        <v/>
      </c>
      <c r="BA317" s="1" t="str">
        <f t="shared" si="165"/>
        <v/>
      </c>
      <c r="BB317" s="1" t="str">
        <f t="shared" si="166"/>
        <v/>
      </c>
      <c r="BC317" s="1" t="str">
        <f t="shared" si="167"/>
        <v/>
      </c>
      <c r="BD317" s="1" t="str">
        <f t="shared" si="168"/>
        <v/>
      </c>
      <c r="BE317" s="1" t="str">
        <f t="shared" si="169"/>
        <v/>
      </c>
      <c r="BF317" s="1" t="str">
        <f t="shared" si="170"/>
        <v/>
      </c>
      <c r="BG317" s="1" t="str">
        <f t="shared" si="171"/>
        <v/>
      </c>
      <c r="BH317" s="1" t="str">
        <f t="shared" si="172"/>
        <v/>
      </c>
      <c r="BI317" s="1" t="str">
        <f t="shared" si="173"/>
        <v/>
      </c>
      <c r="BJ317" s="1" t="str">
        <f t="shared" si="174"/>
        <v/>
      </c>
    </row>
    <row r="318" ht="14.25" customHeight="1" spans="1:62">
      <c r="A318" s="10">
        <v>314</v>
      </c>
      <c r="B318" s="36" t="s">
        <v>1105</v>
      </c>
      <c r="C318" s="10">
        <v>1960</v>
      </c>
      <c r="D318" s="10">
        <f t="shared" si="175"/>
        <v>1960</v>
      </c>
      <c r="E318" s="36" t="s">
        <v>136</v>
      </c>
      <c r="F318" s="35" t="s">
        <v>1106</v>
      </c>
      <c r="G318" s="36" t="s">
        <v>1107</v>
      </c>
      <c r="H318" s="10" t="s">
        <v>139</v>
      </c>
      <c r="I318" s="10" t="s">
        <v>140</v>
      </c>
      <c r="J318" s="36" t="s">
        <v>556</v>
      </c>
      <c r="K318" s="10">
        <v>5</v>
      </c>
      <c r="L318" s="10">
        <v>5</v>
      </c>
      <c r="M318" s="10">
        <v>5</v>
      </c>
      <c r="N318" s="10">
        <v>5</v>
      </c>
      <c r="O318" s="10">
        <v>5</v>
      </c>
      <c r="P318" s="10">
        <v>5</v>
      </c>
      <c r="Q318" s="10">
        <v>2</v>
      </c>
      <c r="R318" s="10">
        <v>5</v>
      </c>
      <c r="S318" s="10">
        <f t="shared" si="141"/>
        <v>1</v>
      </c>
      <c r="T318" s="10">
        <f t="shared" si="142"/>
        <v>1</v>
      </c>
      <c r="U318" s="10">
        <f t="shared" si="143"/>
        <v>1</v>
      </c>
      <c r="V318" s="10">
        <f t="shared" si="144"/>
        <v>1</v>
      </c>
      <c r="W318" s="10">
        <f t="shared" si="145"/>
        <v>1</v>
      </c>
      <c r="X318" s="10">
        <f t="shared" si="146"/>
        <v>1</v>
      </c>
      <c r="Y318" s="10">
        <f t="shared" si="147"/>
        <v>0.25</v>
      </c>
      <c r="Z318" s="10">
        <f t="shared" si="148"/>
        <v>1</v>
      </c>
      <c r="AA318" s="10" t="str">
        <f t="shared" si="149"/>
        <v/>
      </c>
      <c r="AB318" s="10" t="str">
        <f t="shared" si="150"/>
        <v/>
      </c>
      <c r="AC318" s="10" t="str">
        <f t="shared" si="151"/>
        <v/>
      </c>
      <c r="AD318" s="10" t="str">
        <f t="shared" si="152"/>
        <v/>
      </c>
      <c r="AE318" s="10" t="str">
        <f t="shared" si="153"/>
        <v/>
      </c>
      <c r="AF318" s="10" t="str">
        <f t="shared" si="154"/>
        <v/>
      </c>
      <c r="AG318" s="10" t="str">
        <f t="shared" si="155"/>
        <v/>
      </c>
      <c r="AH318" s="10" t="str">
        <f t="shared" si="156"/>
        <v/>
      </c>
      <c r="AI318" s="10">
        <f>IF(OR(S318="",'4_BENCHMARK'!$C$4=""),"",ABS(S318-'4_BENCHMARK'!$C$4))</f>
        <v>0</v>
      </c>
      <c r="AJ318" s="10">
        <f>IF(OR(T318="",'4_BENCHMARK'!$C$5=""),"",ABS(T318-'4_BENCHMARK'!$C$5))</f>
        <v>0</v>
      </c>
      <c r="AK318" s="10">
        <f>IF(OR(U318="",'4_BENCHMARK'!$C$6=""),"",ABS(U318-'4_BENCHMARK'!$C$6))</f>
        <v>0</v>
      </c>
      <c r="AL318" s="10">
        <f>IF(OR(V318="",'4_BENCHMARK'!$C$7=""),"",ABS(V318-'4_BENCHMARK'!$C$7))</f>
        <v>0</v>
      </c>
      <c r="AM318" s="10">
        <f>IF(OR(W318="",'4_BENCHMARK'!$C$8=""),"",ABS(W318-'4_BENCHMARK'!$C$8))</f>
        <v>1</v>
      </c>
      <c r="AN318" s="10">
        <f>IF(OR(X318="",'4_BENCHMARK'!$C$9=""),"",ABS(X318-'4_BENCHMARK'!$C$9))</f>
        <v>1</v>
      </c>
      <c r="AO318" s="10">
        <f>IF(OR(Y318="",'4_BENCHMARK'!$C$10=""),"",ABS(Y318-'4_BENCHMARK'!$C$10))</f>
        <v>0.25</v>
      </c>
      <c r="AP318" s="10">
        <f>IF(OR(Z318="",'4_BENCHMARK'!$C$11=""),"",ABS(Z318-'4_BENCHMARK'!$C$11))</f>
        <v>0</v>
      </c>
      <c r="AQ318" s="13">
        <f t="shared" si="157"/>
        <v>0.71875</v>
      </c>
      <c r="AR318" s="10"/>
      <c r="AS318" s="36" t="s">
        <v>141</v>
      </c>
      <c r="AT318" s="13">
        <f t="shared" si="158"/>
        <v>0.958333333333333</v>
      </c>
      <c r="AU318" s="1" t="str">
        <f t="shared" si="159"/>
        <v/>
      </c>
      <c r="AV318" s="1" t="str">
        <f t="shared" si="160"/>
        <v/>
      </c>
      <c r="AW318" s="1" t="str">
        <f t="shared" si="161"/>
        <v/>
      </c>
      <c r="AX318" s="1" t="str">
        <f t="shared" si="162"/>
        <v/>
      </c>
      <c r="AY318" s="1" t="str">
        <f t="shared" si="163"/>
        <v/>
      </c>
      <c r="AZ318" s="1" t="str">
        <f t="shared" si="164"/>
        <v/>
      </c>
      <c r="BA318" s="1" t="str">
        <f t="shared" si="165"/>
        <v/>
      </c>
      <c r="BB318" s="1" t="str">
        <f t="shared" si="166"/>
        <v/>
      </c>
      <c r="BC318" s="1" t="str">
        <f t="shared" si="167"/>
        <v/>
      </c>
      <c r="BD318" s="1" t="str">
        <f t="shared" si="168"/>
        <v/>
      </c>
      <c r="BE318" s="1" t="str">
        <f t="shared" si="169"/>
        <v/>
      </c>
      <c r="BF318" s="1" t="str">
        <f t="shared" si="170"/>
        <v/>
      </c>
      <c r="BG318" s="1" t="str">
        <f t="shared" si="171"/>
        <v/>
      </c>
      <c r="BH318" s="1" t="str">
        <f t="shared" si="172"/>
        <v/>
      </c>
      <c r="BI318" s="1" t="str">
        <f t="shared" si="173"/>
        <v/>
      </c>
      <c r="BJ318" s="1" t="str">
        <f t="shared" si="174"/>
        <v/>
      </c>
    </row>
    <row r="319" ht="14.25" customHeight="1" spans="1:62">
      <c r="A319" s="10">
        <v>315</v>
      </c>
      <c r="B319" s="36" t="s">
        <v>1105</v>
      </c>
      <c r="C319" s="10">
        <v>1960</v>
      </c>
      <c r="D319" s="10">
        <f t="shared" si="175"/>
        <v>1960</v>
      </c>
      <c r="E319" s="36" t="s">
        <v>136</v>
      </c>
      <c r="F319" s="35" t="s">
        <v>1108</v>
      </c>
      <c r="G319" s="36" t="s">
        <v>1109</v>
      </c>
      <c r="H319" s="10" t="s">
        <v>139</v>
      </c>
      <c r="I319" s="10" t="s">
        <v>140</v>
      </c>
      <c r="J319" s="36" t="s">
        <v>556</v>
      </c>
      <c r="K319" s="10">
        <v>5</v>
      </c>
      <c r="L319" s="10">
        <v>5</v>
      </c>
      <c r="M319" s="10">
        <v>5</v>
      </c>
      <c r="N319" s="10">
        <v>5</v>
      </c>
      <c r="O319" s="10">
        <v>5</v>
      </c>
      <c r="P319" s="10">
        <v>5</v>
      </c>
      <c r="Q319" s="10">
        <v>3</v>
      </c>
      <c r="R319" s="10">
        <v>5</v>
      </c>
      <c r="S319" s="10">
        <f t="shared" si="141"/>
        <v>1</v>
      </c>
      <c r="T319" s="10">
        <f t="shared" si="142"/>
        <v>1</v>
      </c>
      <c r="U319" s="10">
        <f t="shared" si="143"/>
        <v>1</v>
      </c>
      <c r="V319" s="10">
        <f t="shared" si="144"/>
        <v>1</v>
      </c>
      <c r="W319" s="10">
        <f t="shared" si="145"/>
        <v>1</v>
      </c>
      <c r="X319" s="10">
        <f t="shared" si="146"/>
        <v>1</v>
      </c>
      <c r="Y319" s="10">
        <f t="shared" si="147"/>
        <v>0.5</v>
      </c>
      <c r="Z319" s="10">
        <f t="shared" si="148"/>
        <v>1</v>
      </c>
      <c r="AA319" s="10" t="str">
        <f t="shared" si="149"/>
        <v/>
      </c>
      <c r="AB319" s="10" t="str">
        <f t="shared" si="150"/>
        <v/>
      </c>
      <c r="AC319" s="10" t="str">
        <f t="shared" si="151"/>
        <v/>
      </c>
      <c r="AD319" s="10" t="str">
        <f t="shared" si="152"/>
        <v/>
      </c>
      <c r="AE319" s="10" t="str">
        <f t="shared" si="153"/>
        <v/>
      </c>
      <c r="AF319" s="10" t="str">
        <f t="shared" si="154"/>
        <v/>
      </c>
      <c r="AG319" s="10" t="str">
        <f t="shared" si="155"/>
        <v/>
      </c>
      <c r="AH319" s="10" t="str">
        <f t="shared" si="156"/>
        <v/>
      </c>
      <c r="AI319" s="10">
        <f>IF(OR(S319="",'4_BENCHMARK'!$C$4=""),"",ABS(S319-'4_BENCHMARK'!$C$4))</f>
        <v>0</v>
      </c>
      <c r="AJ319" s="10">
        <f>IF(OR(T319="",'4_BENCHMARK'!$C$5=""),"",ABS(T319-'4_BENCHMARK'!$C$5))</f>
        <v>0</v>
      </c>
      <c r="AK319" s="10">
        <f>IF(OR(U319="",'4_BENCHMARK'!$C$6=""),"",ABS(U319-'4_BENCHMARK'!$C$6))</f>
        <v>0</v>
      </c>
      <c r="AL319" s="10">
        <f>IF(OR(V319="",'4_BENCHMARK'!$C$7=""),"",ABS(V319-'4_BENCHMARK'!$C$7))</f>
        <v>0</v>
      </c>
      <c r="AM319" s="10">
        <f>IF(OR(W319="",'4_BENCHMARK'!$C$8=""),"",ABS(W319-'4_BENCHMARK'!$C$8))</f>
        <v>1</v>
      </c>
      <c r="AN319" s="10">
        <f>IF(OR(X319="",'4_BENCHMARK'!$C$9=""),"",ABS(X319-'4_BENCHMARK'!$C$9))</f>
        <v>1</v>
      </c>
      <c r="AO319" s="10">
        <f>IF(OR(Y319="",'4_BENCHMARK'!$C$10=""),"",ABS(Y319-'4_BENCHMARK'!$C$10))</f>
        <v>0</v>
      </c>
      <c r="AP319" s="10">
        <f>IF(OR(Z319="",'4_BENCHMARK'!$C$11=""),"",ABS(Z319-'4_BENCHMARK'!$C$11))</f>
        <v>0</v>
      </c>
      <c r="AQ319" s="13">
        <f t="shared" si="157"/>
        <v>0.75</v>
      </c>
      <c r="AR319" s="10"/>
      <c r="AS319" s="36" t="s">
        <v>141</v>
      </c>
      <c r="AT319" s="13">
        <f t="shared" si="158"/>
        <v>1</v>
      </c>
      <c r="AU319" s="1" t="str">
        <f t="shared" si="159"/>
        <v/>
      </c>
      <c r="AV319" s="1" t="str">
        <f t="shared" si="160"/>
        <v/>
      </c>
      <c r="AW319" s="1" t="str">
        <f t="shared" si="161"/>
        <v/>
      </c>
      <c r="AX319" s="1" t="str">
        <f t="shared" si="162"/>
        <v/>
      </c>
      <c r="AY319" s="1" t="str">
        <f t="shared" si="163"/>
        <v/>
      </c>
      <c r="AZ319" s="1" t="str">
        <f t="shared" si="164"/>
        <v/>
      </c>
      <c r="BA319" s="1" t="str">
        <f t="shared" si="165"/>
        <v/>
      </c>
      <c r="BB319" s="1" t="str">
        <f t="shared" si="166"/>
        <v/>
      </c>
      <c r="BC319" s="1" t="str">
        <f t="shared" si="167"/>
        <v/>
      </c>
      <c r="BD319" s="1" t="str">
        <f t="shared" si="168"/>
        <v/>
      </c>
      <c r="BE319" s="1" t="str">
        <f t="shared" si="169"/>
        <v/>
      </c>
      <c r="BF319" s="1" t="str">
        <f t="shared" si="170"/>
        <v/>
      </c>
      <c r="BG319" s="1" t="str">
        <f t="shared" si="171"/>
        <v/>
      </c>
      <c r="BH319" s="1" t="str">
        <f t="shared" si="172"/>
        <v/>
      </c>
      <c r="BI319" s="1" t="str">
        <f t="shared" si="173"/>
        <v/>
      </c>
      <c r="BJ319" s="1" t="str">
        <f t="shared" si="174"/>
        <v/>
      </c>
    </row>
    <row r="320" ht="14.25" customHeight="1" spans="1:62">
      <c r="A320" s="10">
        <v>316</v>
      </c>
      <c r="B320" s="36" t="s">
        <v>1110</v>
      </c>
      <c r="C320" s="10">
        <v>1960</v>
      </c>
      <c r="D320" s="10">
        <f t="shared" si="175"/>
        <v>1960</v>
      </c>
      <c r="E320" s="36" t="s">
        <v>136</v>
      </c>
      <c r="F320" s="35" t="s">
        <v>1111</v>
      </c>
      <c r="G320" s="36" t="s">
        <v>1112</v>
      </c>
      <c r="H320" s="10" t="s">
        <v>139</v>
      </c>
      <c r="I320" s="10" t="s">
        <v>140</v>
      </c>
      <c r="J320" s="36" t="s">
        <v>556</v>
      </c>
      <c r="K320" s="10">
        <v>5</v>
      </c>
      <c r="L320" s="10">
        <v>5</v>
      </c>
      <c r="M320" s="10">
        <v>5</v>
      </c>
      <c r="N320" s="10">
        <v>5</v>
      </c>
      <c r="O320" s="10">
        <v>5</v>
      </c>
      <c r="P320" s="10">
        <v>5</v>
      </c>
      <c r="Q320" s="10">
        <v>2</v>
      </c>
      <c r="R320" s="10">
        <v>5</v>
      </c>
      <c r="S320" s="10">
        <f t="shared" si="141"/>
        <v>1</v>
      </c>
      <c r="T320" s="10">
        <f t="shared" si="142"/>
        <v>1</v>
      </c>
      <c r="U320" s="10">
        <f t="shared" si="143"/>
        <v>1</v>
      </c>
      <c r="V320" s="10">
        <f t="shared" si="144"/>
        <v>1</v>
      </c>
      <c r="W320" s="10">
        <f t="shared" si="145"/>
        <v>1</v>
      </c>
      <c r="X320" s="10">
        <f t="shared" si="146"/>
        <v>1</v>
      </c>
      <c r="Y320" s="10">
        <f t="shared" si="147"/>
        <v>0.25</v>
      </c>
      <c r="Z320" s="10">
        <f t="shared" si="148"/>
        <v>1</v>
      </c>
      <c r="AA320" s="10" t="str">
        <f t="shared" si="149"/>
        <v/>
      </c>
      <c r="AB320" s="10" t="str">
        <f t="shared" si="150"/>
        <v/>
      </c>
      <c r="AC320" s="10" t="str">
        <f t="shared" si="151"/>
        <v/>
      </c>
      <c r="AD320" s="10" t="str">
        <f t="shared" si="152"/>
        <v/>
      </c>
      <c r="AE320" s="10" t="str">
        <f t="shared" si="153"/>
        <v/>
      </c>
      <c r="AF320" s="10" t="str">
        <f t="shared" si="154"/>
        <v/>
      </c>
      <c r="AG320" s="10" t="str">
        <f t="shared" si="155"/>
        <v/>
      </c>
      <c r="AH320" s="10" t="str">
        <f t="shared" si="156"/>
        <v/>
      </c>
      <c r="AI320" s="10">
        <f>IF(OR(S320="",'4_BENCHMARK'!$C$4=""),"",ABS(S320-'4_BENCHMARK'!$C$4))</f>
        <v>0</v>
      </c>
      <c r="AJ320" s="10">
        <f>IF(OR(T320="",'4_BENCHMARK'!$C$5=""),"",ABS(T320-'4_BENCHMARK'!$C$5))</f>
        <v>0</v>
      </c>
      <c r="AK320" s="10">
        <f>IF(OR(U320="",'4_BENCHMARK'!$C$6=""),"",ABS(U320-'4_BENCHMARK'!$C$6))</f>
        <v>0</v>
      </c>
      <c r="AL320" s="10">
        <f>IF(OR(V320="",'4_BENCHMARK'!$C$7=""),"",ABS(V320-'4_BENCHMARK'!$C$7))</f>
        <v>0</v>
      </c>
      <c r="AM320" s="10">
        <f>IF(OR(W320="",'4_BENCHMARK'!$C$8=""),"",ABS(W320-'4_BENCHMARK'!$C$8))</f>
        <v>1</v>
      </c>
      <c r="AN320" s="10">
        <f>IF(OR(X320="",'4_BENCHMARK'!$C$9=""),"",ABS(X320-'4_BENCHMARK'!$C$9))</f>
        <v>1</v>
      </c>
      <c r="AO320" s="10">
        <f>IF(OR(Y320="",'4_BENCHMARK'!$C$10=""),"",ABS(Y320-'4_BENCHMARK'!$C$10))</f>
        <v>0.25</v>
      </c>
      <c r="AP320" s="10">
        <f>IF(OR(Z320="",'4_BENCHMARK'!$C$11=""),"",ABS(Z320-'4_BENCHMARK'!$C$11))</f>
        <v>0</v>
      </c>
      <c r="AQ320" s="13">
        <f t="shared" si="157"/>
        <v>0.71875</v>
      </c>
      <c r="AR320" s="10"/>
      <c r="AS320" s="36" t="s">
        <v>141</v>
      </c>
      <c r="AT320" s="13">
        <f t="shared" si="158"/>
        <v>0.958333333333333</v>
      </c>
      <c r="AU320" s="1" t="str">
        <f t="shared" si="159"/>
        <v/>
      </c>
      <c r="AV320" s="1" t="str">
        <f t="shared" si="160"/>
        <v/>
      </c>
      <c r="AW320" s="1" t="str">
        <f t="shared" si="161"/>
        <v/>
      </c>
      <c r="AX320" s="1" t="str">
        <f t="shared" si="162"/>
        <v/>
      </c>
      <c r="AY320" s="1" t="str">
        <f t="shared" si="163"/>
        <v/>
      </c>
      <c r="AZ320" s="1" t="str">
        <f t="shared" si="164"/>
        <v/>
      </c>
      <c r="BA320" s="1" t="str">
        <f t="shared" si="165"/>
        <v/>
      </c>
      <c r="BB320" s="1" t="str">
        <f t="shared" si="166"/>
        <v/>
      </c>
      <c r="BC320" s="1" t="str">
        <f t="shared" si="167"/>
        <v/>
      </c>
      <c r="BD320" s="1" t="str">
        <f t="shared" si="168"/>
        <v/>
      </c>
      <c r="BE320" s="1" t="str">
        <f t="shared" si="169"/>
        <v/>
      </c>
      <c r="BF320" s="1" t="str">
        <f t="shared" si="170"/>
        <v/>
      </c>
      <c r="BG320" s="1" t="str">
        <f t="shared" si="171"/>
        <v/>
      </c>
      <c r="BH320" s="1" t="str">
        <f t="shared" si="172"/>
        <v/>
      </c>
      <c r="BI320" s="1" t="str">
        <f t="shared" si="173"/>
        <v/>
      </c>
      <c r="BJ320" s="1" t="str">
        <f t="shared" si="174"/>
        <v/>
      </c>
    </row>
    <row r="321" ht="14.25" customHeight="1" spans="1:62">
      <c r="A321" s="10">
        <v>317</v>
      </c>
      <c r="B321" s="36" t="s">
        <v>1113</v>
      </c>
      <c r="C321" s="10">
        <v>1960</v>
      </c>
      <c r="D321" s="10">
        <f t="shared" si="175"/>
        <v>1960</v>
      </c>
      <c r="E321" s="36" t="s">
        <v>136</v>
      </c>
      <c r="F321" s="35" t="s">
        <v>1114</v>
      </c>
      <c r="G321" s="36" t="s">
        <v>1115</v>
      </c>
      <c r="H321" s="10" t="s">
        <v>139</v>
      </c>
      <c r="I321" s="10" t="s">
        <v>140</v>
      </c>
      <c r="J321" s="36" t="s">
        <v>556</v>
      </c>
      <c r="K321" s="10">
        <v>5</v>
      </c>
      <c r="L321" s="10">
        <v>5</v>
      </c>
      <c r="M321" s="10">
        <v>5</v>
      </c>
      <c r="N321" s="10">
        <v>5</v>
      </c>
      <c r="O321" s="10">
        <v>5</v>
      </c>
      <c r="P321" s="10">
        <v>5</v>
      </c>
      <c r="Q321" s="10">
        <v>2</v>
      </c>
      <c r="R321" s="10">
        <v>5</v>
      </c>
      <c r="S321" s="10">
        <f t="shared" si="141"/>
        <v>1</v>
      </c>
      <c r="T321" s="10">
        <f t="shared" si="142"/>
        <v>1</v>
      </c>
      <c r="U321" s="10">
        <f t="shared" si="143"/>
        <v>1</v>
      </c>
      <c r="V321" s="10">
        <f t="shared" si="144"/>
        <v>1</v>
      </c>
      <c r="W321" s="10">
        <f t="shared" si="145"/>
        <v>1</v>
      </c>
      <c r="X321" s="10">
        <f t="shared" si="146"/>
        <v>1</v>
      </c>
      <c r="Y321" s="10">
        <f t="shared" si="147"/>
        <v>0.25</v>
      </c>
      <c r="Z321" s="10">
        <f t="shared" si="148"/>
        <v>1</v>
      </c>
      <c r="AA321" s="10" t="str">
        <f t="shared" si="149"/>
        <v/>
      </c>
      <c r="AB321" s="10" t="str">
        <f t="shared" si="150"/>
        <v/>
      </c>
      <c r="AC321" s="10" t="str">
        <f t="shared" si="151"/>
        <v/>
      </c>
      <c r="AD321" s="10" t="str">
        <f t="shared" si="152"/>
        <v/>
      </c>
      <c r="AE321" s="10" t="str">
        <f t="shared" si="153"/>
        <v/>
      </c>
      <c r="AF321" s="10" t="str">
        <f t="shared" si="154"/>
        <v/>
      </c>
      <c r="AG321" s="10" t="str">
        <f t="shared" si="155"/>
        <v/>
      </c>
      <c r="AH321" s="10" t="str">
        <f t="shared" si="156"/>
        <v/>
      </c>
      <c r="AI321" s="10">
        <f>IF(OR(S321="",'4_BENCHMARK'!$C$4=""),"",ABS(S321-'4_BENCHMARK'!$C$4))</f>
        <v>0</v>
      </c>
      <c r="AJ321" s="10">
        <f>IF(OR(T321="",'4_BENCHMARK'!$C$5=""),"",ABS(T321-'4_BENCHMARK'!$C$5))</f>
        <v>0</v>
      </c>
      <c r="AK321" s="10">
        <f>IF(OR(U321="",'4_BENCHMARK'!$C$6=""),"",ABS(U321-'4_BENCHMARK'!$C$6))</f>
        <v>0</v>
      </c>
      <c r="AL321" s="10">
        <f>IF(OR(V321="",'4_BENCHMARK'!$C$7=""),"",ABS(V321-'4_BENCHMARK'!$C$7))</f>
        <v>0</v>
      </c>
      <c r="AM321" s="10">
        <f>IF(OR(W321="",'4_BENCHMARK'!$C$8=""),"",ABS(W321-'4_BENCHMARK'!$C$8))</f>
        <v>1</v>
      </c>
      <c r="AN321" s="10">
        <f>IF(OR(X321="",'4_BENCHMARK'!$C$9=""),"",ABS(X321-'4_BENCHMARK'!$C$9))</f>
        <v>1</v>
      </c>
      <c r="AO321" s="10">
        <f>IF(OR(Y321="",'4_BENCHMARK'!$C$10=""),"",ABS(Y321-'4_BENCHMARK'!$C$10))</f>
        <v>0.25</v>
      </c>
      <c r="AP321" s="10">
        <f>IF(OR(Z321="",'4_BENCHMARK'!$C$11=""),"",ABS(Z321-'4_BENCHMARK'!$C$11))</f>
        <v>0</v>
      </c>
      <c r="AQ321" s="13">
        <f t="shared" si="157"/>
        <v>0.71875</v>
      </c>
      <c r="AR321" s="10"/>
      <c r="AS321" s="36" t="s">
        <v>141</v>
      </c>
      <c r="AT321" s="13">
        <f t="shared" si="158"/>
        <v>0.958333333333333</v>
      </c>
      <c r="AU321" s="1" t="str">
        <f t="shared" si="159"/>
        <v/>
      </c>
      <c r="AV321" s="1" t="str">
        <f t="shared" si="160"/>
        <v/>
      </c>
      <c r="AW321" s="1" t="str">
        <f t="shared" si="161"/>
        <v/>
      </c>
      <c r="AX321" s="1" t="str">
        <f t="shared" si="162"/>
        <v/>
      </c>
      <c r="AY321" s="1" t="str">
        <f t="shared" si="163"/>
        <v/>
      </c>
      <c r="AZ321" s="1" t="str">
        <f t="shared" si="164"/>
        <v/>
      </c>
      <c r="BA321" s="1" t="str">
        <f t="shared" si="165"/>
        <v/>
      </c>
      <c r="BB321" s="1" t="str">
        <f t="shared" si="166"/>
        <v/>
      </c>
      <c r="BC321" s="1" t="str">
        <f t="shared" si="167"/>
        <v/>
      </c>
      <c r="BD321" s="1" t="str">
        <f t="shared" si="168"/>
        <v/>
      </c>
      <c r="BE321" s="1" t="str">
        <f t="shared" si="169"/>
        <v/>
      </c>
      <c r="BF321" s="1" t="str">
        <f t="shared" si="170"/>
        <v/>
      </c>
      <c r="BG321" s="1" t="str">
        <f t="shared" si="171"/>
        <v/>
      </c>
      <c r="BH321" s="1" t="str">
        <f t="shared" si="172"/>
        <v/>
      </c>
      <c r="BI321" s="1" t="str">
        <f t="shared" si="173"/>
        <v/>
      </c>
      <c r="BJ321" s="1" t="str">
        <f t="shared" si="174"/>
        <v/>
      </c>
    </row>
    <row r="322" ht="14.25" customHeight="1" spans="1:62">
      <c r="A322" s="10">
        <v>318</v>
      </c>
      <c r="B322" s="36" t="s">
        <v>1116</v>
      </c>
      <c r="C322" s="10">
        <v>1970</v>
      </c>
      <c r="D322" s="10">
        <f t="shared" si="175"/>
        <v>1970</v>
      </c>
      <c r="E322" s="36" t="s">
        <v>801</v>
      </c>
      <c r="F322" s="35" t="s">
        <v>1117</v>
      </c>
      <c r="G322" s="36" t="s">
        <v>1118</v>
      </c>
      <c r="H322" s="10" t="s">
        <v>139</v>
      </c>
      <c r="I322" s="10" t="s">
        <v>140</v>
      </c>
      <c r="J322" s="36" t="s">
        <v>470</v>
      </c>
      <c r="K322" s="10">
        <v>5</v>
      </c>
      <c r="L322" s="10">
        <v>5</v>
      </c>
      <c r="M322" s="10">
        <v>5</v>
      </c>
      <c r="N322" s="10">
        <v>5</v>
      </c>
      <c r="O322" s="10">
        <v>5</v>
      </c>
      <c r="P322" s="10">
        <v>5</v>
      </c>
      <c r="Q322" s="10">
        <v>3</v>
      </c>
      <c r="R322" s="10">
        <v>5</v>
      </c>
      <c r="S322" s="10">
        <f t="shared" si="141"/>
        <v>1</v>
      </c>
      <c r="T322" s="10">
        <f t="shared" si="142"/>
        <v>1</v>
      </c>
      <c r="U322" s="10">
        <f t="shared" si="143"/>
        <v>1</v>
      </c>
      <c r="V322" s="10">
        <f t="shared" si="144"/>
        <v>1</v>
      </c>
      <c r="W322" s="10">
        <f t="shared" si="145"/>
        <v>1</v>
      </c>
      <c r="X322" s="10">
        <f t="shared" si="146"/>
        <v>1</v>
      </c>
      <c r="Y322" s="10">
        <f t="shared" si="147"/>
        <v>0.5</v>
      </c>
      <c r="Z322" s="10">
        <f t="shared" si="148"/>
        <v>1</v>
      </c>
      <c r="AA322" s="10" t="str">
        <f t="shared" si="149"/>
        <v/>
      </c>
      <c r="AB322" s="10" t="str">
        <f t="shared" si="150"/>
        <v/>
      </c>
      <c r="AC322" s="10" t="str">
        <f t="shared" si="151"/>
        <v/>
      </c>
      <c r="AD322" s="10" t="str">
        <f t="shared" si="152"/>
        <v/>
      </c>
      <c r="AE322" s="10" t="str">
        <f t="shared" si="153"/>
        <v/>
      </c>
      <c r="AF322" s="10" t="str">
        <f t="shared" si="154"/>
        <v/>
      </c>
      <c r="AG322" s="10" t="str">
        <f t="shared" si="155"/>
        <v/>
      </c>
      <c r="AH322" s="10" t="str">
        <f t="shared" si="156"/>
        <v/>
      </c>
      <c r="AI322" s="10">
        <f>IF(OR(S322="",'4_BENCHMARK'!$C$4=""),"",ABS(S322-'4_BENCHMARK'!$C$4))</f>
        <v>0</v>
      </c>
      <c r="AJ322" s="10">
        <f>IF(OR(T322="",'4_BENCHMARK'!$C$5=""),"",ABS(T322-'4_BENCHMARK'!$C$5))</f>
        <v>0</v>
      </c>
      <c r="AK322" s="10">
        <f>IF(OR(U322="",'4_BENCHMARK'!$C$6=""),"",ABS(U322-'4_BENCHMARK'!$C$6))</f>
        <v>0</v>
      </c>
      <c r="AL322" s="10">
        <f>IF(OR(V322="",'4_BENCHMARK'!$C$7=""),"",ABS(V322-'4_BENCHMARK'!$C$7))</f>
        <v>0</v>
      </c>
      <c r="AM322" s="10">
        <f>IF(OR(W322="",'4_BENCHMARK'!$C$8=""),"",ABS(W322-'4_BENCHMARK'!$C$8))</f>
        <v>1</v>
      </c>
      <c r="AN322" s="10">
        <f>IF(OR(X322="",'4_BENCHMARK'!$C$9=""),"",ABS(X322-'4_BENCHMARK'!$C$9))</f>
        <v>1</v>
      </c>
      <c r="AO322" s="10">
        <f>IF(OR(Y322="",'4_BENCHMARK'!$C$10=""),"",ABS(Y322-'4_BENCHMARK'!$C$10))</f>
        <v>0</v>
      </c>
      <c r="AP322" s="10">
        <f>IF(OR(Z322="",'4_BENCHMARK'!$C$11=""),"",ABS(Z322-'4_BENCHMARK'!$C$11))</f>
        <v>0</v>
      </c>
      <c r="AQ322" s="13">
        <f t="shared" si="157"/>
        <v>0.75</v>
      </c>
      <c r="AR322" s="10"/>
      <c r="AS322" s="36" t="s">
        <v>149</v>
      </c>
      <c r="AT322" s="13">
        <f t="shared" si="158"/>
        <v>1</v>
      </c>
      <c r="AU322" s="1" t="str">
        <f t="shared" si="159"/>
        <v/>
      </c>
      <c r="AV322" s="1" t="str">
        <f t="shared" si="160"/>
        <v/>
      </c>
      <c r="AW322" s="1" t="str">
        <f t="shared" si="161"/>
        <v/>
      </c>
      <c r="AX322" s="1" t="str">
        <f t="shared" si="162"/>
        <v/>
      </c>
      <c r="AY322" s="1" t="str">
        <f t="shared" si="163"/>
        <v/>
      </c>
      <c r="AZ322" s="1" t="str">
        <f t="shared" si="164"/>
        <v/>
      </c>
      <c r="BA322" s="1" t="str">
        <f t="shared" si="165"/>
        <v/>
      </c>
      <c r="BB322" s="1" t="str">
        <f t="shared" si="166"/>
        <v/>
      </c>
      <c r="BC322" s="1" t="str">
        <f t="shared" si="167"/>
        <v/>
      </c>
      <c r="BD322" s="1" t="str">
        <f t="shared" si="168"/>
        <v/>
      </c>
      <c r="BE322" s="1" t="str">
        <f t="shared" si="169"/>
        <v/>
      </c>
      <c r="BF322" s="1" t="str">
        <f t="shared" si="170"/>
        <v/>
      </c>
      <c r="BG322" s="1" t="str">
        <f t="shared" si="171"/>
        <v/>
      </c>
      <c r="BH322" s="1" t="str">
        <f t="shared" si="172"/>
        <v/>
      </c>
      <c r="BI322" s="1" t="str">
        <f t="shared" si="173"/>
        <v/>
      </c>
      <c r="BJ322" s="1" t="str">
        <f t="shared" si="174"/>
        <v/>
      </c>
    </row>
    <row r="323" ht="14.25" customHeight="1" spans="1:62">
      <c r="A323" s="10">
        <v>319</v>
      </c>
      <c r="B323" s="36" t="s">
        <v>1119</v>
      </c>
      <c r="C323" s="10">
        <v>1970</v>
      </c>
      <c r="D323" s="10">
        <f t="shared" si="175"/>
        <v>1970</v>
      </c>
      <c r="E323" s="36" t="s">
        <v>1120</v>
      </c>
      <c r="F323" s="35" t="s">
        <v>1121</v>
      </c>
      <c r="G323" s="36" t="s">
        <v>1122</v>
      </c>
      <c r="H323" s="10" t="s">
        <v>139</v>
      </c>
      <c r="I323" s="10" t="s">
        <v>140</v>
      </c>
      <c r="J323" s="36" t="s">
        <v>807</v>
      </c>
      <c r="K323" s="10">
        <v>5</v>
      </c>
      <c r="L323" s="10">
        <v>5</v>
      </c>
      <c r="M323" s="10">
        <v>5</v>
      </c>
      <c r="N323" s="10">
        <v>5</v>
      </c>
      <c r="O323" s="10">
        <v>5</v>
      </c>
      <c r="P323" s="10">
        <v>5</v>
      </c>
      <c r="Q323" s="10">
        <v>2</v>
      </c>
      <c r="R323" s="10">
        <v>5</v>
      </c>
      <c r="S323" s="10">
        <f t="shared" si="141"/>
        <v>1</v>
      </c>
      <c r="T323" s="10">
        <f t="shared" si="142"/>
        <v>1</v>
      </c>
      <c r="U323" s="10">
        <f t="shared" si="143"/>
        <v>1</v>
      </c>
      <c r="V323" s="10">
        <f t="shared" si="144"/>
        <v>1</v>
      </c>
      <c r="W323" s="10">
        <f t="shared" si="145"/>
        <v>1</v>
      </c>
      <c r="X323" s="10">
        <f t="shared" si="146"/>
        <v>1</v>
      </c>
      <c r="Y323" s="10">
        <f t="shared" si="147"/>
        <v>0.25</v>
      </c>
      <c r="Z323" s="10">
        <f t="shared" si="148"/>
        <v>1</v>
      </c>
      <c r="AA323" s="10" t="str">
        <f t="shared" si="149"/>
        <v/>
      </c>
      <c r="AB323" s="10" t="str">
        <f t="shared" si="150"/>
        <v/>
      </c>
      <c r="AC323" s="10" t="str">
        <f t="shared" si="151"/>
        <v/>
      </c>
      <c r="AD323" s="10" t="str">
        <f t="shared" si="152"/>
        <v/>
      </c>
      <c r="AE323" s="10" t="str">
        <f t="shared" si="153"/>
        <v/>
      </c>
      <c r="AF323" s="10" t="str">
        <f t="shared" si="154"/>
        <v/>
      </c>
      <c r="AG323" s="10" t="str">
        <f t="shared" si="155"/>
        <v/>
      </c>
      <c r="AH323" s="10" t="str">
        <f t="shared" si="156"/>
        <v/>
      </c>
      <c r="AI323" s="10">
        <f>IF(OR(S323="",'4_BENCHMARK'!$C$4=""),"",ABS(S323-'4_BENCHMARK'!$C$4))</f>
        <v>0</v>
      </c>
      <c r="AJ323" s="10">
        <f>IF(OR(T323="",'4_BENCHMARK'!$C$5=""),"",ABS(T323-'4_BENCHMARK'!$C$5))</f>
        <v>0</v>
      </c>
      <c r="AK323" s="10">
        <f>IF(OR(U323="",'4_BENCHMARK'!$C$6=""),"",ABS(U323-'4_BENCHMARK'!$C$6))</f>
        <v>0</v>
      </c>
      <c r="AL323" s="10">
        <f>IF(OR(V323="",'4_BENCHMARK'!$C$7=""),"",ABS(V323-'4_BENCHMARK'!$C$7))</f>
        <v>0</v>
      </c>
      <c r="AM323" s="10">
        <f>IF(OR(W323="",'4_BENCHMARK'!$C$8=""),"",ABS(W323-'4_BENCHMARK'!$C$8))</f>
        <v>1</v>
      </c>
      <c r="AN323" s="10">
        <f>IF(OR(X323="",'4_BENCHMARK'!$C$9=""),"",ABS(X323-'4_BENCHMARK'!$C$9))</f>
        <v>1</v>
      </c>
      <c r="AO323" s="10">
        <f>IF(OR(Y323="",'4_BENCHMARK'!$C$10=""),"",ABS(Y323-'4_BENCHMARK'!$C$10))</f>
        <v>0.25</v>
      </c>
      <c r="AP323" s="10">
        <f>IF(OR(Z323="",'4_BENCHMARK'!$C$11=""),"",ABS(Z323-'4_BENCHMARK'!$C$11))</f>
        <v>0</v>
      </c>
      <c r="AQ323" s="13">
        <f t="shared" si="157"/>
        <v>0.71875</v>
      </c>
      <c r="AR323" s="10"/>
      <c r="AS323" s="36" t="s">
        <v>149</v>
      </c>
      <c r="AT323" s="13">
        <f t="shared" si="158"/>
        <v>0.958333333333333</v>
      </c>
      <c r="AU323" s="1" t="str">
        <f t="shared" si="159"/>
        <v/>
      </c>
      <c r="AV323" s="1" t="str">
        <f t="shared" si="160"/>
        <v/>
      </c>
      <c r="AW323" s="1" t="str">
        <f t="shared" si="161"/>
        <v/>
      </c>
      <c r="AX323" s="1" t="str">
        <f t="shared" si="162"/>
        <v/>
      </c>
      <c r="AY323" s="1" t="str">
        <f t="shared" si="163"/>
        <v/>
      </c>
      <c r="AZ323" s="1" t="str">
        <f t="shared" si="164"/>
        <v/>
      </c>
      <c r="BA323" s="1" t="str">
        <f t="shared" si="165"/>
        <v/>
      </c>
      <c r="BB323" s="1" t="str">
        <f t="shared" si="166"/>
        <v/>
      </c>
      <c r="BC323" s="1" t="str">
        <f t="shared" si="167"/>
        <v/>
      </c>
      <c r="BD323" s="1" t="str">
        <f t="shared" si="168"/>
        <v/>
      </c>
      <c r="BE323" s="1" t="str">
        <f t="shared" si="169"/>
        <v/>
      </c>
      <c r="BF323" s="1" t="str">
        <f t="shared" si="170"/>
        <v/>
      </c>
      <c r="BG323" s="1" t="str">
        <f t="shared" si="171"/>
        <v/>
      </c>
      <c r="BH323" s="1" t="str">
        <f t="shared" si="172"/>
        <v/>
      </c>
      <c r="BI323" s="1" t="str">
        <f t="shared" si="173"/>
        <v/>
      </c>
      <c r="BJ323" s="1" t="str">
        <f t="shared" si="174"/>
        <v/>
      </c>
    </row>
    <row r="324" ht="14.25" customHeight="1" spans="1:62">
      <c r="A324" s="10">
        <v>320</v>
      </c>
      <c r="B324" s="36" t="s">
        <v>1123</v>
      </c>
      <c r="C324" s="10">
        <v>1970</v>
      </c>
      <c r="D324" s="10">
        <f t="shared" si="175"/>
        <v>1970</v>
      </c>
      <c r="E324" s="36" t="s">
        <v>801</v>
      </c>
      <c r="F324" s="35" t="s">
        <v>1124</v>
      </c>
      <c r="G324" s="36" t="s">
        <v>1125</v>
      </c>
      <c r="H324" s="10" t="s">
        <v>139</v>
      </c>
      <c r="I324" s="10" t="s">
        <v>140</v>
      </c>
      <c r="J324" s="36" t="s">
        <v>470</v>
      </c>
      <c r="K324" s="10">
        <v>5</v>
      </c>
      <c r="L324" s="10">
        <v>5</v>
      </c>
      <c r="M324" s="10">
        <v>5</v>
      </c>
      <c r="N324" s="10">
        <v>5</v>
      </c>
      <c r="O324" s="10">
        <v>5</v>
      </c>
      <c r="P324" s="10">
        <v>5</v>
      </c>
      <c r="Q324" s="10">
        <v>2</v>
      </c>
      <c r="R324" s="10">
        <v>5</v>
      </c>
      <c r="S324" s="10">
        <f t="shared" si="141"/>
        <v>1</v>
      </c>
      <c r="T324" s="10">
        <f t="shared" si="142"/>
        <v>1</v>
      </c>
      <c r="U324" s="10">
        <f t="shared" si="143"/>
        <v>1</v>
      </c>
      <c r="V324" s="10">
        <f t="shared" si="144"/>
        <v>1</v>
      </c>
      <c r="W324" s="10">
        <f t="shared" si="145"/>
        <v>1</v>
      </c>
      <c r="X324" s="10">
        <f t="shared" si="146"/>
        <v>1</v>
      </c>
      <c r="Y324" s="10">
        <f t="shared" si="147"/>
        <v>0.25</v>
      </c>
      <c r="Z324" s="10">
        <f t="shared" si="148"/>
        <v>1</v>
      </c>
      <c r="AA324" s="10" t="str">
        <f t="shared" si="149"/>
        <v/>
      </c>
      <c r="AB324" s="10" t="str">
        <f t="shared" si="150"/>
        <v/>
      </c>
      <c r="AC324" s="10" t="str">
        <f t="shared" si="151"/>
        <v/>
      </c>
      <c r="AD324" s="10" t="str">
        <f t="shared" si="152"/>
        <v/>
      </c>
      <c r="AE324" s="10" t="str">
        <f t="shared" si="153"/>
        <v/>
      </c>
      <c r="AF324" s="10" t="str">
        <f t="shared" si="154"/>
        <v/>
      </c>
      <c r="AG324" s="10" t="str">
        <f t="shared" si="155"/>
        <v/>
      </c>
      <c r="AH324" s="10" t="str">
        <f t="shared" si="156"/>
        <v/>
      </c>
      <c r="AI324" s="10">
        <f>IF(OR(S324="",'4_BENCHMARK'!$C$4=""),"",ABS(S324-'4_BENCHMARK'!$C$4))</f>
        <v>0</v>
      </c>
      <c r="AJ324" s="10">
        <f>IF(OR(T324="",'4_BENCHMARK'!$C$5=""),"",ABS(T324-'4_BENCHMARK'!$C$5))</f>
        <v>0</v>
      </c>
      <c r="AK324" s="10">
        <f>IF(OR(U324="",'4_BENCHMARK'!$C$6=""),"",ABS(U324-'4_BENCHMARK'!$C$6))</f>
        <v>0</v>
      </c>
      <c r="AL324" s="10">
        <f>IF(OR(V324="",'4_BENCHMARK'!$C$7=""),"",ABS(V324-'4_BENCHMARK'!$C$7))</f>
        <v>0</v>
      </c>
      <c r="AM324" s="10">
        <f>IF(OR(W324="",'4_BENCHMARK'!$C$8=""),"",ABS(W324-'4_BENCHMARK'!$C$8))</f>
        <v>1</v>
      </c>
      <c r="AN324" s="10">
        <f>IF(OR(X324="",'4_BENCHMARK'!$C$9=""),"",ABS(X324-'4_BENCHMARK'!$C$9))</f>
        <v>1</v>
      </c>
      <c r="AO324" s="10">
        <f>IF(OR(Y324="",'4_BENCHMARK'!$C$10=""),"",ABS(Y324-'4_BENCHMARK'!$C$10))</f>
        <v>0.25</v>
      </c>
      <c r="AP324" s="10">
        <f>IF(OR(Z324="",'4_BENCHMARK'!$C$11=""),"",ABS(Z324-'4_BENCHMARK'!$C$11))</f>
        <v>0</v>
      </c>
      <c r="AQ324" s="13">
        <f t="shared" si="157"/>
        <v>0.71875</v>
      </c>
      <c r="AR324" s="10"/>
      <c r="AS324" s="36" t="s">
        <v>149</v>
      </c>
      <c r="AT324" s="13">
        <f t="shared" si="158"/>
        <v>0.958333333333333</v>
      </c>
      <c r="AU324" s="1" t="str">
        <f t="shared" si="159"/>
        <v/>
      </c>
      <c r="AV324" s="1" t="str">
        <f t="shared" si="160"/>
        <v/>
      </c>
      <c r="AW324" s="1" t="str">
        <f t="shared" si="161"/>
        <v/>
      </c>
      <c r="AX324" s="1" t="str">
        <f t="shared" si="162"/>
        <v/>
      </c>
      <c r="AY324" s="1" t="str">
        <f t="shared" si="163"/>
        <v/>
      </c>
      <c r="AZ324" s="1" t="str">
        <f t="shared" si="164"/>
        <v/>
      </c>
      <c r="BA324" s="1" t="str">
        <f t="shared" si="165"/>
        <v/>
      </c>
      <c r="BB324" s="1" t="str">
        <f t="shared" si="166"/>
        <v/>
      </c>
      <c r="BC324" s="1" t="str">
        <f t="shared" si="167"/>
        <v/>
      </c>
      <c r="BD324" s="1" t="str">
        <f t="shared" si="168"/>
        <v/>
      </c>
      <c r="BE324" s="1" t="str">
        <f t="shared" si="169"/>
        <v/>
      </c>
      <c r="BF324" s="1" t="str">
        <f t="shared" si="170"/>
        <v/>
      </c>
      <c r="BG324" s="1" t="str">
        <f t="shared" si="171"/>
        <v/>
      </c>
      <c r="BH324" s="1" t="str">
        <f t="shared" si="172"/>
        <v/>
      </c>
      <c r="BI324" s="1" t="str">
        <f t="shared" si="173"/>
        <v/>
      </c>
      <c r="BJ324" s="1" t="str">
        <f t="shared" si="174"/>
        <v/>
      </c>
    </row>
    <row r="325" ht="14.25" customHeight="1" spans="1:62">
      <c r="A325" s="10">
        <v>321</v>
      </c>
      <c r="B325" s="36" t="s">
        <v>1126</v>
      </c>
      <c r="C325" s="10">
        <v>1970</v>
      </c>
      <c r="D325" s="10">
        <f t="shared" si="175"/>
        <v>1970</v>
      </c>
      <c r="E325" s="36" t="s">
        <v>801</v>
      </c>
      <c r="F325" s="35" t="s">
        <v>1127</v>
      </c>
      <c r="G325" s="36" t="s">
        <v>1128</v>
      </c>
      <c r="H325" s="10" t="s">
        <v>139</v>
      </c>
      <c r="I325" s="10" t="s">
        <v>140</v>
      </c>
      <c r="J325" s="36" t="s">
        <v>807</v>
      </c>
      <c r="K325" s="10">
        <v>4</v>
      </c>
      <c r="L325" s="10">
        <v>4</v>
      </c>
      <c r="M325" s="10">
        <v>4</v>
      </c>
      <c r="N325" s="10">
        <v>5</v>
      </c>
      <c r="O325" s="10">
        <v>5</v>
      </c>
      <c r="P325" s="10">
        <v>5</v>
      </c>
      <c r="Q325" s="10">
        <v>1</v>
      </c>
      <c r="R325" s="10">
        <v>5</v>
      </c>
      <c r="S325" s="10">
        <f t="shared" ref="S325:S388" si="176">IF(K325="","",(K325-1)/4)</f>
        <v>0.75</v>
      </c>
      <c r="T325" s="10">
        <f t="shared" ref="T325:T388" si="177">IF(L325="","",(L325-1)/4)</f>
        <v>0.75</v>
      </c>
      <c r="U325" s="10">
        <f t="shared" ref="U325:U388" si="178">IF(M325="","",(M325-1)/4)</f>
        <v>0.75</v>
      </c>
      <c r="V325" s="10">
        <f t="shared" ref="V325:V388" si="179">IF(N325="","",(N325-1)/4)</f>
        <v>1</v>
      </c>
      <c r="W325" s="10">
        <f t="shared" ref="W325:W388" si="180">IF(O325="","",(O325-1)/4)</f>
        <v>1</v>
      </c>
      <c r="X325" s="10">
        <f t="shared" ref="X325:X388" si="181">IF(P325="","",(P325-1)/4)</f>
        <v>1</v>
      </c>
      <c r="Y325" s="10">
        <f t="shared" ref="Y325:Y388" si="182">IF(Q325="","",(Q325-1)/4)</f>
        <v>0</v>
      </c>
      <c r="Z325" s="10">
        <f t="shared" ref="Z325:Z388" si="183">IF(R325="","",(R325-1)/4)</f>
        <v>1</v>
      </c>
      <c r="AA325" s="10" t="str">
        <f t="shared" ref="AA325:AA388" si="184">IF(AND(S325&lt;&gt;"",C325&lt;=1949,I325="yes"),S325,"")</f>
        <v/>
      </c>
      <c r="AB325" s="10" t="str">
        <f t="shared" ref="AB325:AB388" si="185">IF(AND(T325&lt;&gt;"",C325&lt;=1949,I325="yes"),T325,"")</f>
        <v/>
      </c>
      <c r="AC325" s="10" t="str">
        <f t="shared" ref="AC325:AC388" si="186">IF(AND(U325&lt;&gt;"",C325&lt;=1949,I325="yes"),U325,"")</f>
        <v/>
      </c>
      <c r="AD325" s="10" t="str">
        <f t="shared" ref="AD325:AD388" si="187">IF(AND(V325&lt;&gt;"",C325&lt;=1949,I325="yes"),V325,"")</f>
        <v/>
      </c>
      <c r="AE325" s="10" t="str">
        <f t="shared" ref="AE325:AE388" si="188">IF(AND(W325&lt;&gt;"",C325&lt;=1949,I325="yes"),W325,"")</f>
        <v/>
      </c>
      <c r="AF325" s="10" t="str">
        <f t="shared" ref="AF325:AF388" si="189">IF(AND(X325&lt;&gt;"",C325&lt;=1949,I325="yes"),X325,"")</f>
        <v/>
      </c>
      <c r="AG325" s="10" t="str">
        <f t="shared" ref="AG325:AG388" si="190">IF(AND(Y325&lt;&gt;"",C325&lt;=1949,I325="yes"),Y325,"")</f>
        <v/>
      </c>
      <c r="AH325" s="10" t="str">
        <f t="shared" ref="AH325:AH388" si="191">IF(AND(Z325&lt;&gt;"",C325&lt;=1949,I325="yes"),Z325,"")</f>
        <v/>
      </c>
      <c r="AI325" s="10">
        <f>IF(OR(S325="",'4_BENCHMARK'!$C$4=""),"",ABS(S325-'4_BENCHMARK'!$C$4))</f>
        <v>0.25</v>
      </c>
      <c r="AJ325" s="10">
        <f>IF(OR(T325="",'4_BENCHMARK'!$C$5=""),"",ABS(T325-'4_BENCHMARK'!$C$5))</f>
        <v>0.25</v>
      </c>
      <c r="AK325" s="10">
        <f>IF(OR(U325="",'4_BENCHMARK'!$C$6=""),"",ABS(U325-'4_BENCHMARK'!$C$6))</f>
        <v>0.25</v>
      </c>
      <c r="AL325" s="10">
        <f>IF(OR(V325="",'4_BENCHMARK'!$C$7=""),"",ABS(V325-'4_BENCHMARK'!$C$7))</f>
        <v>0</v>
      </c>
      <c r="AM325" s="10">
        <f>IF(OR(W325="",'4_BENCHMARK'!$C$8=""),"",ABS(W325-'4_BENCHMARK'!$C$8))</f>
        <v>1</v>
      </c>
      <c r="AN325" s="10">
        <f>IF(OR(X325="",'4_BENCHMARK'!$C$9=""),"",ABS(X325-'4_BENCHMARK'!$C$9))</f>
        <v>1</v>
      </c>
      <c r="AO325" s="10">
        <f>IF(OR(Y325="",'4_BENCHMARK'!$C$10=""),"",ABS(Y325-'4_BENCHMARK'!$C$10))</f>
        <v>0.5</v>
      </c>
      <c r="AP325" s="10">
        <f>IF(OR(Z325="",'4_BENCHMARK'!$C$11=""),"",ABS(Z325-'4_BENCHMARK'!$C$11))</f>
        <v>0</v>
      </c>
      <c r="AQ325" s="13">
        <f t="shared" ref="AQ325:AQ388" si="192">IF(COUNT(AI325:AP325)&lt;8,"",1-AVERAGE(AI325:AP325))</f>
        <v>0.59375</v>
      </c>
      <c r="AR325" s="10" t="s">
        <v>140</v>
      </c>
      <c r="AS325" s="36" t="s">
        <v>149</v>
      </c>
      <c r="AT325" s="13">
        <f t="shared" ref="AT325:AT388" si="193">IF(COUNT(AI325:AL325,AO325:AP325)&lt;6,"",1-AVERAGE(AI325:AL325,AO325:AP325))</f>
        <v>0.791666666666667</v>
      </c>
      <c r="AU325" s="1" t="str">
        <f t="shared" ref="AU325:AU388" si="194">IF(AND($I325="yes",$C325&lt;=1949,K325&lt;&gt;""),K325,"")</f>
        <v/>
      </c>
      <c r="AV325" s="1" t="str">
        <f t="shared" ref="AV325:AV388" si="195">IF(AND($I325="yes",$C325&lt;=1949,L325&lt;&gt;""),L325,"")</f>
        <v/>
      </c>
      <c r="AW325" s="1" t="str">
        <f t="shared" ref="AW325:AW388" si="196">IF(AND($I325="yes",$C325&lt;=1949,M325&lt;&gt;""),M325,"")</f>
        <v/>
      </c>
      <c r="AX325" s="1" t="str">
        <f t="shared" ref="AX325:AX388" si="197">IF(AND($I325="yes",$C325&lt;=1949,N325&lt;&gt;""),N325,"")</f>
        <v/>
      </c>
      <c r="AY325" s="1" t="str">
        <f t="shared" ref="AY325:AY388" si="198">IF(AND($I325="yes",$C325&lt;=1949,O325&lt;&gt;""),O325,"")</f>
        <v/>
      </c>
      <c r="AZ325" s="1" t="str">
        <f t="shared" ref="AZ325:AZ388" si="199">IF(AND($I325="yes",$C325&lt;=1949,P325&lt;&gt;""),P325,"")</f>
        <v/>
      </c>
      <c r="BA325" s="1" t="str">
        <f t="shared" ref="BA325:BA388" si="200">IF(AND($I325="yes",$C325&lt;=1949,Q325&lt;&gt;""),Q325,"")</f>
        <v/>
      </c>
      <c r="BB325" s="1" t="str">
        <f t="shared" ref="BB325:BB388" si="201">IF(AND($I325="yes",$C325&lt;=1949,R325&lt;&gt;""),R325,"")</f>
        <v/>
      </c>
      <c r="BC325" s="1" t="str">
        <f t="shared" ref="BC325:BC388" si="202">IF(AND($I325="yes",$C325&gt;=2000,K325&lt;&gt;""),K325,"")</f>
        <v/>
      </c>
      <c r="BD325" s="1" t="str">
        <f t="shared" ref="BD325:BD388" si="203">IF(AND($I325="yes",$C325&gt;=2000,L325&lt;&gt;""),L325,"")</f>
        <v/>
      </c>
      <c r="BE325" s="1" t="str">
        <f t="shared" ref="BE325:BE388" si="204">IF(AND($I325="yes",$C325&gt;=2000,M325&lt;&gt;""),M325,"")</f>
        <v/>
      </c>
      <c r="BF325" s="1" t="str">
        <f t="shared" ref="BF325:BF388" si="205">IF(AND($I325="yes",$C325&gt;=2000,N325&lt;&gt;""),N325,"")</f>
        <v/>
      </c>
      <c r="BG325" s="1" t="str">
        <f t="shared" ref="BG325:BG388" si="206">IF(AND($I325="yes",$C325&gt;=2000,O325&lt;&gt;""),O325,"")</f>
        <v/>
      </c>
      <c r="BH325" s="1" t="str">
        <f t="shared" ref="BH325:BH388" si="207">IF(AND($I325="yes",$C325&gt;=2000,P325&lt;&gt;""),P325,"")</f>
        <v/>
      </c>
      <c r="BI325" s="1" t="str">
        <f t="shared" ref="BI325:BI388" si="208">IF(AND($I325="yes",$C325&gt;=2000,Q325&lt;&gt;""),Q325,"")</f>
        <v/>
      </c>
      <c r="BJ325" s="1" t="str">
        <f t="shared" ref="BJ325:BJ388" si="209">IF(AND($I325="yes",$C325&gt;=2000,R325&lt;&gt;""),R325,"")</f>
        <v/>
      </c>
    </row>
    <row r="326" ht="14.25" customHeight="1" spans="1:62">
      <c r="A326" s="10">
        <v>322</v>
      </c>
      <c r="B326" s="36" t="s">
        <v>1126</v>
      </c>
      <c r="C326" s="10">
        <v>1970</v>
      </c>
      <c r="D326" s="10">
        <f t="shared" si="175"/>
        <v>1970</v>
      </c>
      <c r="E326" s="36" t="s">
        <v>801</v>
      </c>
      <c r="F326" s="35" t="s">
        <v>1129</v>
      </c>
      <c r="G326" s="36" t="s">
        <v>1130</v>
      </c>
      <c r="H326" s="10" t="s">
        <v>139</v>
      </c>
      <c r="I326" s="10" t="s">
        <v>140</v>
      </c>
      <c r="J326" s="36" t="s">
        <v>807</v>
      </c>
      <c r="K326" s="10">
        <v>4</v>
      </c>
      <c r="L326" s="10">
        <v>4</v>
      </c>
      <c r="M326" s="10">
        <v>4</v>
      </c>
      <c r="N326" s="10">
        <v>5</v>
      </c>
      <c r="O326" s="10">
        <v>5</v>
      </c>
      <c r="P326" s="10">
        <v>5</v>
      </c>
      <c r="Q326" s="10">
        <v>1</v>
      </c>
      <c r="R326" s="10">
        <v>5</v>
      </c>
      <c r="S326" s="10">
        <f t="shared" si="176"/>
        <v>0.75</v>
      </c>
      <c r="T326" s="10">
        <f t="shared" si="177"/>
        <v>0.75</v>
      </c>
      <c r="U326" s="10">
        <f t="shared" si="178"/>
        <v>0.75</v>
      </c>
      <c r="V326" s="10">
        <f t="shared" si="179"/>
        <v>1</v>
      </c>
      <c r="W326" s="10">
        <f t="shared" si="180"/>
        <v>1</v>
      </c>
      <c r="X326" s="10">
        <f t="shared" si="181"/>
        <v>1</v>
      </c>
      <c r="Y326" s="10">
        <f t="shared" si="182"/>
        <v>0</v>
      </c>
      <c r="Z326" s="10">
        <f t="shared" si="183"/>
        <v>1</v>
      </c>
      <c r="AA326" s="10" t="str">
        <f t="shared" si="184"/>
        <v/>
      </c>
      <c r="AB326" s="10" t="str">
        <f t="shared" si="185"/>
        <v/>
      </c>
      <c r="AC326" s="10" t="str">
        <f t="shared" si="186"/>
        <v/>
      </c>
      <c r="AD326" s="10" t="str">
        <f t="shared" si="187"/>
        <v/>
      </c>
      <c r="AE326" s="10" t="str">
        <f t="shared" si="188"/>
        <v/>
      </c>
      <c r="AF326" s="10" t="str">
        <f t="shared" si="189"/>
        <v/>
      </c>
      <c r="AG326" s="10" t="str">
        <f t="shared" si="190"/>
        <v/>
      </c>
      <c r="AH326" s="10" t="str">
        <f t="shared" si="191"/>
        <v/>
      </c>
      <c r="AI326" s="10">
        <f>IF(OR(S326="",'4_BENCHMARK'!$C$4=""),"",ABS(S326-'4_BENCHMARK'!$C$4))</f>
        <v>0.25</v>
      </c>
      <c r="AJ326" s="10">
        <f>IF(OR(T326="",'4_BENCHMARK'!$C$5=""),"",ABS(T326-'4_BENCHMARK'!$C$5))</f>
        <v>0.25</v>
      </c>
      <c r="AK326" s="10">
        <f>IF(OR(U326="",'4_BENCHMARK'!$C$6=""),"",ABS(U326-'4_BENCHMARK'!$C$6))</f>
        <v>0.25</v>
      </c>
      <c r="AL326" s="10">
        <f>IF(OR(V326="",'4_BENCHMARK'!$C$7=""),"",ABS(V326-'4_BENCHMARK'!$C$7))</f>
        <v>0</v>
      </c>
      <c r="AM326" s="10">
        <f>IF(OR(W326="",'4_BENCHMARK'!$C$8=""),"",ABS(W326-'4_BENCHMARK'!$C$8))</f>
        <v>1</v>
      </c>
      <c r="AN326" s="10">
        <f>IF(OR(X326="",'4_BENCHMARK'!$C$9=""),"",ABS(X326-'4_BENCHMARK'!$C$9))</f>
        <v>1</v>
      </c>
      <c r="AO326" s="10">
        <f>IF(OR(Y326="",'4_BENCHMARK'!$C$10=""),"",ABS(Y326-'4_BENCHMARK'!$C$10))</f>
        <v>0.5</v>
      </c>
      <c r="AP326" s="10">
        <f>IF(OR(Z326="",'4_BENCHMARK'!$C$11=""),"",ABS(Z326-'4_BENCHMARK'!$C$11))</f>
        <v>0</v>
      </c>
      <c r="AQ326" s="13">
        <f t="shared" si="192"/>
        <v>0.59375</v>
      </c>
      <c r="AR326" s="10"/>
      <c r="AS326" s="36" t="s">
        <v>149</v>
      </c>
      <c r="AT326" s="13">
        <f t="shared" si="193"/>
        <v>0.791666666666667</v>
      </c>
      <c r="AU326" s="1" t="str">
        <f t="shared" si="194"/>
        <v/>
      </c>
      <c r="AV326" s="1" t="str">
        <f t="shared" si="195"/>
        <v/>
      </c>
      <c r="AW326" s="1" t="str">
        <f t="shared" si="196"/>
        <v/>
      </c>
      <c r="AX326" s="1" t="str">
        <f t="shared" si="197"/>
        <v/>
      </c>
      <c r="AY326" s="1" t="str">
        <f t="shared" si="198"/>
        <v/>
      </c>
      <c r="AZ326" s="1" t="str">
        <f t="shared" si="199"/>
        <v/>
      </c>
      <c r="BA326" s="1" t="str">
        <f t="shared" si="200"/>
        <v/>
      </c>
      <c r="BB326" s="1" t="str">
        <f t="shared" si="201"/>
        <v/>
      </c>
      <c r="BC326" s="1" t="str">
        <f t="shared" si="202"/>
        <v/>
      </c>
      <c r="BD326" s="1" t="str">
        <f t="shared" si="203"/>
        <v/>
      </c>
      <c r="BE326" s="1" t="str">
        <f t="shared" si="204"/>
        <v/>
      </c>
      <c r="BF326" s="1" t="str">
        <f t="shared" si="205"/>
        <v/>
      </c>
      <c r="BG326" s="1" t="str">
        <f t="shared" si="206"/>
        <v/>
      </c>
      <c r="BH326" s="1" t="str">
        <f t="shared" si="207"/>
        <v/>
      </c>
      <c r="BI326" s="1" t="str">
        <f t="shared" si="208"/>
        <v/>
      </c>
      <c r="BJ326" s="1" t="str">
        <f t="shared" si="209"/>
        <v/>
      </c>
    </row>
    <row r="327" ht="14.25" customHeight="1" spans="1:62">
      <c r="A327" s="10">
        <v>323</v>
      </c>
      <c r="B327" s="36" t="s">
        <v>1131</v>
      </c>
      <c r="C327" s="10">
        <v>1970</v>
      </c>
      <c r="D327" s="10">
        <f t="shared" si="175"/>
        <v>1970</v>
      </c>
      <c r="E327" s="36" t="s">
        <v>136</v>
      </c>
      <c r="F327" s="35" t="s">
        <v>1132</v>
      </c>
      <c r="G327" s="36" t="s">
        <v>1133</v>
      </c>
      <c r="H327" s="10" t="s">
        <v>139</v>
      </c>
      <c r="I327" s="10" t="s">
        <v>140</v>
      </c>
      <c r="J327" s="36" t="s">
        <v>807</v>
      </c>
      <c r="K327" s="10">
        <v>5</v>
      </c>
      <c r="L327" s="10">
        <v>5</v>
      </c>
      <c r="M327" s="10">
        <v>5</v>
      </c>
      <c r="N327" s="10">
        <v>5</v>
      </c>
      <c r="O327" s="10">
        <v>5</v>
      </c>
      <c r="P327" s="10">
        <v>5</v>
      </c>
      <c r="Q327" s="10">
        <v>2</v>
      </c>
      <c r="R327" s="10">
        <v>5</v>
      </c>
      <c r="S327" s="10">
        <f t="shared" si="176"/>
        <v>1</v>
      </c>
      <c r="T327" s="10">
        <f t="shared" si="177"/>
        <v>1</v>
      </c>
      <c r="U327" s="10">
        <f t="shared" si="178"/>
        <v>1</v>
      </c>
      <c r="V327" s="10">
        <f t="shared" si="179"/>
        <v>1</v>
      </c>
      <c r="W327" s="10">
        <f t="shared" si="180"/>
        <v>1</v>
      </c>
      <c r="X327" s="10">
        <f t="shared" si="181"/>
        <v>1</v>
      </c>
      <c r="Y327" s="10">
        <f t="shared" si="182"/>
        <v>0.25</v>
      </c>
      <c r="Z327" s="10">
        <f t="shared" si="183"/>
        <v>1</v>
      </c>
      <c r="AA327" s="10" t="str">
        <f t="shared" si="184"/>
        <v/>
      </c>
      <c r="AB327" s="10" t="str">
        <f t="shared" si="185"/>
        <v/>
      </c>
      <c r="AC327" s="10" t="str">
        <f t="shared" si="186"/>
        <v/>
      </c>
      <c r="AD327" s="10" t="str">
        <f t="shared" si="187"/>
        <v/>
      </c>
      <c r="AE327" s="10" t="str">
        <f t="shared" si="188"/>
        <v/>
      </c>
      <c r="AF327" s="10" t="str">
        <f t="shared" si="189"/>
        <v/>
      </c>
      <c r="AG327" s="10" t="str">
        <f t="shared" si="190"/>
        <v/>
      </c>
      <c r="AH327" s="10" t="str">
        <f t="shared" si="191"/>
        <v/>
      </c>
      <c r="AI327" s="10">
        <f>IF(OR(S327="",'4_BENCHMARK'!$C$4=""),"",ABS(S327-'4_BENCHMARK'!$C$4))</f>
        <v>0</v>
      </c>
      <c r="AJ327" s="10">
        <f>IF(OR(T327="",'4_BENCHMARK'!$C$5=""),"",ABS(T327-'4_BENCHMARK'!$C$5))</f>
        <v>0</v>
      </c>
      <c r="AK327" s="10">
        <f>IF(OR(U327="",'4_BENCHMARK'!$C$6=""),"",ABS(U327-'4_BENCHMARK'!$C$6))</f>
        <v>0</v>
      </c>
      <c r="AL327" s="10">
        <f>IF(OR(V327="",'4_BENCHMARK'!$C$7=""),"",ABS(V327-'4_BENCHMARK'!$C$7))</f>
        <v>0</v>
      </c>
      <c r="AM327" s="10">
        <f>IF(OR(W327="",'4_BENCHMARK'!$C$8=""),"",ABS(W327-'4_BENCHMARK'!$C$8))</f>
        <v>1</v>
      </c>
      <c r="AN327" s="10">
        <f>IF(OR(X327="",'4_BENCHMARK'!$C$9=""),"",ABS(X327-'4_BENCHMARK'!$C$9))</f>
        <v>1</v>
      </c>
      <c r="AO327" s="10">
        <f>IF(OR(Y327="",'4_BENCHMARK'!$C$10=""),"",ABS(Y327-'4_BENCHMARK'!$C$10))</f>
        <v>0.25</v>
      </c>
      <c r="AP327" s="10">
        <f>IF(OR(Z327="",'4_BENCHMARK'!$C$11=""),"",ABS(Z327-'4_BENCHMARK'!$C$11))</f>
        <v>0</v>
      </c>
      <c r="AQ327" s="13">
        <f t="shared" si="192"/>
        <v>0.71875</v>
      </c>
      <c r="AR327" s="10"/>
      <c r="AS327" s="36" t="s">
        <v>149</v>
      </c>
      <c r="AT327" s="13">
        <f t="shared" si="193"/>
        <v>0.958333333333333</v>
      </c>
      <c r="AU327" s="1" t="str">
        <f t="shared" si="194"/>
        <v/>
      </c>
      <c r="AV327" s="1" t="str">
        <f t="shared" si="195"/>
        <v/>
      </c>
      <c r="AW327" s="1" t="str">
        <f t="shared" si="196"/>
        <v/>
      </c>
      <c r="AX327" s="1" t="str">
        <f t="shared" si="197"/>
        <v/>
      </c>
      <c r="AY327" s="1" t="str">
        <f t="shared" si="198"/>
        <v/>
      </c>
      <c r="AZ327" s="1" t="str">
        <f t="shared" si="199"/>
        <v/>
      </c>
      <c r="BA327" s="1" t="str">
        <f t="shared" si="200"/>
        <v/>
      </c>
      <c r="BB327" s="1" t="str">
        <f t="shared" si="201"/>
        <v/>
      </c>
      <c r="BC327" s="1" t="str">
        <f t="shared" si="202"/>
        <v/>
      </c>
      <c r="BD327" s="1" t="str">
        <f t="shared" si="203"/>
        <v/>
      </c>
      <c r="BE327" s="1" t="str">
        <f t="shared" si="204"/>
        <v/>
      </c>
      <c r="BF327" s="1" t="str">
        <f t="shared" si="205"/>
        <v/>
      </c>
      <c r="BG327" s="1" t="str">
        <f t="shared" si="206"/>
        <v/>
      </c>
      <c r="BH327" s="1" t="str">
        <f t="shared" si="207"/>
        <v/>
      </c>
      <c r="BI327" s="1" t="str">
        <f t="shared" si="208"/>
        <v/>
      </c>
      <c r="BJ327" s="1" t="str">
        <f t="shared" si="209"/>
        <v/>
      </c>
    </row>
    <row r="328" ht="14.25" customHeight="1" spans="1:62">
      <c r="A328" s="10">
        <v>324</v>
      </c>
      <c r="B328" s="36" t="s">
        <v>1134</v>
      </c>
      <c r="C328" s="10">
        <v>1970</v>
      </c>
      <c r="D328" s="10">
        <f t="shared" si="175"/>
        <v>1970</v>
      </c>
      <c r="E328" s="36" t="s">
        <v>136</v>
      </c>
      <c r="F328" s="35" t="s">
        <v>1135</v>
      </c>
      <c r="G328" s="36" t="s">
        <v>1136</v>
      </c>
      <c r="H328" s="10" t="s">
        <v>139</v>
      </c>
      <c r="I328" s="10" t="s">
        <v>140</v>
      </c>
      <c r="J328" s="36" t="s">
        <v>470</v>
      </c>
      <c r="K328" s="10">
        <v>5</v>
      </c>
      <c r="L328" s="10">
        <v>5</v>
      </c>
      <c r="M328" s="10">
        <v>5</v>
      </c>
      <c r="N328" s="10">
        <v>5</v>
      </c>
      <c r="O328" s="10">
        <v>5</v>
      </c>
      <c r="P328" s="10">
        <v>5</v>
      </c>
      <c r="Q328" s="10">
        <v>3</v>
      </c>
      <c r="R328" s="10">
        <v>5</v>
      </c>
      <c r="S328" s="10">
        <f t="shared" si="176"/>
        <v>1</v>
      </c>
      <c r="T328" s="10">
        <f t="shared" si="177"/>
        <v>1</v>
      </c>
      <c r="U328" s="10">
        <f t="shared" si="178"/>
        <v>1</v>
      </c>
      <c r="V328" s="10">
        <f t="shared" si="179"/>
        <v>1</v>
      </c>
      <c r="W328" s="10">
        <f t="shared" si="180"/>
        <v>1</v>
      </c>
      <c r="X328" s="10">
        <f t="shared" si="181"/>
        <v>1</v>
      </c>
      <c r="Y328" s="10">
        <f t="shared" si="182"/>
        <v>0.5</v>
      </c>
      <c r="Z328" s="10">
        <f t="shared" si="183"/>
        <v>1</v>
      </c>
      <c r="AA328" s="10" t="str">
        <f t="shared" si="184"/>
        <v/>
      </c>
      <c r="AB328" s="10" t="str">
        <f t="shared" si="185"/>
        <v/>
      </c>
      <c r="AC328" s="10" t="str">
        <f t="shared" si="186"/>
        <v/>
      </c>
      <c r="AD328" s="10" t="str">
        <f t="shared" si="187"/>
        <v/>
      </c>
      <c r="AE328" s="10" t="str">
        <f t="shared" si="188"/>
        <v/>
      </c>
      <c r="AF328" s="10" t="str">
        <f t="shared" si="189"/>
        <v/>
      </c>
      <c r="AG328" s="10" t="str">
        <f t="shared" si="190"/>
        <v/>
      </c>
      <c r="AH328" s="10" t="str">
        <f t="shared" si="191"/>
        <v/>
      </c>
      <c r="AI328" s="10">
        <f>IF(OR(S328="",'4_BENCHMARK'!$C$4=""),"",ABS(S328-'4_BENCHMARK'!$C$4))</f>
        <v>0</v>
      </c>
      <c r="AJ328" s="10">
        <f>IF(OR(T328="",'4_BENCHMARK'!$C$5=""),"",ABS(T328-'4_BENCHMARK'!$C$5))</f>
        <v>0</v>
      </c>
      <c r="AK328" s="10">
        <f>IF(OR(U328="",'4_BENCHMARK'!$C$6=""),"",ABS(U328-'4_BENCHMARK'!$C$6))</f>
        <v>0</v>
      </c>
      <c r="AL328" s="10">
        <f>IF(OR(V328="",'4_BENCHMARK'!$C$7=""),"",ABS(V328-'4_BENCHMARK'!$C$7))</f>
        <v>0</v>
      </c>
      <c r="AM328" s="10">
        <f>IF(OR(W328="",'4_BENCHMARK'!$C$8=""),"",ABS(W328-'4_BENCHMARK'!$C$8))</f>
        <v>1</v>
      </c>
      <c r="AN328" s="10">
        <f>IF(OR(X328="",'4_BENCHMARK'!$C$9=""),"",ABS(X328-'4_BENCHMARK'!$C$9))</f>
        <v>1</v>
      </c>
      <c r="AO328" s="10">
        <f>IF(OR(Y328="",'4_BENCHMARK'!$C$10=""),"",ABS(Y328-'4_BENCHMARK'!$C$10))</f>
        <v>0</v>
      </c>
      <c r="AP328" s="10">
        <f>IF(OR(Z328="",'4_BENCHMARK'!$C$11=""),"",ABS(Z328-'4_BENCHMARK'!$C$11))</f>
        <v>0</v>
      </c>
      <c r="AQ328" s="13">
        <f t="shared" si="192"/>
        <v>0.75</v>
      </c>
      <c r="AR328" s="10"/>
      <c r="AS328" s="36" t="s">
        <v>141</v>
      </c>
      <c r="AT328" s="13">
        <f t="shared" si="193"/>
        <v>1</v>
      </c>
      <c r="AU328" s="1" t="str">
        <f t="shared" si="194"/>
        <v/>
      </c>
      <c r="AV328" s="1" t="str">
        <f t="shared" si="195"/>
        <v/>
      </c>
      <c r="AW328" s="1" t="str">
        <f t="shared" si="196"/>
        <v/>
      </c>
      <c r="AX328" s="1" t="str">
        <f t="shared" si="197"/>
        <v/>
      </c>
      <c r="AY328" s="1" t="str">
        <f t="shared" si="198"/>
        <v/>
      </c>
      <c r="AZ328" s="1" t="str">
        <f t="shared" si="199"/>
        <v/>
      </c>
      <c r="BA328" s="1" t="str">
        <f t="shared" si="200"/>
        <v/>
      </c>
      <c r="BB328" s="1" t="str">
        <f t="shared" si="201"/>
        <v/>
      </c>
      <c r="BC328" s="1" t="str">
        <f t="shared" si="202"/>
        <v/>
      </c>
      <c r="BD328" s="1" t="str">
        <f t="shared" si="203"/>
        <v/>
      </c>
      <c r="BE328" s="1" t="str">
        <f t="shared" si="204"/>
        <v/>
      </c>
      <c r="BF328" s="1" t="str">
        <f t="shared" si="205"/>
        <v/>
      </c>
      <c r="BG328" s="1" t="str">
        <f t="shared" si="206"/>
        <v/>
      </c>
      <c r="BH328" s="1" t="str">
        <f t="shared" si="207"/>
        <v/>
      </c>
      <c r="BI328" s="1" t="str">
        <f t="shared" si="208"/>
        <v/>
      </c>
      <c r="BJ328" s="1" t="str">
        <f t="shared" si="209"/>
        <v/>
      </c>
    </row>
    <row r="329" ht="14.25" customHeight="1" spans="1:62">
      <c r="A329" s="10">
        <v>325</v>
      </c>
      <c r="B329" s="36" t="s">
        <v>1137</v>
      </c>
      <c r="C329" s="10">
        <v>1970</v>
      </c>
      <c r="D329" s="10">
        <f t="shared" ref="D329:D360" si="210">IF(C329="","",FLOOR(C329,10))</f>
        <v>1970</v>
      </c>
      <c r="E329" s="36" t="s">
        <v>136</v>
      </c>
      <c r="F329" s="35" t="s">
        <v>1135</v>
      </c>
      <c r="G329" s="36" t="s">
        <v>1138</v>
      </c>
      <c r="H329" s="10" t="s">
        <v>139</v>
      </c>
      <c r="I329" s="10" t="s">
        <v>140</v>
      </c>
      <c r="J329" s="36" t="s">
        <v>470</v>
      </c>
      <c r="K329" s="10">
        <v>5</v>
      </c>
      <c r="L329" s="10">
        <v>5</v>
      </c>
      <c r="M329" s="10">
        <v>5</v>
      </c>
      <c r="N329" s="10">
        <v>5</v>
      </c>
      <c r="O329" s="10">
        <v>5</v>
      </c>
      <c r="P329" s="10">
        <v>5</v>
      </c>
      <c r="Q329" s="10">
        <v>3</v>
      </c>
      <c r="R329" s="10">
        <v>5</v>
      </c>
      <c r="S329" s="10">
        <f t="shared" si="176"/>
        <v>1</v>
      </c>
      <c r="T329" s="10">
        <f t="shared" si="177"/>
        <v>1</v>
      </c>
      <c r="U329" s="10">
        <f t="shared" si="178"/>
        <v>1</v>
      </c>
      <c r="V329" s="10">
        <f t="shared" si="179"/>
        <v>1</v>
      </c>
      <c r="W329" s="10">
        <f t="shared" si="180"/>
        <v>1</v>
      </c>
      <c r="X329" s="10">
        <f t="shared" si="181"/>
        <v>1</v>
      </c>
      <c r="Y329" s="10">
        <f t="shared" si="182"/>
        <v>0.5</v>
      </c>
      <c r="Z329" s="10">
        <f t="shared" si="183"/>
        <v>1</v>
      </c>
      <c r="AA329" s="10" t="str">
        <f t="shared" si="184"/>
        <v/>
      </c>
      <c r="AB329" s="10" t="str">
        <f t="shared" si="185"/>
        <v/>
      </c>
      <c r="AC329" s="10" t="str">
        <f t="shared" si="186"/>
        <v/>
      </c>
      <c r="AD329" s="10" t="str">
        <f t="shared" si="187"/>
        <v/>
      </c>
      <c r="AE329" s="10" t="str">
        <f t="shared" si="188"/>
        <v/>
      </c>
      <c r="AF329" s="10" t="str">
        <f t="shared" si="189"/>
        <v/>
      </c>
      <c r="AG329" s="10" t="str">
        <f t="shared" si="190"/>
        <v/>
      </c>
      <c r="AH329" s="10" t="str">
        <f t="shared" si="191"/>
        <v/>
      </c>
      <c r="AI329" s="10">
        <f>IF(OR(S329="",'4_BENCHMARK'!$C$4=""),"",ABS(S329-'4_BENCHMARK'!$C$4))</f>
        <v>0</v>
      </c>
      <c r="AJ329" s="10">
        <f>IF(OR(T329="",'4_BENCHMARK'!$C$5=""),"",ABS(T329-'4_BENCHMARK'!$C$5))</f>
        <v>0</v>
      </c>
      <c r="AK329" s="10">
        <f>IF(OR(U329="",'4_BENCHMARK'!$C$6=""),"",ABS(U329-'4_BENCHMARK'!$C$6))</f>
        <v>0</v>
      </c>
      <c r="AL329" s="10">
        <f>IF(OR(V329="",'4_BENCHMARK'!$C$7=""),"",ABS(V329-'4_BENCHMARK'!$C$7))</f>
        <v>0</v>
      </c>
      <c r="AM329" s="10">
        <f>IF(OR(W329="",'4_BENCHMARK'!$C$8=""),"",ABS(W329-'4_BENCHMARK'!$C$8))</f>
        <v>1</v>
      </c>
      <c r="AN329" s="10">
        <f>IF(OR(X329="",'4_BENCHMARK'!$C$9=""),"",ABS(X329-'4_BENCHMARK'!$C$9))</f>
        <v>1</v>
      </c>
      <c r="AO329" s="10">
        <f>IF(OR(Y329="",'4_BENCHMARK'!$C$10=""),"",ABS(Y329-'4_BENCHMARK'!$C$10))</f>
        <v>0</v>
      </c>
      <c r="AP329" s="10">
        <f>IF(OR(Z329="",'4_BENCHMARK'!$C$11=""),"",ABS(Z329-'4_BENCHMARK'!$C$11))</f>
        <v>0</v>
      </c>
      <c r="AQ329" s="13">
        <f t="shared" si="192"/>
        <v>0.75</v>
      </c>
      <c r="AR329" s="10"/>
      <c r="AS329" s="36" t="s">
        <v>141</v>
      </c>
      <c r="AT329" s="13">
        <f t="shared" si="193"/>
        <v>1</v>
      </c>
      <c r="AU329" s="1" t="str">
        <f t="shared" si="194"/>
        <v/>
      </c>
      <c r="AV329" s="1" t="str">
        <f t="shared" si="195"/>
        <v/>
      </c>
      <c r="AW329" s="1" t="str">
        <f t="shared" si="196"/>
        <v/>
      </c>
      <c r="AX329" s="1" t="str">
        <f t="shared" si="197"/>
        <v/>
      </c>
      <c r="AY329" s="1" t="str">
        <f t="shared" si="198"/>
        <v/>
      </c>
      <c r="AZ329" s="1" t="str">
        <f t="shared" si="199"/>
        <v/>
      </c>
      <c r="BA329" s="1" t="str">
        <f t="shared" si="200"/>
        <v/>
      </c>
      <c r="BB329" s="1" t="str">
        <f t="shared" si="201"/>
        <v/>
      </c>
      <c r="BC329" s="1" t="str">
        <f t="shared" si="202"/>
        <v/>
      </c>
      <c r="BD329" s="1" t="str">
        <f t="shared" si="203"/>
        <v/>
      </c>
      <c r="BE329" s="1" t="str">
        <f t="shared" si="204"/>
        <v/>
      </c>
      <c r="BF329" s="1" t="str">
        <f t="shared" si="205"/>
        <v/>
      </c>
      <c r="BG329" s="1" t="str">
        <f t="shared" si="206"/>
        <v/>
      </c>
      <c r="BH329" s="1" t="str">
        <f t="shared" si="207"/>
        <v/>
      </c>
      <c r="BI329" s="1" t="str">
        <f t="shared" si="208"/>
        <v/>
      </c>
      <c r="BJ329" s="1" t="str">
        <f t="shared" si="209"/>
        <v/>
      </c>
    </row>
    <row r="330" ht="14.25" customHeight="1" spans="1:62">
      <c r="A330" s="10">
        <v>326</v>
      </c>
      <c r="B330" s="36" t="s">
        <v>1139</v>
      </c>
      <c r="C330" s="10">
        <v>1970</v>
      </c>
      <c r="D330" s="10">
        <f t="shared" si="210"/>
        <v>1970</v>
      </c>
      <c r="E330" s="36" t="s">
        <v>136</v>
      </c>
      <c r="F330" s="35" t="s">
        <v>1140</v>
      </c>
      <c r="G330" s="36" t="s">
        <v>1141</v>
      </c>
      <c r="H330" s="10" t="s">
        <v>139</v>
      </c>
      <c r="I330" s="10" t="s">
        <v>140</v>
      </c>
      <c r="J330" s="36" t="s">
        <v>470</v>
      </c>
      <c r="K330" s="10">
        <v>5</v>
      </c>
      <c r="L330" s="10">
        <v>4</v>
      </c>
      <c r="M330" s="10">
        <v>5</v>
      </c>
      <c r="N330" s="10">
        <v>5</v>
      </c>
      <c r="O330" s="10">
        <v>1</v>
      </c>
      <c r="P330" s="10">
        <v>1</v>
      </c>
      <c r="Q330" s="10">
        <v>2</v>
      </c>
      <c r="R330" s="10">
        <v>5</v>
      </c>
      <c r="S330" s="10">
        <f t="shared" si="176"/>
        <v>1</v>
      </c>
      <c r="T330" s="10">
        <f t="shared" si="177"/>
        <v>0.75</v>
      </c>
      <c r="U330" s="10">
        <f t="shared" si="178"/>
        <v>1</v>
      </c>
      <c r="V330" s="10">
        <f t="shared" si="179"/>
        <v>1</v>
      </c>
      <c r="W330" s="10">
        <f t="shared" si="180"/>
        <v>0</v>
      </c>
      <c r="X330" s="10">
        <f t="shared" si="181"/>
        <v>0</v>
      </c>
      <c r="Y330" s="10">
        <f t="shared" si="182"/>
        <v>0.25</v>
      </c>
      <c r="Z330" s="10">
        <f t="shared" si="183"/>
        <v>1</v>
      </c>
      <c r="AA330" s="10" t="str">
        <f t="shared" si="184"/>
        <v/>
      </c>
      <c r="AB330" s="10" t="str">
        <f t="shared" si="185"/>
        <v/>
      </c>
      <c r="AC330" s="10" t="str">
        <f t="shared" si="186"/>
        <v/>
      </c>
      <c r="AD330" s="10" t="str">
        <f t="shared" si="187"/>
        <v/>
      </c>
      <c r="AE330" s="10" t="str">
        <f t="shared" si="188"/>
        <v/>
      </c>
      <c r="AF330" s="10" t="str">
        <f t="shared" si="189"/>
        <v/>
      </c>
      <c r="AG330" s="10" t="str">
        <f t="shared" si="190"/>
        <v/>
      </c>
      <c r="AH330" s="10" t="str">
        <f t="shared" si="191"/>
        <v/>
      </c>
      <c r="AI330" s="10">
        <f>IF(OR(S330="",'4_BENCHMARK'!$C$4=""),"",ABS(S330-'4_BENCHMARK'!$C$4))</f>
        <v>0</v>
      </c>
      <c r="AJ330" s="10">
        <f>IF(OR(T330="",'4_BENCHMARK'!$C$5=""),"",ABS(T330-'4_BENCHMARK'!$C$5))</f>
        <v>0.25</v>
      </c>
      <c r="AK330" s="10">
        <f>IF(OR(U330="",'4_BENCHMARK'!$C$6=""),"",ABS(U330-'4_BENCHMARK'!$C$6))</f>
        <v>0</v>
      </c>
      <c r="AL330" s="10">
        <f>IF(OR(V330="",'4_BENCHMARK'!$C$7=""),"",ABS(V330-'4_BENCHMARK'!$C$7))</f>
        <v>0</v>
      </c>
      <c r="AM330" s="10">
        <f>IF(OR(W330="",'4_BENCHMARK'!$C$8=""),"",ABS(W330-'4_BENCHMARK'!$C$8))</f>
        <v>0</v>
      </c>
      <c r="AN330" s="10">
        <f>IF(OR(X330="",'4_BENCHMARK'!$C$9=""),"",ABS(X330-'4_BENCHMARK'!$C$9))</f>
        <v>0</v>
      </c>
      <c r="AO330" s="10">
        <f>IF(OR(Y330="",'4_BENCHMARK'!$C$10=""),"",ABS(Y330-'4_BENCHMARK'!$C$10))</f>
        <v>0.25</v>
      </c>
      <c r="AP330" s="10">
        <f>IF(OR(Z330="",'4_BENCHMARK'!$C$11=""),"",ABS(Z330-'4_BENCHMARK'!$C$11))</f>
        <v>0</v>
      </c>
      <c r="AQ330" s="13">
        <f t="shared" si="192"/>
        <v>0.9375</v>
      </c>
      <c r="AR330" s="10"/>
      <c r="AS330" s="36" t="s">
        <v>141</v>
      </c>
      <c r="AT330" s="13">
        <f t="shared" si="193"/>
        <v>0.916666666666667</v>
      </c>
      <c r="AU330" s="1" t="str">
        <f t="shared" si="194"/>
        <v/>
      </c>
      <c r="AV330" s="1" t="str">
        <f t="shared" si="195"/>
        <v/>
      </c>
      <c r="AW330" s="1" t="str">
        <f t="shared" si="196"/>
        <v/>
      </c>
      <c r="AX330" s="1" t="str">
        <f t="shared" si="197"/>
        <v/>
      </c>
      <c r="AY330" s="1" t="str">
        <f t="shared" si="198"/>
        <v/>
      </c>
      <c r="AZ330" s="1" t="str">
        <f t="shared" si="199"/>
        <v/>
      </c>
      <c r="BA330" s="1" t="str">
        <f t="shared" si="200"/>
        <v/>
      </c>
      <c r="BB330" s="1" t="str">
        <f t="shared" si="201"/>
        <v/>
      </c>
      <c r="BC330" s="1" t="str">
        <f t="shared" si="202"/>
        <v/>
      </c>
      <c r="BD330" s="1" t="str">
        <f t="shared" si="203"/>
        <v/>
      </c>
      <c r="BE330" s="1" t="str">
        <f t="shared" si="204"/>
        <v/>
      </c>
      <c r="BF330" s="1" t="str">
        <f t="shared" si="205"/>
        <v/>
      </c>
      <c r="BG330" s="1" t="str">
        <f t="shared" si="206"/>
        <v/>
      </c>
      <c r="BH330" s="1" t="str">
        <f t="shared" si="207"/>
        <v/>
      </c>
      <c r="BI330" s="1" t="str">
        <f t="shared" si="208"/>
        <v/>
      </c>
      <c r="BJ330" s="1" t="str">
        <f t="shared" si="209"/>
        <v/>
      </c>
    </row>
    <row r="331" ht="14.25" customHeight="1" spans="1:62">
      <c r="A331" s="10">
        <v>327</v>
      </c>
      <c r="B331" s="42" t="s">
        <v>1142</v>
      </c>
      <c r="C331" s="10">
        <v>1980</v>
      </c>
      <c r="D331" s="10">
        <f t="shared" si="210"/>
        <v>1980</v>
      </c>
      <c r="E331" s="36" t="s">
        <v>1143</v>
      </c>
      <c r="F331" s="35" t="s">
        <v>1144</v>
      </c>
      <c r="G331" s="36" t="s">
        <v>1145</v>
      </c>
      <c r="H331" s="10" t="s">
        <v>139</v>
      </c>
      <c r="I331" s="10" t="s">
        <v>140</v>
      </c>
      <c r="J331" s="36" t="s">
        <v>1146</v>
      </c>
      <c r="K331" s="10">
        <v>5</v>
      </c>
      <c r="L331" s="10">
        <v>5</v>
      </c>
      <c r="M331" s="10">
        <v>5</v>
      </c>
      <c r="N331" s="10">
        <v>5</v>
      </c>
      <c r="O331" s="10">
        <v>5</v>
      </c>
      <c r="P331" s="10">
        <v>5</v>
      </c>
      <c r="Q331" s="10">
        <v>3</v>
      </c>
      <c r="R331" s="10">
        <v>5</v>
      </c>
      <c r="S331" s="10">
        <f t="shared" si="176"/>
        <v>1</v>
      </c>
      <c r="T331" s="10">
        <f t="shared" si="177"/>
        <v>1</v>
      </c>
      <c r="U331" s="10">
        <f t="shared" si="178"/>
        <v>1</v>
      </c>
      <c r="V331" s="10">
        <f t="shared" si="179"/>
        <v>1</v>
      </c>
      <c r="W331" s="10">
        <f t="shared" si="180"/>
        <v>1</v>
      </c>
      <c r="X331" s="10">
        <f t="shared" si="181"/>
        <v>1</v>
      </c>
      <c r="Y331" s="10">
        <f t="shared" si="182"/>
        <v>0.5</v>
      </c>
      <c r="Z331" s="10">
        <f t="shared" si="183"/>
        <v>1</v>
      </c>
      <c r="AA331" s="10" t="str">
        <f t="shared" si="184"/>
        <v/>
      </c>
      <c r="AB331" s="10" t="str">
        <f t="shared" si="185"/>
        <v/>
      </c>
      <c r="AC331" s="10" t="str">
        <f t="shared" si="186"/>
        <v/>
      </c>
      <c r="AD331" s="10" t="str">
        <f t="shared" si="187"/>
        <v/>
      </c>
      <c r="AE331" s="10" t="str">
        <f t="shared" si="188"/>
        <v/>
      </c>
      <c r="AF331" s="10" t="str">
        <f t="shared" si="189"/>
        <v/>
      </c>
      <c r="AG331" s="10" t="str">
        <f t="shared" si="190"/>
        <v/>
      </c>
      <c r="AH331" s="10" t="str">
        <f t="shared" si="191"/>
        <v/>
      </c>
      <c r="AI331" s="10">
        <f>IF(OR(S331="",'4_BENCHMARK'!$C$4=""),"",ABS(S331-'4_BENCHMARK'!$C$4))</f>
        <v>0</v>
      </c>
      <c r="AJ331" s="10">
        <f>IF(OR(T331="",'4_BENCHMARK'!$C$5=""),"",ABS(T331-'4_BENCHMARK'!$C$5))</f>
        <v>0</v>
      </c>
      <c r="AK331" s="10">
        <f>IF(OR(U331="",'4_BENCHMARK'!$C$6=""),"",ABS(U331-'4_BENCHMARK'!$C$6))</f>
        <v>0</v>
      </c>
      <c r="AL331" s="10">
        <f>IF(OR(V331="",'4_BENCHMARK'!$C$7=""),"",ABS(V331-'4_BENCHMARK'!$C$7))</f>
        <v>0</v>
      </c>
      <c r="AM331" s="10">
        <f>IF(OR(W331="",'4_BENCHMARK'!$C$8=""),"",ABS(W331-'4_BENCHMARK'!$C$8))</f>
        <v>1</v>
      </c>
      <c r="AN331" s="10">
        <f>IF(OR(X331="",'4_BENCHMARK'!$C$9=""),"",ABS(X331-'4_BENCHMARK'!$C$9))</f>
        <v>1</v>
      </c>
      <c r="AO331" s="10">
        <f>IF(OR(Y331="",'4_BENCHMARK'!$C$10=""),"",ABS(Y331-'4_BENCHMARK'!$C$10))</f>
        <v>0</v>
      </c>
      <c r="AP331" s="10">
        <f>IF(OR(Z331="",'4_BENCHMARK'!$C$11=""),"",ABS(Z331-'4_BENCHMARK'!$C$11))</f>
        <v>0</v>
      </c>
      <c r="AQ331" s="13">
        <f t="shared" si="192"/>
        <v>0.75</v>
      </c>
      <c r="AR331" s="10"/>
      <c r="AS331" s="36" t="s">
        <v>149</v>
      </c>
      <c r="AT331" s="13">
        <f t="shared" si="193"/>
        <v>1</v>
      </c>
      <c r="AU331" s="1" t="str">
        <f t="shared" si="194"/>
        <v/>
      </c>
      <c r="AV331" s="1" t="str">
        <f t="shared" si="195"/>
        <v/>
      </c>
      <c r="AW331" s="1" t="str">
        <f t="shared" si="196"/>
        <v/>
      </c>
      <c r="AX331" s="1" t="str">
        <f t="shared" si="197"/>
        <v/>
      </c>
      <c r="AY331" s="1" t="str">
        <f t="shared" si="198"/>
        <v/>
      </c>
      <c r="AZ331" s="1" t="str">
        <f t="shared" si="199"/>
        <v/>
      </c>
      <c r="BA331" s="1" t="str">
        <f t="shared" si="200"/>
        <v/>
      </c>
      <c r="BB331" s="1" t="str">
        <f t="shared" si="201"/>
        <v/>
      </c>
      <c r="BC331" s="1" t="str">
        <f t="shared" si="202"/>
        <v/>
      </c>
      <c r="BD331" s="1" t="str">
        <f t="shared" si="203"/>
        <v/>
      </c>
      <c r="BE331" s="1" t="str">
        <f t="shared" si="204"/>
        <v/>
      </c>
      <c r="BF331" s="1" t="str">
        <f t="shared" si="205"/>
        <v/>
      </c>
      <c r="BG331" s="1" t="str">
        <f t="shared" si="206"/>
        <v/>
      </c>
      <c r="BH331" s="1" t="str">
        <f t="shared" si="207"/>
        <v/>
      </c>
      <c r="BI331" s="1" t="str">
        <f t="shared" si="208"/>
        <v/>
      </c>
      <c r="BJ331" s="1" t="str">
        <f t="shared" si="209"/>
        <v/>
      </c>
    </row>
    <row r="332" ht="14.25" customHeight="1" spans="1:62">
      <c r="A332" s="10">
        <v>328</v>
      </c>
      <c r="B332" s="42" t="s">
        <v>1147</v>
      </c>
      <c r="C332" s="10">
        <v>1970</v>
      </c>
      <c r="D332" s="10">
        <f t="shared" si="210"/>
        <v>1970</v>
      </c>
      <c r="E332" s="36" t="s">
        <v>1143</v>
      </c>
      <c r="F332" s="35" t="s">
        <v>1144</v>
      </c>
      <c r="G332" s="36" t="s">
        <v>1148</v>
      </c>
      <c r="H332" s="10" t="s">
        <v>139</v>
      </c>
      <c r="I332" s="10" t="s">
        <v>140</v>
      </c>
      <c r="J332" s="36" t="s">
        <v>807</v>
      </c>
      <c r="K332" s="10">
        <v>5</v>
      </c>
      <c r="L332" s="10">
        <v>5</v>
      </c>
      <c r="M332" s="10">
        <v>5</v>
      </c>
      <c r="N332" s="10">
        <v>5</v>
      </c>
      <c r="O332" s="10">
        <v>5</v>
      </c>
      <c r="P332" s="10">
        <v>5</v>
      </c>
      <c r="Q332" s="10">
        <v>2</v>
      </c>
      <c r="R332" s="10">
        <v>5</v>
      </c>
      <c r="S332" s="10">
        <f t="shared" si="176"/>
        <v>1</v>
      </c>
      <c r="T332" s="10">
        <f t="shared" si="177"/>
        <v>1</v>
      </c>
      <c r="U332" s="10">
        <f t="shared" si="178"/>
        <v>1</v>
      </c>
      <c r="V332" s="10">
        <f t="shared" si="179"/>
        <v>1</v>
      </c>
      <c r="W332" s="10">
        <f t="shared" si="180"/>
        <v>1</v>
      </c>
      <c r="X332" s="10">
        <f t="shared" si="181"/>
        <v>1</v>
      </c>
      <c r="Y332" s="10">
        <f t="shared" si="182"/>
        <v>0.25</v>
      </c>
      <c r="Z332" s="10">
        <f t="shared" si="183"/>
        <v>1</v>
      </c>
      <c r="AA332" s="10" t="str">
        <f t="shared" si="184"/>
        <v/>
      </c>
      <c r="AB332" s="10" t="str">
        <f t="shared" si="185"/>
        <v/>
      </c>
      <c r="AC332" s="10" t="str">
        <f t="shared" si="186"/>
        <v/>
      </c>
      <c r="AD332" s="10" t="str">
        <f t="shared" si="187"/>
        <v/>
      </c>
      <c r="AE332" s="10" t="str">
        <f t="shared" si="188"/>
        <v/>
      </c>
      <c r="AF332" s="10" t="str">
        <f t="shared" si="189"/>
        <v/>
      </c>
      <c r="AG332" s="10" t="str">
        <f t="shared" si="190"/>
        <v/>
      </c>
      <c r="AH332" s="10" t="str">
        <f t="shared" si="191"/>
        <v/>
      </c>
      <c r="AI332" s="10">
        <f>IF(OR(S332="",'4_BENCHMARK'!$C$4=""),"",ABS(S332-'4_BENCHMARK'!$C$4))</f>
        <v>0</v>
      </c>
      <c r="AJ332" s="10">
        <f>IF(OR(T332="",'4_BENCHMARK'!$C$5=""),"",ABS(T332-'4_BENCHMARK'!$C$5))</f>
        <v>0</v>
      </c>
      <c r="AK332" s="10">
        <f>IF(OR(U332="",'4_BENCHMARK'!$C$6=""),"",ABS(U332-'4_BENCHMARK'!$C$6))</f>
        <v>0</v>
      </c>
      <c r="AL332" s="10">
        <f>IF(OR(V332="",'4_BENCHMARK'!$C$7=""),"",ABS(V332-'4_BENCHMARK'!$C$7))</f>
        <v>0</v>
      </c>
      <c r="AM332" s="10">
        <f>IF(OR(W332="",'4_BENCHMARK'!$C$8=""),"",ABS(W332-'4_BENCHMARK'!$C$8))</f>
        <v>1</v>
      </c>
      <c r="AN332" s="10">
        <f>IF(OR(X332="",'4_BENCHMARK'!$C$9=""),"",ABS(X332-'4_BENCHMARK'!$C$9))</f>
        <v>1</v>
      </c>
      <c r="AO332" s="10">
        <f>IF(OR(Y332="",'4_BENCHMARK'!$C$10=""),"",ABS(Y332-'4_BENCHMARK'!$C$10))</f>
        <v>0.25</v>
      </c>
      <c r="AP332" s="10">
        <f>IF(OR(Z332="",'4_BENCHMARK'!$C$11=""),"",ABS(Z332-'4_BENCHMARK'!$C$11))</f>
        <v>0</v>
      </c>
      <c r="AQ332" s="13">
        <f t="shared" si="192"/>
        <v>0.71875</v>
      </c>
      <c r="AR332" s="10"/>
      <c r="AS332" s="36" t="s">
        <v>149</v>
      </c>
      <c r="AT332" s="13">
        <f t="shared" si="193"/>
        <v>0.958333333333333</v>
      </c>
      <c r="AU332" s="1" t="str">
        <f t="shared" si="194"/>
        <v/>
      </c>
      <c r="AV332" s="1" t="str">
        <f t="shared" si="195"/>
        <v/>
      </c>
      <c r="AW332" s="1" t="str">
        <f t="shared" si="196"/>
        <v/>
      </c>
      <c r="AX332" s="1" t="str">
        <f t="shared" si="197"/>
        <v/>
      </c>
      <c r="AY332" s="1" t="str">
        <f t="shared" si="198"/>
        <v/>
      </c>
      <c r="AZ332" s="1" t="str">
        <f t="shared" si="199"/>
        <v/>
      </c>
      <c r="BA332" s="1" t="str">
        <f t="shared" si="200"/>
        <v/>
      </c>
      <c r="BB332" s="1" t="str">
        <f t="shared" si="201"/>
        <v/>
      </c>
      <c r="BC332" s="1" t="str">
        <f t="shared" si="202"/>
        <v/>
      </c>
      <c r="BD332" s="1" t="str">
        <f t="shared" si="203"/>
        <v/>
      </c>
      <c r="BE332" s="1" t="str">
        <f t="shared" si="204"/>
        <v/>
      </c>
      <c r="BF332" s="1" t="str">
        <f t="shared" si="205"/>
        <v/>
      </c>
      <c r="BG332" s="1" t="str">
        <f t="shared" si="206"/>
        <v/>
      </c>
      <c r="BH332" s="1" t="str">
        <f t="shared" si="207"/>
        <v/>
      </c>
      <c r="BI332" s="1" t="str">
        <f t="shared" si="208"/>
        <v/>
      </c>
      <c r="BJ332" s="1" t="str">
        <f t="shared" si="209"/>
        <v/>
      </c>
    </row>
    <row r="333" ht="14.25" customHeight="1" spans="1:62">
      <c r="A333" s="10">
        <v>329</v>
      </c>
      <c r="B333" s="42" t="s">
        <v>1149</v>
      </c>
      <c r="C333" s="10">
        <v>1970</v>
      </c>
      <c r="D333" s="10">
        <f t="shared" si="210"/>
        <v>1970</v>
      </c>
      <c r="E333" s="36" t="s">
        <v>1143</v>
      </c>
      <c r="F333" s="35" t="s">
        <v>1144</v>
      </c>
      <c r="G333" s="36" t="s">
        <v>1150</v>
      </c>
      <c r="H333" s="10" t="s">
        <v>139</v>
      </c>
      <c r="I333" s="10" t="s">
        <v>140</v>
      </c>
      <c r="J333" s="36" t="s">
        <v>807</v>
      </c>
      <c r="K333" s="10">
        <v>5</v>
      </c>
      <c r="L333" s="10">
        <v>5</v>
      </c>
      <c r="M333" s="10">
        <v>5</v>
      </c>
      <c r="N333" s="10">
        <v>5</v>
      </c>
      <c r="O333" s="10">
        <v>5</v>
      </c>
      <c r="P333" s="10">
        <v>5</v>
      </c>
      <c r="Q333" s="10">
        <v>2</v>
      </c>
      <c r="R333" s="10">
        <v>5</v>
      </c>
      <c r="S333" s="10">
        <f t="shared" si="176"/>
        <v>1</v>
      </c>
      <c r="T333" s="10">
        <f t="shared" si="177"/>
        <v>1</v>
      </c>
      <c r="U333" s="10">
        <f t="shared" si="178"/>
        <v>1</v>
      </c>
      <c r="V333" s="10">
        <f t="shared" si="179"/>
        <v>1</v>
      </c>
      <c r="W333" s="10">
        <f t="shared" si="180"/>
        <v>1</v>
      </c>
      <c r="X333" s="10">
        <f t="shared" si="181"/>
        <v>1</v>
      </c>
      <c r="Y333" s="10">
        <f t="shared" si="182"/>
        <v>0.25</v>
      </c>
      <c r="Z333" s="10">
        <f t="shared" si="183"/>
        <v>1</v>
      </c>
      <c r="AA333" s="10" t="str">
        <f t="shared" si="184"/>
        <v/>
      </c>
      <c r="AB333" s="10" t="str">
        <f t="shared" si="185"/>
        <v/>
      </c>
      <c r="AC333" s="10" t="str">
        <f t="shared" si="186"/>
        <v/>
      </c>
      <c r="AD333" s="10" t="str">
        <f t="shared" si="187"/>
        <v/>
      </c>
      <c r="AE333" s="10" t="str">
        <f t="shared" si="188"/>
        <v/>
      </c>
      <c r="AF333" s="10" t="str">
        <f t="shared" si="189"/>
        <v/>
      </c>
      <c r="AG333" s="10" t="str">
        <f t="shared" si="190"/>
        <v/>
      </c>
      <c r="AH333" s="10" t="str">
        <f t="shared" si="191"/>
        <v/>
      </c>
      <c r="AI333" s="10">
        <f>IF(OR(S333="",'4_BENCHMARK'!$C$4=""),"",ABS(S333-'4_BENCHMARK'!$C$4))</f>
        <v>0</v>
      </c>
      <c r="AJ333" s="10">
        <f>IF(OR(T333="",'4_BENCHMARK'!$C$5=""),"",ABS(T333-'4_BENCHMARK'!$C$5))</f>
        <v>0</v>
      </c>
      <c r="AK333" s="10">
        <f>IF(OR(U333="",'4_BENCHMARK'!$C$6=""),"",ABS(U333-'4_BENCHMARK'!$C$6))</f>
        <v>0</v>
      </c>
      <c r="AL333" s="10">
        <f>IF(OR(V333="",'4_BENCHMARK'!$C$7=""),"",ABS(V333-'4_BENCHMARK'!$C$7))</f>
        <v>0</v>
      </c>
      <c r="AM333" s="10">
        <f>IF(OR(W333="",'4_BENCHMARK'!$C$8=""),"",ABS(W333-'4_BENCHMARK'!$C$8))</f>
        <v>1</v>
      </c>
      <c r="AN333" s="10">
        <f>IF(OR(X333="",'4_BENCHMARK'!$C$9=""),"",ABS(X333-'4_BENCHMARK'!$C$9))</f>
        <v>1</v>
      </c>
      <c r="AO333" s="10">
        <f>IF(OR(Y333="",'4_BENCHMARK'!$C$10=""),"",ABS(Y333-'4_BENCHMARK'!$C$10))</f>
        <v>0.25</v>
      </c>
      <c r="AP333" s="10">
        <f>IF(OR(Z333="",'4_BENCHMARK'!$C$11=""),"",ABS(Z333-'4_BENCHMARK'!$C$11))</f>
        <v>0</v>
      </c>
      <c r="AQ333" s="13">
        <f t="shared" si="192"/>
        <v>0.71875</v>
      </c>
      <c r="AR333" s="10"/>
      <c r="AS333" s="36" t="s">
        <v>149</v>
      </c>
      <c r="AT333" s="13">
        <f t="shared" si="193"/>
        <v>0.958333333333333</v>
      </c>
      <c r="AU333" s="1" t="str">
        <f t="shared" si="194"/>
        <v/>
      </c>
      <c r="AV333" s="1" t="str">
        <f t="shared" si="195"/>
        <v/>
      </c>
      <c r="AW333" s="1" t="str">
        <f t="shared" si="196"/>
        <v/>
      </c>
      <c r="AX333" s="1" t="str">
        <f t="shared" si="197"/>
        <v/>
      </c>
      <c r="AY333" s="1" t="str">
        <f t="shared" si="198"/>
        <v/>
      </c>
      <c r="AZ333" s="1" t="str">
        <f t="shared" si="199"/>
        <v/>
      </c>
      <c r="BA333" s="1" t="str">
        <f t="shared" si="200"/>
        <v/>
      </c>
      <c r="BB333" s="1" t="str">
        <f t="shared" si="201"/>
        <v/>
      </c>
      <c r="BC333" s="1" t="str">
        <f t="shared" si="202"/>
        <v/>
      </c>
      <c r="BD333" s="1" t="str">
        <f t="shared" si="203"/>
        <v/>
      </c>
      <c r="BE333" s="1" t="str">
        <f t="shared" si="204"/>
        <v/>
      </c>
      <c r="BF333" s="1" t="str">
        <f t="shared" si="205"/>
        <v/>
      </c>
      <c r="BG333" s="1" t="str">
        <f t="shared" si="206"/>
        <v/>
      </c>
      <c r="BH333" s="1" t="str">
        <f t="shared" si="207"/>
        <v/>
      </c>
      <c r="BI333" s="1" t="str">
        <f t="shared" si="208"/>
        <v/>
      </c>
      <c r="BJ333" s="1" t="str">
        <f t="shared" si="209"/>
        <v/>
      </c>
    </row>
    <row r="334" ht="14.25" customHeight="1" spans="1:62">
      <c r="A334" s="10">
        <v>330</v>
      </c>
      <c r="B334" s="36" t="s">
        <v>1151</v>
      </c>
      <c r="C334" s="10">
        <v>1970</v>
      </c>
      <c r="D334" s="10">
        <f t="shared" si="210"/>
        <v>1970</v>
      </c>
      <c r="E334" s="36" t="s">
        <v>801</v>
      </c>
      <c r="F334" s="35" t="s">
        <v>1152</v>
      </c>
      <c r="G334" s="36" t="s">
        <v>1153</v>
      </c>
      <c r="H334" s="10" t="s">
        <v>140</v>
      </c>
      <c r="I334" s="10" t="s">
        <v>140</v>
      </c>
      <c r="J334" s="36" t="s">
        <v>807</v>
      </c>
      <c r="K334" s="10">
        <v>4</v>
      </c>
      <c r="L334" s="10">
        <v>4</v>
      </c>
      <c r="M334" s="10">
        <v>5</v>
      </c>
      <c r="N334" s="10">
        <v>5</v>
      </c>
      <c r="O334" s="10">
        <v>5</v>
      </c>
      <c r="P334" s="10">
        <v>5</v>
      </c>
      <c r="Q334" s="10">
        <v>1</v>
      </c>
      <c r="R334" s="10">
        <v>5</v>
      </c>
      <c r="S334" s="10">
        <f t="shared" si="176"/>
        <v>0.75</v>
      </c>
      <c r="T334" s="10">
        <f t="shared" si="177"/>
        <v>0.75</v>
      </c>
      <c r="U334" s="10">
        <f t="shared" si="178"/>
        <v>1</v>
      </c>
      <c r="V334" s="10">
        <f t="shared" si="179"/>
        <v>1</v>
      </c>
      <c r="W334" s="10">
        <f t="shared" si="180"/>
        <v>1</v>
      </c>
      <c r="X334" s="10">
        <f t="shared" si="181"/>
        <v>1</v>
      </c>
      <c r="Y334" s="10">
        <f t="shared" si="182"/>
        <v>0</v>
      </c>
      <c r="Z334" s="10">
        <f t="shared" si="183"/>
        <v>1</v>
      </c>
      <c r="AA334" s="10" t="str">
        <f t="shared" si="184"/>
        <v/>
      </c>
      <c r="AB334" s="10" t="str">
        <f t="shared" si="185"/>
        <v/>
      </c>
      <c r="AC334" s="10" t="str">
        <f t="shared" si="186"/>
        <v/>
      </c>
      <c r="AD334" s="10" t="str">
        <f t="shared" si="187"/>
        <v/>
      </c>
      <c r="AE334" s="10" t="str">
        <f t="shared" si="188"/>
        <v/>
      </c>
      <c r="AF334" s="10" t="str">
        <f t="shared" si="189"/>
        <v/>
      </c>
      <c r="AG334" s="10" t="str">
        <f t="shared" si="190"/>
        <v/>
      </c>
      <c r="AH334" s="10" t="str">
        <f t="shared" si="191"/>
        <v/>
      </c>
      <c r="AI334" s="10">
        <f>IF(OR(S334="",'4_BENCHMARK'!$C$4=""),"",ABS(S334-'4_BENCHMARK'!$C$4))</f>
        <v>0.25</v>
      </c>
      <c r="AJ334" s="10">
        <f>IF(OR(T334="",'4_BENCHMARK'!$C$5=""),"",ABS(T334-'4_BENCHMARK'!$C$5))</f>
        <v>0.25</v>
      </c>
      <c r="AK334" s="10">
        <f>IF(OR(U334="",'4_BENCHMARK'!$C$6=""),"",ABS(U334-'4_BENCHMARK'!$C$6))</f>
        <v>0</v>
      </c>
      <c r="AL334" s="10">
        <f>IF(OR(V334="",'4_BENCHMARK'!$C$7=""),"",ABS(V334-'4_BENCHMARK'!$C$7))</f>
        <v>0</v>
      </c>
      <c r="AM334" s="10">
        <f>IF(OR(W334="",'4_BENCHMARK'!$C$8=""),"",ABS(W334-'4_BENCHMARK'!$C$8))</f>
        <v>1</v>
      </c>
      <c r="AN334" s="10">
        <f>IF(OR(X334="",'4_BENCHMARK'!$C$9=""),"",ABS(X334-'4_BENCHMARK'!$C$9))</f>
        <v>1</v>
      </c>
      <c r="AO334" s="10">
        <f>IF(OR(Y334="",'4_BENCHMARK'!$C$10=""),"",ABS(Y334-'4_BENCHMARK'!$C$10))</f>
        <v>0.5</v>
      </c>
      <c r="AP334" s="10">
        <f>IF(OR(Z334="",'4_BENCHMARK'!$C$11=""),"",ABS(Z334-'4_BENCHMARK'!$C$11))</f>
        <v>0</v>
      </c>
      <c r="AQ334" s="13">
        <f t="shared" si="192"/>
        <v>0.625</v>
      </c>
      <c r="AR334" s="10"/>
      <c r="AS334" s="36" t="s">
        <v>145</v>
      </c>
      <c r="AT334" s="13">
        <f t="shared" si="193"/>
        <v>0.833333333333333</v>
      </c>
      <c r="AU334" s="1" t="str">
        <f t="shared" si="194"/>
        <v/>
      </c>
      <c r="AV334" s="1" t="str">
        <f t="shared" si="195"/>
        <v/>
      </c>
      <c r="AW334" s="1" t="str">
        <f t="shared" si="196"/>
        <v/>
      </c>
      <c r="AX334" s="1" t="str">
        <f t="shared" si="197"/>
        <v/>
      </c>
      <c r="AY334" s="1" t="str">
        <f t="shared" si="198"/>
        <v/>
      </c>
      <c r="AZ334" s="1" t="str">
        <f t="shared" si="199"/>
        <v/>
      </c>
      <c r="BA334" s="1" t="str">
        <f t="shared" si="200"/>
        <v/>
      </c>
      <c r="BB334" s="1" t="str">
        <f t="shared" si="201"/>
        <v/>
      </c>
      <c r="BC334" s="1" t="str">
        <f t="shared" si="202"/>
        <v/>
      </c>
      <c r="BD334" s="1" t="str">
        <f t="shared" si="203"/>
        <v/>
      </c>
      <c r="BE334" s="1" t="str">
        <f t="shared" si="204"/>
        <v/>
      </c>
      <c r="BF334" s="1" t="str">
        <f t="shared" si="205"/>
        <v/>
      </c>
      <c r="BG334" s="1" t="str">
        <f t="shared" si="206"/>
        <v/>
      </c>
      <c r="BH334" s="1" t="str">
        <f t="shared" si="207"/>
        <v/>
      </c>
      <c r="BI334" s="1" t="str">
        <f t="shared" si="208"/>
        <v/>
      </c>
      <c r="BJ334" s="1" t="str">
        <f t="shared" si="209"/>
        <v/>
      </c>
    </row>
    <row r="335" ht="14.25" customHeight="1" spans="1:62">
      <c r="A335" s="10">
        <v>331</v>
      </c>
      <c r="B335" s="36" t="s">
        <v>1154</v>
      </c>
      <c r="C335" s="10">
        <v>1980</v>
      </c>
      <c r="D335" s="10">
        <f t="shared" si="210"/>
        <v>1980</v>
      </c>
      <c r="E335" s="36" t="s">
        <v>801</v>
      </c>
      <c r="F335" s="35" t="s">
        <v>1155</v>
      </c>
      <c r="G335" s="36" t="s">
        <v>1156</v>
      </c>
      <c r="H335" s="10" t="s">
        <v>140</v>
      </c>
      <c r="I335" s="10" t="s">
        <v>140</v>
      </c>
      <c r="J335" s="36" t="s">
        <v>1157</v>
      </c>
      <c r="K335" s="10">
        <v>4</v>
      </c>
      <c r="L335" s="10">
        <v>4</v>
      </c>
      <c r="M335" s="10">
        <v>5</v>
      </c>
      <c r="N335" s="10">
        <v>4</v>
      </c>
      <c r="O335" s="10">
        <v>5</v>
      </c>
      <c r="P335" s="10">
        <v>5</v>
      </c>
      <c r="Q335" s="10">
        <v>2</v>
      </c>
      <c r="R335" s="10">
        <v>5</v>
      </c>
      <c r="S335" s="10">
        <f t="shared" si="176"/>
        <v>0.75</v>
      </c>
      <c r="T335" s="10">
        <f t="shared" si="177"/>
        <v>0.75</v>
      </c>
      <c r="U335" s="10">
        <f t="shared" si="178"/>
        <v>1</v>
      </c>
      <c r="V335" s="10">
        <f t="shared" si="179"/>
        <v>0.75</v>
      </c>
      <c r="W335" s="10">
        <f t="shared" si="180"/>
        <v>1</v>
      </c>
      <c r="X335" s="10">
        <f t="shared" si="181"/>
        <v>1</v>
      </c>
      <c r="Y335" s="10">
        <f t="shared" si="182"/>
        <v>0.25</v>
      </c>
      <c r="Z335" s="10">
        <f t="shared" si="183"/>
        <v>1</v>
      </c>
      <c r="AA335" s="10" t="str">
        <f t="shared" si="184"/>
        <v/>
      </c>
      <c r="AB335" s="10" t="str">
        <f t="shared" si="185"/>
        <v/>
      </c>
      <c r="AC335" s="10" t="str">
        <f t="shared" si="186"/>
        <v/>
      </c>
      <c r="AD335" s="10" t="str">
        <f t="shared" si="187"/>
        <v/>
      </c>
      <c r="AE335" s="10" t="str">
        <f t="shared" si="188"/>
        <v/>
      </c>
      <c r="AF335" s="10" t="str">
        <f t="shared" si="189"/>
        <v/>
      </c>
      <c r="AG335" s="10" t="str">
        <f t="shared" si="190"/>
        <v/>
      </c>
      <c r="AH335" s="10" t="str">
        <f t="shared" si="191"/>
        <v/>
      </c>
      <c r="AI335" s="10">
        <f>IF(OR(S335="",'4_BENCHMARK'!$C$4=""),"",ABS(S335-'4_BENCHMARK'!$C$4))</f>
        <v>0.25</v>
      </c>
      <c r="AJ335" s="10">
        <f>IF(OR(T335="",'4_BENCHMARK'!$C$5=""),"",ABS(T335-'4_BENCHMARK'!$C$5))</f>
        <v>0.25</v>
      </c>
      <c r="AK335" s="10">
        <f>IF(OR(U335="",'4_BENCHMARK'!$C$6=""),"",ABS(U335-'4_BENCHMARK'!$C$6))</f>
        <v>0</v>
      </c>
      <c r="AL335" s="10">
        <f>IF(OR(V335="",'4_BENCHMARK'!$C$7=""),"",ABS(V335-'4_BENCHMARK'!$C$7))</f>
        <v>0.25</v>
      </c>
      <c r="AM335" s="10">
        <f>IF(OR(W335="",'4_BENCHMARK'!$C$8=""),"",ABS(W335-'4_BENCHMARK'!$C$8))</f>
        <v>1</v>
      </c>
      <c r="AN335" s="10">
        <f>IF(OR(X335="",'4_BENCHMARK'!$C$9=""),"",ABS(X335-'4_BENCHMARK'!$C$9))</f>
        <v>1</v>
      </c>
      <c r="AO335" s="10">
        <f>IF(OR(Y335="",'4_BENCHMARK'!$C$10=""),"",ABS(Y335-'4_BENCHMARK'!$C$10))</f>
        <v>0.25</v>
      </c>
      <c r="AP335" s="10">
        <f>IF(OR(Z335="",'4_BENCHMARK'!$C$11=""),"",ABS(Z335-'4_BENCHMARK'!$C$11))</f>
        <v>0</v>
      </c>
      <c r="AQ335" s="13">
        <f t="shared" si="192"/>
        <v>0.625</v>
      </c>
      <c r="AR335" s="10" t="s">
        <v>140</v>
      </c>
      <c r="AS335" s="36" t="s">
        <v>141</v>
      </c>
      <c r="AT335" s="13">
        <f t="shared" si="193"/>
        <v>0.833333333333333</v>
      </c>
      <c r="AU335" s="1" t="str">
        <f t="shared" si="194"/>
        <v/>
      </c>
      <c r="AV335" s="1" t="str">
        <f t="shared" si="195"/>
        <v/>
      </c>
      <c r="AW335" s="1" t="str">
        <f t="shared" si="196"/>
        <v/>
      </c>
      <c r="AX335" s="1" t="str">
        <f t="shared" si="197"/>
        <v/>
      </c>
      <c r="AY335" s="1" t="str">
        <f t="shared" si="198"/>
        <v/>
      </c>
      <c r="AZ335" s="1" t="str">
        <f t="shared" si="199"/>
        <v/>
      </c>
      <c r="BA335" s="1" t="str">
        <f t="shared" si="200"/>
        <v/>
      </c>
      <c r="BB335" s="1" t="str">
        <f t="shared" si="201"/>
        <v/>
      </c>
      <c r="BC335" s="1" t="str">
        <f t="shared" si="202"/>
        <v/>
      </c>
      <c r="BD335" s="1" t="str">
        <f t="shared" si="203"/>
        <v/>
      </c>
      <c r="BE335" s="1" t="str">
        <f t="shared" si="204"/>
        <v/>
      </c>
      <c r="BF335" s="1" t="str">
        <f t="shared" si="205"/>
        <v/>
      </c>
      <c r="BG335" s="1" t="str">
        <f t="shared" si="206"/>
        <v/>
      </c>
      <c r="BH335" s="1" t="str">
        <f t="shared" si="207"/>
        <v/>
      </c>
      <c r="BI335" s="1" t="str">
        <f t="shared" si="208"/>
        <v/>
      </c>
      <c r="BJ335" s="1" t="str">
        <f t="shared" si="209"/>
        <v/>
      </c>
    </row>
    <row r="336" ht="14.25" customHeight="1" spans="1:62">
      <c r="A336" s="10">
        <v>332</v>
      </c>
      <c r="B336" s="36" t="s">
        <v>1158</v>
      </c>
      <c r="C336" s="10">
        <v>1960</v>
      </c>
      <c r="D336" s="10">
        <f t="shared" si="210"/>
        <v>1960</v>
      </c>
      <c r="E336" s="36" t="s">
        <v>801</v>
      </c>
      <c r="F336" s="35" t="s">
        <v>1159</v>
      </c>
      <c r="G336" s="36" t="s">
        <v>1160</v>
      </c>
      <c r="H336" s="10" t="s">
        <v>139</v>
      </c>
      <c r="I336" s="10" t="s">
        <v>140</v>
      </c>
      <c r="J336" s="36" t="s">
        <v>374</v>
      </c>
      <c r="K336" s="10">
        <v>5</v>
      </c>
      <c r="L336" s="10">
        <v>5</v>
      </c>
      <c r="M336" s="10">
        <v>5</v>
      </c>
      <c r="N336" s="10">
        <v>5</v>
      </c>
      <c r="O336" s="10">
        <v>5</v>
      </c>
      <c r="P336" s="10">
        <v>5</v>
      </c>
      <c r="Q336" s="10">
        <v>2</v>
      </c>
      <c r="R336" s="10">
        <v>5</v>
      </c>
      <c r="S336" s="10">
        <f t="shared" si="176"/>
        <v>1</v>
      </c>
      <c r="T336" s="10">
        <f t="shared" si="177"/>
        <v>1</v>
      </c>
      <c r="U336" s="10">
        <f t="shared" si="178"/>
        <v>1</v>
      </c>
      <c r="V336" s="10">
        <f t="shared" si="179"/>
        <v>1</v>
      </c>
      <c r="W336" s="10">
        <f t="shared" si="180"/>
        <v>1</v>
      </c>
      <c r="X336" s="10">
        <f t="shared" si="181"/>
        <v>1</v>
      </c>
      <c r="Y336" s="10">
        <f t="shared" si="182"/>
        <v>0.25</v>
      </c>
      <c r="Z336" s="10">
        <f t="shared" si="183"/>
        <v>1</v>
      </c>
      <c r="AA336" s="10" t="str">
        <f t="shared" si="184"/>
        <v/>
      </c>
      <c r="AB336" s="10" t="str">
        <f t="shared" si="185"/>
        <v/>
      </c>
      <c r="AC336" s="10" t="str">
        <f t="shared" si="186"/>
        <v/>
      </c>
      <c r="AD336" s="10" t="str">
        <f t="shared" si="187"/>
        <v/>
      </c>
      <c r="AE336" s="10" t="str">
        <f t="shared" si="188"/>
        <v/>
      </c>
      <c r="AF336" s="10" t="str">
        <f t="shared" si="189"/>
        <v/>
      </c>
      <c r="AG336" s="10" t="str">
        <f t="shared" si="190"/>
        <v/>
      </c>
      <c r="AH336" s="10" t="str">
        <f t="shared" si="191"/>
        <v/>
      </c>
      <c r="AI336" s="10">
        <f>IF(OR(S336="",'4_BENCHMARK'!$C$4=""),"",ABS(S336-'4_BENCHMARK'!$C$4))</f>
        <v>0</v>
      </c>
      <c r="AJ336" s="10">
        <f>IF(OR(T336="",'4_BENCHMARK'!$C$5=""),"",ABS(T336-'4_BENCHMARK'!$C$5))</f>
        <v>0</v>
      </c>
      <c r="AK336" s="10">
        <f>IF(OR(U336="",'4_BENCHMARK'!$C$6=""),"",ABS(U336-'4_BENCHMARK'!$C$6))</f>
        <v>0</v>
      </c>
      <c r="AL336" s="10">
        <f>IF(OR(V336="",'4_BENCHMARK'!$C$7=""),"",ABS(V336-'4_BENCHMARK'!$C$7))</f>
        <v>0</v>
      </c>
      <c r="AM336" s="10">
        <f>IF(OR(W336="",'4_BENCHMARK'!$C$8=""),"",ABS(W336-'4_BENCHMARK'!$C$8))</f>
        <v>1</v>
      </c>
      <c r="AN336" s="10">
        <f>IF(OR(X336="",'4_BENCHMARK'!$C$9=""),"",ABS(X336-'4_BENCHMARK'!$C$9))</f>
        <v>1</v>
      </c>
      <c r="AO336" s="10">
        <f>IF(OR(Y336="",'4_BENCHMARK'!$C$10=""),"",ABS(Y336-'4_BENCHMARK'!$C$10))</f>
        <v>0.25</v>
      </c>
      <c r="AP336" s="10">
        <f>IF(OR(Z336="",'4_BENCHMARK'!$C$11=""),"",ABS(Z336-'4_BENCHMARK'!$C$11))</f>
        <v>0</v>
      </c>
      <c r="AQ336" s="13">
        <f t="shared" si="192"/>
        <v>0.71875</v>
      </c>
      <c r="AR336" s="10"/>
      <c r="AS336" s="36" t="s">
        <v>141</v>
      </c>
      <c r="AT336" s="13">
        <f t="shared" si="193"/>
        <v>0.958333333333333</v>
      </c>
      <c r="AU336" s="1" t="str">
        <f t="shared" si="194"/>
        <v/>
      </c>
      <c r="AV336" s="1" t="str">
        <f t="shared" si="195"/>
        <v/>
      </c>
      <c r="AW336" s="1" t="str">
        <f t="shared" si="196"/>
        <v/>
      </c>
      <c r="AX336" s="1" t="str">
        <f t="shared" si="197"/>
        <v/>
      </c>
      <c r="AY336" s="1" t="str">
        <f t="shared" si="198"/>
        <v/>
      </c>
      <c r="AZ336" s="1" t="str">
        <f t="shared" si="199"/>
        <v/>
      </c>
      <c r="BA336" s="1" t="str">
        <f t="shared" si="200"/>
        <v/>
      </c>
      <c r="BB336" s="1" t="str">
        <f t="shared" si="201"/>
        <v/>
      </c>
      <c r="BC336" s="1" t="str">
        <f t="shared" si="202"/>
        <v/>
      </c>
      <c r="BD336" s="1" t="str">
        <f t="shared" si="203"/>
        <v/>
      </c>
      <c r="BE336" s="1" t="str">
        <f t="shared" si="204"/>
        <v/>
      </c>
      <c r="BF336" s="1" t="str">
        <f t="shared" si="205"/>
        <v/>
      </c>
      <c r="BG336" s="1" t="str">
        <f t="shared" si="206"/>
        <v/>
      </c>
      <c r="BH336" s="1" t="str">
        <f t="shared" si="207"/>
        <v/>
      </c>
      <c r="BI336" s="1" t="str">
        <f t="shared" si="208"/>
        <v/>
      </c>
      <c r="BJ336" s="1" t="str">
        <f t="shared" si="209"/>
        <v/>
      </c>
    </row>
    <row r="337" ht="14.25" customHeight="1" spans="1:62">
      <c r="A337" s="10">
        <v>333</v>
      </c>
      <c r="B337" s="36" t="s">
        <v>1161</v>
      </c>
      <c r="C337" s="10">
        <v>1970</v>
      </c>
      <c r="D337" s="10">
        <f t="shared" si="210"/>
        <v>1970</v>
      </c>
      <c r="E337" s="36" t="s">
        <v>801</v>
      </c>
      <c r="F337" s="35" t="s">
        <v>1162</v>
      </c>
      <c r="G337" s="36" t="s">
        <v>1163</v>
      </c>
      <c r="H337" s="10" t="s">
        <v>140</v>
      </c>
      <c r="I337" s="10" t="s">
        <v>140</v>
      </c>
      <c r="J337" s="36" t="s">
        <v>807</v>
      </c>
      <c r="K337" s="10">
        <v>3</v>
      </c>
      <c r="L337" s="10">
        <v>3</v>
      </c>
      <c r="M337" s="10">
        <v>4</v>
      </c>
      <c r="N337" s="10">
        <v>4</v>
      </c>
      <c r="O337" s="10">
        <v>5</v>
      </c>
      <c r="P337" s="10">
        <v>5</v>
      </c>
      <c r="Q337" s="10">
        <v>1</v>
      </c>
      <c r="R337" s="10">
        <v>5</v>
      </c>
      <c r="S337" s="10">
        <f t="shared" si="176"/>
        <v>0.5</v>
      </c>
      <c r="T337" s="10">
        <f t="shared" si="177"/>
        <v>0.5</v>
      </c>
      <c r="U337" s="10">
        <f t="shared" si="178"/>
        <v>0.75</v>
      </c>
      <c r="V337" s="10">
        <f t="shared" si="179"/>
        <v>0.75</v>
      </c>
      <c r="W337" s="10">
        <f t="shared" si="180"/>
        <v>1</v>
      </c>
      <c r="X337" s="10">
        <f t="shared" si="181"/>
        <v>1</v>
      </c>
      <c r="Y337" s="10">
        <f t="shared" si="182"/>
        <v>0</v>
      </c>
      <c r="Z337" s="10">
        <f t="shared" si="183"/>
        <v>1</v>
      </c>
      <c r="AA337" s="10" t="str">
        <f t="shared" si="184"/>
        <v/>
      </c>
      <c r="AB337" s="10" t="str">
        <f t="shared" si="185"/>
        <v/>
      </c>
      <c r="AC337" s="10" t="str">
        <f t="shared" si="186"/>
        <v/>
      </c>
      <c r="AD337" s="10" t="str">
        <f t="shared" si="187"/>
        <v/>
      </c>
      <c r="AE337" s="10" t="str">
        <f t="shared" si="188"/>
        <v/>
      </c>
      <c r="AF337" s="10" t="str">
        <f t="shared" si="189"/>
        <v/>
      </c>
      <c r="AG337" s="10" t="str">
        <f t="shared" si="190"/>
        <v/>
      </c>
      <c r="AH337" s="10" t="str">
        <f t="shared" si="191"/>
        <v/>
      </c>
      <c r="AI337" s="10">
        <f>IF(OR(S337="",'4_BENCHMARK'!$C$4=""),"",ABS(S337-'4_BENCHMARK'!$C$4))</f>
        <v>0.5</v>
      </c>
      <c r="AJ337" s="10">
        <f>IF(OR(T337="",'4_BENCHMARK'!$C$5=""),"",ABS(T337-'4_BENCHMARK'!$C$5))</f>
        <v>0.5</v>
      </c>
      <c r="AK337" s="10">
        <f>IF(OR(U337="",'4_BENCHMARK'!$C$6=""),"",ABS(U337-'4_BENCHMARK'!$C$6))</f>
        <v>0.25</v>
      </c>
      <c r="AL337" s="10">
        <f>IF(OR(V337="",'4_BENCHMARK'!$C$7=""),"",ABS(V337-'4_BENCHMARK'!$C$7))</f>
        <v>0.25</v>
      </c>
      <c r="AM337" s="10">
        <f>IF(OR(W337="",'4_BENCHMARK'!$C$8=""),"",ABS(W337-'4_BENCHMARK'!$C$8))</f>
        <v>1</v>
      </c>
      <c r="AN337" s="10">
        <f>IF(OR(X337="",'4_BENCHMARK'!$C$9=""),"",ABS(X337-'4_BENCHMARK'!$C$9))</f>
        <v>1</v>
      </c>
      <c r="AO337" s="10">
        <f>IF(OR(Y337="",'4_BENCHMARK'!$C$10=""),"",ABS(Y337-'4_BENCHMARK'!$C$10))</f>
        <v>0.5</v>
      </c>
      <c r="AP337" s="10">
        <f>IF(OR(Z337="",'4_BENCHMARK'!$C$11=""),"",ABS(Z337-'4_BENCHMARK'!$C$11))</f>
        <v>0</v>
      </c>
      <c r="AQ337" s="13">
        <f t="shared" si="192"/>
        <v>0.5</v>
      </c>
      <c r="AR337" s="10"/>
      <c r="AS337" s="36" t="s">
        <v>145</v>
      </c>
      <c r="AT337" s="13">
        <f t="shared" si="193"/>
        <v>0.666666666666667</v>
      </c>
      <c r="AU337" s="1" t="str">
        <f t="shared" si="194"/>
        <v/>
      </c>
      <c r="AV337" s="1" t="str">
        <f t="shared" si="195"/>
        <v/>
      </c>
      <c r="AW337" s="1" t="str">
        <f t="shared" si="196"/>
        <v/>
      </c>
      <c r="AX337" s="1" t="str">
        <f t="shared" si="197"/>
        <v/>
      </c>
      <c r="AY337" s="1" t="str">
        <f t="shared" si="198"/>
        <v/>
      </c>
      <c r="AZ337" s="1" t="str">
        <f t="shared" si="199"/>
        <v/>
      </c>
      <c r="BA337" s="1" t="str">
        <f t="shared" si="200"/>
        <v/>
      </c>
      <c r="BB337" s="1" t="str">
        <f t="shared" si="201"/>
        <v/>
      </c>
      <c r="BC337" s="1" t="str">
        <f t="shared" si="202"/>
        <v/>
      </c>
      <c r="BD337" s="1" t="str">
        <f t="shared" si="203"/>
        <v/>
      </c>
      <c r="BE337" s="1" t="str">
        <f t="shared" si="204"/>
        <v/>
      </c>
      <c r="BF337" s="1" t="str">
        <f t="shared" si="205"/>
        <v/>
      </c>
      <c r="BG337" s="1" t="str">
        <f t="shared" si="206"/>
        <v/>
      </c>
      <c r="BH337" s="1" t="str">
        <f t="shared" si="207"/>
        <v/>
      </c>
      <c r="BI337" s="1" t="str">
        <f t="shared" si="208"/>
        <v/>
      </c>
      <c r="BJ337" s="1" t="str">
        <f t="shared" si="209"/>
        <v/>
      </c>
    </row>
    <row r="338" ht="14.25" customHeight="1" spans="1:62">
      <c r="A338" s="10">
        <v>334</v>
      </c>
      <c r="B338" s="36" t="s">
        <v>1164</v>
      </c>
      <c r="C338" s="10">
        <v>1980</v>
      </c>
      <c r="D338" s="10">
        <f t="shared" si="210"/>
        <v>1980</v>
      </c>
      <c r="E338" s="36" t="s">
        <v>136</v>
      </c>
      <c r="F338" s="35" t="s">
        <v>1165</v>
      </c>
      <c r="G338" s="36" t="s">
        <v>1166</v>
      </c>
      <c r="H338" s="10" t="s">
        <v>139</v>
      </c>
      <c r="I338" s="10" t="s">
        <v>140</v>
      </c>
      <c r="J338" s="36" t="s">
        <v>1146</v>
      </c>
      <c r="K338" s="10">
        <v>5</v>
      </c>
      <c r="L338" s="10">
        <v>5</v>
      </c>
      <c r="M338" s="10">
        <v>5</v>
      </c>
      <c r="N338" s="10">
        <v>5</v>
      </c>
      <c r="O338" s="10">
        <v>5</v>
      </c>
      <c r="P338" s="10">
        <v>5</v>
      </c>
      <c r="Q338" s="10">
        <v>2</v>
      </c>
      <c r="R338" s="10">
        <v>5</v>
      </c>
      <c r="S338" s="10">
        <f t="shared" si="176"/>
        <v>1</v>
      </c>
      <c r="T338" s="10">
        <f t="shared" si="177"/>
        <v>1</v>
      </c>
      <c r="U338" s="10">
        <f t="shared" si="178"/>
        <v>1</v>
      </c>
      <c r="V338" s="10">
        <f t="shared" si="179"/>
        <v>1</v>
      </c>
      <c r="W338" s="10">
        <f t="shared" si="180"/>
        <v>1</v>
      </c>
      <c r="X338" s="10">
        <f t="shared" si="181"/>
        <v>1</v>
      </c>
      <c r="Y338" s="10">
        <f t="shared" si="182"/>
        <v>0.25</v>
      </c>
      <c r="Z338" s="10">
        <f t="shared" si="183"/>
        <v>1</v>
      </c>
      <c r="AA338" s="10" t="str">
        <f t="shared" si="184"/>
        <v/>
      </c>
      <c r="AB338" s="10" t="str">
        <f t="shared" si="185"/>
        <v/>
      </c>
      <c r="AC338" s="10" t="str">
        <f t="shared" si="186"/>
        <v/>
      </c>
      <c r="AD338" s="10" t="str">
        <f t="shared" si="187"/>
        <v/>
      </c>
      <c r="AE338" s="10" t="str">
        <f t="shared" si="188"/>
        <v/>
      </c>
      <c r="AF338" s="10" t="str">
        <f t="shared" si="189"/>
        <v/>
      </c>
      <c r="AG338" s="10" t="str">
        <f t="shared" si="190"/>
        <v/>
      </c>
      <c r="AH338" s="10" t="str">
        <f t="shared" si="191"/>
        <v/>
      </c>
      <c r="AI338" s="10">
        <f>IF(OR(S338="",'4_BENCHMARK'!$C$4=""),"",ABS(S338-'4_BENCHMARK'!$C$4))</f>
        <v>0</v>
      </c>
      <c r="AJ338" s="10">
        <f>IF(OR(T338="",'4_BENCHMARK'!$C$5=""),"",ABS(T338-'4_BENCHMARK'!$C$5))</f>
        <v>0</v>
      </c>
      <c r="AK338" s="10">
        <f>IF(OR(U338="",'4_BENCHMARK'!$C$6=""),"",ABS(U338-'4_BENCHMARK'!$C$6))</f>
        <v>0</v>
      </c>
      <c r="AL338" s="10">
        <f>IF(OR(V338="",'4_BENCHMARK'!$C$7=""),"",ABS(V338-'4_BENCHMARK'!$C$7))</f>
        <v>0</v>
      </c>
      <c r="AM338" s="10">
        <f>IF(OR(W338="",'4_BENCHMARK'!$C$8=""),"",ABS(W338-'4_BENCHMARK'!$C$8))</f>
        <v>1</v>
      </c>
      <c r="AN338" s="10">
        <f>IF(OR(X338="",'4_BENCHMARK'!$C$9=""),"",ABS(X338-'4_BENCHMARK'!$C$9))</f>
        <v>1</v>
      </c>
      <c r="AO338" s="10">
        <f>IF(OR(Y338="",'4_BENCHMARK'!$C$10=""),"",ABS(Y338-'4_BENCHMARK'!$C$10))</f>
        <v>0.25</v>
      </c>
      <c r="AP338" s="10">
        <f>IF(OR(Z338="",'4_BENCHMARK'!$C$11=""),"",ABS(Z338-'4_BENCHMARK'!$C$11))</f>
        <v>0</v>
      </c>
      <c r="AQ338" s="13">
        <f t="shared" si="192"/>
        <v>0.71875</v>
      </c>
      <c r="AR338" s="10"/>
      <c r="AS338" s="36" t="s">
        <v>149</v>
      </c>
      <c r="AT338" s="13">
        <f t="shared" si="193"/>
        <v>0.958333333333333</v>
      </c>
      <c r="AU338" s="1" t="str">
        <f t="shared" si="194"/>
        <v/>
      </c>
      <c r="AV338" s="1" t="str">
        <f t="shared" si="195"/>
        <v/>
      </c>
      <c r="AW338" s="1" t="str">
        <f t="shared" si="196"/>
        <v/>
      </c>
      <c r="AX338" s="1" t="str">
        <f t="shared" si="197"/>
        <v/>
      </c>
      <c r="AY338" s="1" t="str">
        <f t="shared" si="198"/>
        <v/>
      </c>
      <c r="AZ338" s="1" t="str">
        <f t="shared" si="199"/>
        <v/>
      </c>
      <c r="BA338" s="1" t="str">
        <f t="shared" si="200"/>
        <v/>
      </c>
      <c r="BB338" s="1" t="str">
        <f t="shared" si="201"/>
        <v/>
      </c>
      <c r="BC338" s="1" t="str">
        <f t="shared" si="202"/>
        <v/>
      </c>
      <c r="BD338" s="1" t="str">
        <f t="shared" si="203"/>
        <v/>
      </c>
      <c r="BE338" s="1" t="str">
        <f t="shared" si="204"/>
        <v/>
      </c>
      <c r="BF338" s="1" t="str">
        <f t="shared" si="205"/>
        <v/>
      </c>
      <c r="BG338" s="1" t="str">
        <f t="shared" si="206"/>
        <v/>
      </c>
      <c r="BH338" s="1" t="str">
        <f t="shared" si="207"/>
        <v/>
      </c>
      <c r="BI338" s="1" t="str">
        <f t="shared" si="208"/>
        <v/>
      </c>
      <c r="BJ338" s="1" t="str">
        <f t="shared" si="209"/>
        <v/>
      </c>
    </row>
    <row r="339" ht="14.25" customHeight="1" spans="1:62">
      <c r="A339" s="10">
        <v>335</v>
      </c>
      <c r="B339" s="40" t="s">
        <v>1167</v>
      </c>
      <c r="C339" s="10">
        <v>1980</v>
      </c>
      <c r="D339" s="10">
        <f t="shared" si="210"/>
        <v>1980</v>
      </c>
      <c r="E339" s="36" t="s">
        <v>136</v>
      </c>
      <c r="F339" s="35" t="s">
        <v>1165</v>
      </c>
      <c r="G339" s="36" t="s">
        <v>1168</v>
      </c>
      <c r="H339" s="10" t="s">
        <v>139</v>
      </c>
      <c r="I339" s="10" t="s">
        <v>140</v>
      </c>
      <c r="J339" s="36" t="s">
        <v>1146</v>
      </c>
      <c r="K339" s="10">
        <v>5</v>
      </c>
      <c r="L339" s="10">
        <v>5</v>
      </c>
      <c r="M339" s="10">
        <v>5</v>
      </c>
      <c r="N339" s="10">
        <v>5</v>
      </c>
      <c r="O339" s="10">
        <v>5</v>
      </c>
      <c r="P339" s="10">
        <v>5</v>
      </c>
      <c r="Q339" s="10">
        <v>2</v>
      </c>
      <c r="R339" s="10">
        <v>5</v>
      </c>
      <c r="S339" s="10">
        <f t="shared" si="176"/>
        <v>1</v>
      </c>
      <c r="T339" s="10">
        <f t="shared" si="177"/>
        <v>1</v>
      </c>
      <c r="U339" s="10">
        <f t="shared" si="178"/>
        <v>1</v>
      </c>
      <c r="V339" s="10">
        <f t="shared" si="179"/>
        <v>1</v>
      </c>
      <c r="W339" s="10">
        <f t="shared" si="180"/>
        <v>1</v>
      </c>
      <c r="X339" s="10">
        <f t="shared" si="181"/>
        <v>1</v>
      </c>
      <c r="Y339" s="10">
        <f t="shared" si="182"/>
        <v>0.25</v>
      </c>
      <c r="Z339" s="10">
        <f t="shared" si="183"/>
        <v>1</v>
      </c>
      <c r="AA339" s="10" t="str">
        <f t="shared" si="184"/>
        <v/>
      </c>
      <c r="AB339" s="10" t="str">
        <f t="shared" si="185"/>
        <v/>
      </c>
      <c r="AC339" s="10" t="str">
        <f t="shared" si="186"/>
        <v/>
      </c>
      <c r="AD339" s="10" t="str">
        <f t="shared" si="187"/>
        <v/>
      </c>
      <c r="AE339" s="10" t="str">
        <f t="shared" si="188"/>
        <v/>
      </c>
      <c r="AF339" s="10" t="str">
        <f t="shared" si="189"/>
        <v/>
      </c>
      <c r="AG339" s="10" t="str">
        <f t="shared" si="190"/>
        <v/>
      </c>
      <c r="AH339" s="10" t="str">
        <f t="shared" si="191"/>
        <v/>
      </c>
      <c r="AI339" s="10">
        <f>IF(OR(S339="",'4_BENCHMARK'!$C$4=""),"",ABS(S339-'4_BENCHMARK'!$C$4))</f>
        <v>0</v>
      </c>
      <c r="AJ339" s="10">
        <f>IF(OR(T339="",'4_BENCHMARK'!$C$5=""),"",ABS(T339-'4_BENCHMARK'!$C$5))</f>
        <v>0</v>
      </c>
      <c r="AK339" s="10">
        <f>IF(OR(U339="",'4_BENCHMARK'!$C$6=""),"",ABS(U339-'4_BENCHMARK'!$C$6))</f>
        <v>0</v>
      </c>
      <c r="AL339" s="10">
        <f>IF(OR(V339="",'4_BENCHMARK'!$C$7=""),"",ABS(V339-'4_BENCHMARK'!$C$7))</f>
        <v>0</v>
      </c>
      <c r="AM339" s="10">
        <f>IF(OR(W339="",'4_BENCHMARK'!$C$8=""),"",ABS(W339-'4_BENCHMARK'!$C$8))</f>
        <v>1</v>
      </c>
      <c r="AN339" s="10">
        <f>IF(OR(X339="",'4_BENCHMARK'!$C$9=""),"",ABS(X339-'4_BENCHMARK'!$C$9))</f>
        <v>1</v>
      </c>
      <c r="AO339" s="10">
        <f>IF(OR(Y339="",'4_BENCHMARK'!$C$10=""),"",ABS(Y339-'4_BENCHMARK'!$C$10))</f>
        <v>0.25</v>
      </c>
      <c r="AP339" s="10">
        <f>IF(OR(Z339="",'4_BENCHMARK'!$C$11=""),"",ABS(Z339-'4_BENCHMARK'!$C$11))</f>
        <v>0</v>
      </c>
      <c r="AQ339" s="13">
        <f t="shared" si="192"/>
        <v>0.71875</v>
      </c>
      <c r="AR339" s="10"/>
      <c r="AS339" s="36" t="s">
        <v>149</v>
      </c>
      <c r="AT339" s="13">
        <f t="shared" si="193"/>
        <v>0.958333333333333</v>
      </c>
      <c r="AU339" s="1" t="str">
        <f t="shared" si="194"/>
        <v/>
      </c>
      <c r="AV339" s="1" t="str">
        <f t="shared" si="195"/>
        <v/>
      </c>
      <c r="AW339" s="1" t="str">
        <f t="shared" si="196"/>
        <v/>
      </c>
      <c r="AX339" s="1" t="str">
        <f t="shared" si="197"/>
        <v/>
      </c>
      <c r="AY339" s="1" t="str">
        <f t="shared" si="198"/>
        <v/>
      </c>
      <c r="AZ339" s="1" t="str">
        <f t="shared" si="199"/>
        <v/>
      </c>
      <c r="BA339" s="1" t="str">
        <f t="shared" si="200"/>
        <v/>
      </c>
      <c r="BB339" s="1" t="str">
        <f t="shared" si="201"/>
        <v/>
      </c>
      <c r="BC339" s="1" t="str">
        <f t="shared" si="202"/>
        <v/>
      </c>
      <c r="BD339" s="1" t="str">
        <f t="shared" si="203"/>
        <v/>
      </c>
      <c r="BE339" s="1" t="str">
        <f t="shared" si="204"/>
        <v/>
      </c>
      <c r="BF339" s="1" t="str">
        <f t="shared" si="205"/>
        <v/>
      </c>
      <c r="BG339" s="1" t="str">
        <f t="shared" si="206"/>
        <v/>
      </c>
      <c r="BH339" s="1" t="str">
        <f t="shared" si="207"/>
        <v/>
      </c>
      <c r="BI339" s="1" t="str">
        <f t="shared" si="208"/>
        <v/>
      </c>
      <c r="BJ339" s="1" t="str">
        <f t="shared" si="209"/>
        <v/>
      </c>
    </row>
    <row r="340" ht="14.25" customHeight="1" spans="1:62">
      <c r="A340" s="10">
        <v>336</v>
      </c>
      <c r="B340" s="36" t="s">
        <v>1169</v>
      </c>
      <c r="C340" s="10">
        <v>1980</v>
      </c>
      <c r="D340" s="10">
        <f t="shared" si="210"/>
        <v>1980</v>
      </c>
      <c r="E340" s="36" t="s">
        <v>1170</v>
      </c>
      <c r="F340" s="35" t="s">
        <v>1171</v>
      </c>
      <c r="G340" s="36" t="s">
        <v>1172</v>
      </c>
      <c r="H340" s="10" t="s">
        <v>139</v>
      </c>
      <c r="I340" s="10" t="s">
        <v>140</v>
      </c>
      <c r="J340" s="36" t="s">
        <v>1146</v>
      </c>
      <c r="K340" s="10">
        <v>5</v>
      </c>
      <c r="L340" s="10">
        <v>5</v>
      </c>
      <c r="M340" s="10">
        <v>5</v>
      </c>
      <c r="N340" s="10">
        <v>5</v>
      </c>
      <c r="O340" s="10">
        <v>5</v>
      </c>
      <c r="P340" s="10">
        <v>5</v>
      </c>
      <c r="Q340" s="10">
        <v>3</v>
      </c>
      <c r="R340" s="10">
        <v>5</v>
      </c>
      <c r="S340" s="10">
        <f t="shared" si="176"/>
        <v>1</v>
      </c>
      <c r="T340" s="10">
        <f t="shared" si="177"/>
        <v>1</v>
      </c>
      <c r="U340" s="10">
        <f t="shared" si="178"/>
        <v>1</v>
      </c>
      <c r="V340" s="10">
        <f t="shared" si="179"/>
        <v>1</v>
      </c>
      <c r="W340" s="10">
        <f t="shared" si="180"/>
        <v>1</v>
      </c>
      <c r="X340" s="10">
        <f t="shared" si="181"/>
        <v>1</v>
      </c>
      <c r="Y340" s="10">
        <f t="shared" si="182"/>
        <v>0.5</v>
      </c>
      <c r="Z340" s="10">
        <f t="shared" si="183"/>
        <v>1</v>
      </c>
      <c r="AA340" s="10" t="str">
        <f t="shared" si="184"/>
        <v/>
      </c>
      <c r="AB340" s="10" t="str">
        <f t="shared" si="185"/>
        <v/>
      </c>
      <c r="AC340" s="10" t="str">
        <f t="shared" si="186"/>
        <v/>
      </c>
      <c r="AD340" s="10" t="str">
        <f t="shared" si="187"/>
        <v/>
      </c>
      <c r="AE340" s="10" t="str">
        <f t="shared" si="188"/>
        <v/>
      </c>
      <c r="AF340" s="10" t="str">
        <f t="shared" si="189"/>
        <v/>
      </c>
      <c r="AG340" s="10" t="str">
        <f t="shared" si="190"/>
        <v/>
      </c>
      <c r="AH340" s="10" t="str">
        <f t="shared" si="191"/>
        <v/>
      </c>
      <c r="AI340" s="10">
        <f>IF(OR(S340="",'4_BENCHMARK'!$C$4=""),"",ABS(S340-'4_BENCHMARK'!$C$4))</f>
        <v>0</v>
      </c>
      <c r="AJ340" s="10">
        <f>IF(OR(T340="",'4_BENCHMARK'!$C$5=""),"",ABS(T340-'4_BENCHMARK'!$C$5))</f>
        <v>0</v>
      </c>
      <c r="AK340" s="10">
        <f>IF(OR(U340="",'4_BENCHMARK'!$C$6=""),"",ABS(U340-'4_BENCHMARK'!$C$6))</f>
        <v>0</v>
      </c>
      <c r="AL340" s="10">
        <f>IF(OR(V340="",'4_BENCHMARK'!$C$7=""),"",ABS(V340-'4_BENCHMARK'!$C$7))</f>
        <v>0</v>
      </c>
      <c r="AM340" s="10">
        <f>IF(OR(W340="",'4_BENCHMARK'!$C$8=""),"",ABS(W340-'4_BENCHMARK'!$C$8))</f>
        <v>1</v>
      </c>
      <c r="AN340" s="10">
        <f>IF(OR(X340="",'4_BENCHMARK'!$C$9=""),"",ABS(X340-'4_BENCHMARK'!$C$9))</f>
        <v>1</v>
      </c>
      <c r="AO340" s="10">
        <f>IF(OR(Y340="",'4_BENCHMARK'!$C$10=""),"",ABS(Y340-'4_BENCHMARK'!$C$10))</f>
        <v>0</v>
      </c>
      <c r="AP340" s="10">
        <f>IF(OR(Z340="",'4_BENCHMARK'!$C$11=""),"",ABS(Z340-'4_BENCHMARK'!$C$11))</f>
        <v>0</v>
      </c>
      <c r="AQ340" s="13">
        <f t="shared" si="192"/>
        <v>0.75</v>
      </c>
      <c r="AR340" s="10"/>
      <c r="AS340" s="36" t="s">
        <v>141</v>
      </c>
      <c r="AT340" s="13">
        <f t="shared" si="193"/>
        <v>1</v>
      </c>
      <c r="AU340" s="1" t="str">
        <f t="shared" si="194"/>
        <v/>
      </c>
      <c r="AV340" s="1" t="str">
        <f t="shared" si="195"/>
        <v/>
      </c>
      <c r="AW340" s="1" t="str">
        <f t="shared" si="196"/>
        <v/>
      </c>
      <c r="AX340" s="1" t="str">
        <f t="shared" si="197"/>
        <v/>
      </c>
      <c r="AY340" s="1" t="str">
        <f t="shared" si="198"/>
        <v/>
      </c>
      <c r="AZ340" s="1" t="str">
        <f t="shared" si="199"/>
        <v/>
      </c>
      <c r="BA340" s="1" t="str">
        <f t="shared" si="200"/>
        <v/>
      </c>
      <c r="BB340" s="1" t="str">
        <f t="shared" si="201"/>
        <v/>
      </c>
      <c r="BC340" s="1" t="str">
        <f t="shared" si="202"/>
        <v/>
      </c>
      <c r="BD340" s="1" t="str">
        <f t="shared" si="203"/>
        <v/>
      </c>
      <c r="BE340" s="1" t="str">
        <f t="shared" si="204"/>
        <v/>
      </c>
      <c r="BF340" s="1" t="str">
        <f t="shared" si="205"/>
        <v/>
      </c>
      <c r="BG340" s="1" t="str">
        <f t="shared" si="206"/>
        <v/>
      </c>
      <c r="BH340" s="1" t="str">
        <f t="shared" si="207"/>
        <v/>
      </c>
      <c r="BI340" s="1" t="str">
        <f t="shared" si="208"/>
        <v/>
      </c>
      <c r="BJ340" s="1" t="str">
        <f t="shared" si="209"/>
        <v/>
      </c>
    </row>
    <row r="341" ht="14.25" customHeight="1" spans="1:62">
      <c r="A341" s="10">
        <v>337</v>
      </c>
      <c r="B341" s="36" t="s">
        <v>1173</v>
      </c>
      <c r="C341" s="10">
        <v>1980</v>
      </c>
      <c r="D341" s="10">
        <f t="shared" si="210"/>
        <v>1980</v>
      </c>
      <c r="E341" s="36" t="s">
        <v>1174</v>
      </c>
      <c r="F341" s="35" t="s">
        <v>1175</v>
      </c>
      <c r="G341" s="36" t="s">
        <v>1176</v>
      </c>
      <c r="H341" s="10" t="s">
        <v>139</v>
      </c>
      <c r="I341" s="10" t="s">
        <v>140</v>
      </c>
      <c r="J341" s="36" t="s">
        <v>1146</v>
      </c>
      <c r="K341" s="10">
        <v>5</v>
      </c>
      <c r="L341" s="10">
        <v>5</v>
      </c>
      <c r="M341" s="10">
        <v>5</v>
      </c>
      <c r="N341" s="10">
        <v>5</v>
      </c>
      <c r="O341" s="10">
        <v>1</v>
      </c>
      <c r="P341" s="10">
        <v>1</v>
      </c>
      <c r="Q341" s="10">
        <v>3</v>
      </c>
      <c r="R341" s="10">
        <v>5</v>
      </c>
      <c r="S341" s="10">
        <f t="shared" si="176"/>
        <v>1</v>
      </c>
      <c r="T341" s="10">
        <f t="shared" si="177"/>
        <v>1</v>
      </c>
      <c r="U341" s="10">
        <f t="shared" si="178"/>
        <v>1</v>
      </c>
      <c r="V341" s="10">
        <f t="shared" si="179"/>
        <v>1</v>
      </c>
      <c r="W341" s="10">
        <f t="shared" si="180"/>
        <v>0</v>
      </c>
      <c r="X341" s="10">
        <f t="shared" si="181"/>
        <v>0</v>
      </c>
      <c r="Y341" s="10">
        <f t="shared" si="182"/>
        <v>0.5</v>
      </c>
      <c r="Z341" s="10">
        <f t="shared" si="183"/>
        <v>1</v>
      </c>
      <c r="AA341" s="10" t="str">
        <f t="shared" si="184"/>
        <v/>
      </c>
      <c r="AB341" s="10" t="str">
        <f t="shared" si="185"/>
        <v/>
      </c>
      <c r="AC341" s="10" t="str">
        <f t="shared" si="186"/>
        <v/>
      </c>
      <c r="AD341" s="10" t="str">
        <f t="shared" si="187"/>
        <v/>
      </c>
      <c r="AE341" s="10" t="str">
        <f t="shared" si="188"/>
        <v/>
      </c>
      <c r="AF341" s="10" t="str">
        <f t="shared" si="189"/>
        <v/>
      </c>
      <c r="AG341" s="10" t="str">
        <f t="shared" si="190"/>
        <v/>
      </c>
      <c r="AH341" s="10" t="str">
        <f t="shared" si="191"/>
        <v/>
      </c>
      <c r="AI341" s="10">
        <f>IF(OR(S341="",'4_BENCHMARK'!$C$4=""),"",ABS(S341-'4_BENCHMARK'!$C$4))</f>
        <v>0</v>
      </c>
      <c r="AJ341" s="10">
        <f>IF(OR(T341="",'4_BENCHMARK'!$C$5=""),"",ABS(T341-'4_BENCHMARK'!$C$5))</f>
        <v>0</v>
      </c>
      <c r="AK341" s="10">
        <f>IF(OR(U341="",'4_BENCHMARK'!$C$6=""),"",ABS(U341-'4_BENCHMARK'!$C$6))</f>
        <v>0</v>
      </c>
      <c r="AL341" s="10">
        <f>IF(OR(V341="",'4_BENCHMARK'!$C$7=""),"",ABS(V341-'4_BENCHMARK'!$C$7))</f>
        <v>0</v>
      </c>
      <c r="AM341" s="10">
        <f>IF(OR(W341="",'4_BENCHMARK'!$C$8=""),"",ABS(W341-'4_BENCHMARK'!$C$8))</f>
        <v>0</v>
      </c>
      <c r="AN341" s="10">
        <f>IF(OR(X341="",'4_BENCHMARK'!$C$9=""),"",ABS(X341-'4_BENCHMARK'!$C$9))</f>
        <v>0</v>
      </c>
      <c r="AO341" s="10">
        <f>IF(OR(Y341="",'4_BENCHMARK'!$C$10=""),"",ABS(Y341-'4_BENCHMARK'!$C$10))</f>
        <v>0</v>
      </c>
      <c r="AP341" s="10">
        <f>IF(OR(Z341="",'4_BENCHMARK'!$C$11=""),"",ABS(Z341-'4_BENCHMARK'!$C$11))</f>
        <v>0</v>
      </c>
      <c r="AQ341" s="13">
        <f t="shared" si="192"/>
        <v>1</v>
      </c>
      <c r="AR341" s="10"/>
      <c r="AS341" s="36" t="s">
        <v>141</v>
      </c>
      <c r="AT341" s="13">
        <f t="shared" si="193"/>
        <v>1</v>
      </c>
      <c r="AU341" s="1" t="str">
        <f t="shared" si="194"/>
        <v/>
      </c>
      <c r="AV341" s="1" t="str">
        <f t="shared" si="195"/>
        <v/>
      </c>
      <c r="AW341" s="1" t="str">
        <f t="shared" si="196"/>
        <v/>
      </c>
      <c r="AX341" s="1" t="str">
        <f t="shared" si="197"/>
        <v/>
      </c>
      <c r="AY341" s="1" t="str">
        <f t="shared" si="198"/>
        <v/>
      </c>
      <c r="AZ341" s="1" t="str">
        <f t="shared" si="199"/>
        <v/>
      </c>
      <c r="BA341" s="1" t="str">
        <f t="shared" si="200"/>
        <v/>
      </c>
      <c r="BB341" s="1" t="str">
        <f t="shared" si="201"/>
        <v/>
      </c>
      <c r="BC341" s="1" t="str">
        <f t="shared" si="202"/>
        <v/>
      </c>
      <c r="BD341" s="1" t="str">
        <f t="shared" si="203"/>
        <v/>
      </c>
      <c r="BE341" s="1" t="str">
        <f t="shared" si="204"/>
        <v/>
      </c>
      <c r="BF341" s="1" t="str">
        <f t="shared" si="205"/>
        <v/>
      </c>
      <c r="BG341" s="1" t="str">
        <f t="shared" si="206"/>
        <v/>
      </c>
      <c r="BH341" s="1" t="str">
        <f t="shared" si="207"/>
        <v/>
      </c>
      <c r="BI341" s="1" t="str">
        <f t="shared" si="208"/>
        <v/>
      </c>
      <c r="BJ341" s="1" t="str">
        <f t="shared" si="209"/>
        <v/>
      </c>
    </row>
    <row r="342" ht="14.25" customHeight="1" spans="1:62">
      <c r="A342" s="10">
        <v>338</v>
      </c>
      <c r="B342" s="36" t="s">
        <v>1177</v>
      </c>
      <c r="C342" s="10">
        <v>1980</v>
      </c>
      <c r="D342" s="10">
        <f t="shared" si="210"/>
        <v>1980</v>
      </c>
      <c r="E342" s="36" t="s">
        <v>801</v>
      </c>
      <c r="F342" s="35" t="s">
        <v>1178</v>
      </c>
      <c r="G342" s="36" t="s">
        <v>1179</v>
      </c>
      <c r="H342" s="10" t="s">
        <v>139</v>
      </c>
      <c r="I342" s="10" t="s">
        <v>140</v>
      </c>
      <c r="J342" s="36" t="s">
        <v>1146</v>
      </c>
      <c r="K342" s="10">
        <v>5</v>
      </c>
      <c r="L342" s="10">
        <v>5</v>
      </c>
      <c r="M342" s="10">
        <v>5</v>
      </c>
      <c r="N342" s="10">
        <v>5</v>
      </c>
      <c r="O342" s="10">
        <v>5</v>
      </c>
      <c r="P342" s="10">
        <v>5</v>
      </c>
      <c r="Q342" s="10">
        <v>3</v>
      </c>
      <c r="R342" s="10">
        <v>5</v>
      </c>
      <c r="S342" s="10">
        <f t="shared" si="176"/>
        <v>1</v>
      </c>
      <c r="T342" s="10">
        <f t="shared" si="177"/>
        <v>1</v>
      </c>
      <c r="U342" s="10">
        <f t="shared" si="178"/>
        <v>1</v>
      </c>
      <c r="V342" s="10">
        <f t="shared" si="179"/>
        <v>1</v>
      </c>
      <c r="W342" s="10">
        <f t="shared" si="180"/>
        <v>1</v>
      </c>
      <c r="X342" s="10">
        <f t="shared" si="181"/>
        <v>1</v>
      </c>
      <c r="Y342" s="10">
        <f t="shared" si="182"/>
        <v>0.5</v>
      </c>
      <c r="Z342" s="10">
        <f t="shared" si="183"/>
        <v>1</v>
      </c>
      <c r="AA342" s="10" t="str">
        <f t="shared" si="184"/>
        <v/>
      </c>
      <c r="AB342" s="10" t="str">
        <f t="shared" si="185"/>
        <v/>
      </c>
      <c r="AC342" s="10" t="str">
        <f t="shared" si="186"/>
        <v/>
      </c>
      <c r="AD342" s="10" t="str">
        <f t="shared" si="187"/>
        <v/>
      </c>
      <c r="AE342" s="10" t="str">
        <f t="shared" si="188"/>
        <v/>
      </c>
      <c r="AF342" s="10" t="str">
        <f t="shared" si="189"/>
        <v/>
      </c>
      <c r="AG342" s="10" t="str">
        <f t="shared" si="190"/>
        <v/>
      </c>
      <c r="AH342" s="10" t="str">
        <f t="shared" si="191"/>
        <v/>
      </c>
      <c r="AI342" s="10">
        <f>IF(OR(S342="",'4_BENCHMARK'!$C$4=""),"",ABS(S342-'4_BENCHMARK'!$C$4))</f>
        <v>0</v>
      </c>
      <c r="AJ342" s="10">
        <f>IF(OR(T342="",'4_BENCHMARK'!$C$5=""),"",ABS(T342-'4_BENCHMARK'!$C$5))</f>
        <v>0</v>
      </c>
      <c r="AK342" s="10">
        <f>IF(OR(U342="",'4_BENCHMARK'!$C$6=""),"",ABS(U342-'4_BENCHMARK'!$C$6))</f>
        <v>0</v>
      </c>
      <c r="AL342" s="10">
        <f>IF(OR(V342="",'4_BENCHMARK'!$C$7=""),"",ABS(V342-'4_BENCHMARK'!$C$7))</f>
        <v>0</v>
      </c>
      <c r="AM342" s="10">
        <f>IF(OR(W342="",'4_BENCHMARK'!$C$8=""),"",ABS(W342-'4_BENCHMARK'!$C$8))</f>
        <v>1</v>
      </c>
      <c r="AN342" s="10">
        <f>IF(OR(X342="",'4_BENCHMARK'!$C$9=""),"",ABS(X342-'4_BENCHMARK'!$C$9))</f>
        <v>1</v>
      </c>
      <c r="AO342" s="10">
        <f>IF(OR(Y342="",'4_BENCHMARK'!$C$10=""),"",ABS(Y342-'4_BENCHMARK'!$C$10))</f>
        <v>0</v>
      </c>
      <c r="AP342" s="10">
        <f>IF(OR(Z342="",'4_BENCHMARK'!$C$11=""),"",ABS(Z342-'4_BENCHMARK'!$C$11))</f>
        <v>0</v>
      </c>
      <c r="AQ342" s="13">
        <f t="shared" si="192"/>
        <v>0.75</v>
      </c>
      <c r="AR342" s="10"/>
      <c r="AS342" s="36" t="s">
        <v>141</v>
      </c>
      <c r="AT342" s="13">
        <f t="shared" si="193"/>
        <v>1</v>
      </c>
      <c r="AU342" s="1" t="str">
        <f t="shared" si="194"/>
        <v/>
      </c>
      <c r="AV342" s="1" t="str">
        <f t="shared" si="195"/>
        <v/>
      </c>
      <c r="AW342" s="1" t="str">
        <f t="shared" si="196"/>
        <v/>
      </c>
      <c r="AX342" s="1" t="str">
        <f t="shared" si="197"/>
        <v/>
      </c>
      <c r="AY342" s="1" t="str">
        <f t="shared" si="198"/>
        <v/>
      </c>
      <c r="AZ342" s="1" t="str">
        <f t="shared" si="199"/>
        <v/>
      </c>
      <c r="BA342" s="1" t="str">
        <f t="shared" si="200"/>
        <v/>
      </c>
      <c r="BB342" s="1" t="str">
        <f t="shared" si="201"/>
        <v/>
      </c>
      <c r="BC342" s="1" t="str">
        <f t="shared" si="202"/>
        <v/>
      </c>
      <c r="BD342" s="1" t="str">
        <f t="shared" si="203"/>
        <v/>
      </c>
      <c r="BE342" s="1" t="str">
        <f t="shared" si="204"/>
        <v/>
      </c>
      <c r="BF342" s="1" t="str">
        <f t="shared" si="205"/>
        <v/>
      </c>
      <c r="BG342" s="1" t="str">
        <f t="shared" si="206"/>
        <v/>
      </c>
      <c r="BH342" s="1" t="str">
        <f t="shared" si="207"/>
        <v/>
      </c>
      <c r="BI342" s="1" t="str">
        <f t="shared" si="208"/>
        <v/>
      </c>
      <c r="BJ342" s="1" t="str">
        <f t="shared" si="209"/>
        <v/>
      </c>
    </row>
    <row r="343" ht="14.25" customHeight="1" spans="1:62">
      <c r="A343" s="10">
        <v>339</v>
      </c>
      <c r="B343" s="36" t="s">
        <v>1180</v>
      </c>
      <c r="C343" s="10">
        <v>1980</v>
      </c>
      <c r="D343" s="10">
        <f t="shared" si="210"/>
        <v>1980</v>
      </c>
      <c r="E343" s="36" t="s">
        <v>801</v>
      </c>
      <c r="F343" s="35" t="s">
        <v>1181</v>
      </c>
      <c r="G343" s="36" t="s">
        <v>1182</v>
      </c>
      <c r="H343" s="10" t="s">
        <v>140</v>
      </c>
      <c r="I343" s="10" t="s">
        <v>140</v>
      </c>
      <c r="J343" s="36" t="s">
        <v>1183</v>
      </c>
      <c r="K343" s="10">
        <v>4</v>
      </c>
      <c r="L343" s="10">
        <v>4</v>
      </c>
      <c r="M343" s="10">
        <v>4</v>
      </c>
      <c r="N343" s="10">
        <v>5</v>
      </c>
      <c r="O343" s="10">
        <v>5</v>
      </c>
      <c r="P343" s="10">
        <v>5</v>
      </c>
      <c r="Q343" s="10">
        <v>1</v>
      </c>
      <c r="R343" s="10">
        <v>5</v>
      </c>
      <c r="S343" s="10">
        <f t="shared" si="176"/>
        <v>0.75</v>
      </c>
      <c r="T343" s="10">
        <f t="shared" si="177"/>
        <v>0.75</v>
      </c>
      <c r="U343" s="10">
        <f t="shared" si="178"/>
        <v>0.75</v>
      </c>
      <c r="V343" s="10">
        <f t="shared" si="179"/>
        <v>1</v>
      </c>
      <c r="W343" s="10">
        <f t="shared" si="180"/>
        <v>1</v>
      </c>
      <c r="X343" s="10">
        <f t="shared" si="181"/>
        <v>1</v>
      </c>
      <c r="Y343" s="10">
        <f t="shared" si="182"/>
        <v>0</v>
      </c>
      <c r="Z343" s="10">
        <f t="shared" si="183"/>
        <v>1</v>
      </c>
      <c r="AA343" s="10" t="str">
        <f t="shared" si="184"/>
        <v/>
      </c>
      <c r="AB343" s="10" t="str">
        <f t="shared" si="185"/>
        <v/>
      </c>
      <c r="AC343" s="10" t="str">
        <f t="shared" si="186"/>
        <v/>
      </c>
      <c r="AD343" s="10" t="str">
        <f t="shared" si="187"/>
        <v/>
      </c>
      <c r="AE343" s="10" t="str">
        <f t="shared" si="188"/>
        <v/>
      </c>
      <c r="AF343" s="10" t="str">
        <f t="shared" si="189"/>
        <v/>
      </c>
      <c r="AG343" s="10" t="str">
        <f t="shared" si="190"/>
        <v/>
      </c>
      <c r="AH343" s="10" t="str">
        <f t="shared" si="191"/>
        <v/>
      </c>
      <c r="AI343" s="10">
        <f>IF(OR(S343="",'4_BENCHMARK'!$C$4=""),"",ABS(S343-'4_BENCHMARK'!$C$4))</f>
        <v>0.25</v>
      </c>
      <c r="AJ343" s="10">
        <f>IF(OR(T343="",'4_BENCHMARK'!$C$5=""),"",ABS(T343-'4_BENCHMARK'!$C$5))</f>
        <v>0.25</v>
      </c>
      <c r="AK343" s="10">
        <f>IF(OR(U343="",'4_BENCHMARK'!$C$6=""),"",ABS(U343-'4_BENCHMARK'!$C$6))</f>
        <v>0.25</v>
      </c>
      <c r="AL343" s="10">
        <f>IF(OR(V343="",'4_BENCHMARK'!$C$7=""),"",ABS(V343-'4_BENCHMARK'!$C$7))</f>
        <v>0</v>
      </c>
      <c r="AM343" s="10">
        <f>IF(OR(W343="",'4_BENCHMARK'!$C$8=""),"",ABS(W343-'4_BENCHMARK'!$C$8))</f>
        <v>1</v>
      </c>
      <c r="AN343" s="10">
        <f>IF(OR(X343="",'4_BENCHMARK'!$C$9=""),"",ABS(X343-'4_BENCHMARK'!$C$9))</f>
        <v>1</v>
      </c>
      <c r="AO343" s="10">
        <f>IF(OR(Y343="",'4_BENCHMARK'!$C$10=""),"",ABS(Y343-'4_BENCHMARK'!$C$10))</f>
        <v>0.5</v>
      </c>
      <c r="AP343" s="10">
        <f>IF(OR(Z343="",'4_BENCHMARK'!$C$11=""),"",ABS(Z343-'4_BENCHMARK'!$C$11))</f>
        <v>0</v>
      </c>
      <c r="AQ343" s="13">
        <f t="shared" si="192"/>
        <v>0.59375</v>
      </c>
      <c r="AR343" s="10"/>
      <c r="AS343" s="36" t="s">
        <v>149</v>
      </c>
      <c r="AT343" s="13">
        <f t="shared" si="193"/>
        <v>0.791666666666667</v>
      </c>
      <c r="AU343" s="1" t="str">
        <f t="shared" si="194"/>
        <v/>
      </c>
      <c r="AV343" s="1" t="str">
        <f t="shared" si="195"/>
        <v/>
      </c>
      <c r="AW343" s="1" t="str">
        <f t="shared" si="196"/>
        <v/>
      </c>
      <c r="AX343" s="1" t="str">
        <f t="shared" si="197"/>
        <v/>
      </c>
      <c r="AY343" s="1" t="str">
        <f t="shared" si="198"/>
        <v/>
      </c>
      <c r="AZ343" s="1" t="str">
        <f t="shared" si="199"/>
        <v/>
      </c>
      <c r="BA343" s="1" t="str">
        <f t="shared" si="200"/>
        <v/>
      </c>
      <c r="BB343" s="1" t="str">
        <f t="shared" si="201"/>
        <v/>
      </c>
      <c r="BC343" s="1" t="str">
        <f t="shared" si="202"/>
        <v/>
      </c>
      <c r="BD343" s="1" t="str">
        <f t="shared" si="203"/>
        <v/>
      </c>
      <c r="BE343" s="1" t="str">
        <f t="shared" si="204"/>
        <v/>
      </c>
      <c r="BF343" s="1" t="str">
        <f t="shared" si="205"/>
        <v/>
      </c>
      <c r="BG343" s="1" t="str">
        <f t="shared" si="206"/>
        <v/>
      </c>
      <c r="BH343" s="1" t="str">
        <f t="shared" si="207"/>
        <v/>
      </c>
      <c r="BI343" s="1" t="str">
        <f t="shared" si="208"/>
        <v/>
      </c>
      <c r="BJ343" s="1" t="str">
        <f t="shared" si="209"/>
        <v/>
      </c>
    </row>
    <row r="344" ht="14.25" customHeight="1" spans="1:62">
      <c r="A344" s="10">
        <v>340</v>
      </c>
      <c r="B344" s="36" t="s">
        <v>1184</v>
      </c>
      <c r="C344" s="10">
        <v>1980</v>
      </c>
      <c r="D344" s="10">
        <f t="shared" si="210"/>
        <v>1980</v>
      </c>
      <c r="E344" s="36" t="s">
        <v>801</v>
      </c>
      <c r="F344" s="35" t="s">
        <v>1185</v>
      </c>
      <c r="G344" s="36" t="s">
        <v>1186</v>
      </c>
      <c r="H344" s="10" t="s">
        <v>139</v>
      </c>
      <c r="I344" s="10" t="s">
        <v>140</v>
      </c>
      <c r="J344" s="36" t="s">
        <v>1146</v>
      </c>
      <c r="K344" s="10">
        <v>5</v>
      </c>
      <c r="L344" s="10">
        <v>5</v>
      </c>
      <c r="M344" s="10">
        <v>5</v>
      </c>
      <c r="N344" s="10">
        <v>5</v>
      </c>
      <c r="O344" s="10">
        <v>5</v>
      </c>
      <c r="P344" s="10">
        <v>5</v>
      </c>
      <c r="Q344" s="10">
        <v>3</v>
      </c>
      <c r="R344" s="10">
        <v>5</v>
      </c>
      <c r="S344" s="10">
        <f t="shared" si="176"/>
        <v>1</v>
      </c>
      <c r="T344" s="10">
        <f t="shared" si="177"/>
        <v>1</v>
      </c>
      <c r="U344" s="10">
        <f t="shared" si="178"/>
        <v>1</v>
      </c>
      <c r="V344" s="10">
        <f t="shared" si="179"/>
        <v>1</v>
      </c>
      <c r="W344" s="10">
        <f t="shared" si="180"/>
        <v>1</v>
      </c>
      <c r="X344" s="10">
        <f t="shared" si="181"/>
        <v>1</v>
      </c>
      <c r="Y344" s="10">
        <f t="shared" si="182"/>
        <v>0.5</v>
      </c>
      <c r="Z344" s="10">
        <f t="shared" si="183"/>
        <v>1</v>
      </c>
      <c r="AA344" s="10" t="str">
        <f t="shared" si="184"/>
        <v/>
      </c>
      <c r="AB344" s="10" t="str">
        <f t="shared" si="185"/>
        <v/>
      </c>
      <c r="AC344" s="10" t="str">
        <f t="shared" si="186"/>
        <v/>
      </c>
      <c r="AD344" s="10" t="str">
        <f t="shared" si="187"/>
        <v/>
      </c>
      <c r="AE344" s="10" t="str">
        <f t="shared" si="188"/>
        <v/>
      </c>
      <c r="AF344" s="10" t="str">
        <f t="shared" si="189"/>
        <v/>
      </c>
      <c r="AG344" s="10" t="str">
        <f t="shared" si="190"/>
        <v/>
      </c>
      <c r="AH344" s="10" t="str">
        <f t="shared" si="191"/>
        <v/>
      </c>
      <c r="AI344" s="10">
        <f>IF(OR(S344="",'4_BENCHMARK'!$C$4=""),"",ABS(S344-'4_BENCHMARK'!$C$4))</f>
        <v>0</v>
      </c>
      <c r="AJ344" s="10">
        <f>IF(OR(T344="",'4_BENCHMARK'!$C$5=""),"",ABS(T344-'4_BENCHMARK'!$C$5))</f>
        <v>0</v>
      </c>
      <c r="AK344" s="10">
        <f>IF(OR(U344="",'4_BENCHMARK'!$C$6=""),"",ABS(U344-'4_BENCHMARK'!$C$6))</f>
        <v>0</v>
      </c>
      <c r="AL344" s="10">
        <f>IF(OR(V344="",'4_BENCHMARK'!$C$7=""),"",ABS(V344-'4_BENCHMARK'!$C$7))</f>
        <v>0</v>
      </c>
      <c r="AM344" s="10">
        <f>IF(OR(W344="",'4_BENCHMARK'!$C$8=""),"",ABS(W344-'4_BENCHMARK'!$C$8))</f>
        <v>1</v>
      </c>
      <c r="AN344" s="10">
        <f>IF(OR(X344="",'4_BENCHMARK'!$C$9=""),"",ABS(X344-'4_BENCHMARK'!$C$9))</f>
        <v>1</v>
      </c>
      <c r="AO344" s="10">
        <f>IF(OR(Y344="",'4_BENCHMARK'!$C$10=""),"",ABS(Y344-'4_BENCHMARK'!$C$10))</f>
        <v>0</v>
      </c>
      <c r="AP344" s="10">
        <f>IF(OR(Z344="",'4_BENCHMARK'!$C$11=""),"",ABS(Z344-'4_BENCHMARK'!$C$11))</f>
        <v>0</v>
      </c>
      <c r="AQ344" s="13">
        <f t="shared" si="192"/>
        <v>0.75</v>
      </c>
      <c r="AR344" s="10"/>
      <c r="AS344" s="36" t="s">
        <v>141</v>
      </c>
      <c r="AT344" s="13">
        <f t="shared" si="193"/>
        <v>1</v>
      </c>
      <c r="AU344" s="1" t="str">
        <f t="shared" si="194"/>
        <v/>
      </c>
      <c r="AV344" s="1" t="str">
        <f t="shared" si="195"/>
        <v/>
      </c>
      <c r="AW344" s="1" t="str">
        <f t="shared" si="196"/>
        <v/>
      </c>
      <c r="AX344" s="1" t="str">
        <f t="shared" si="197"/>
        <v/>
      </c>
      <c r="AY344" s="1" t="str">
        <f t="shared" si="198"/>
        <v/>
      </c>
      <c r="AZ344" s="1" t="str">
        <f t="shared" si="199"/>
        <v/>
      </c>
      <c r="BA344" s="1" t="str">
        <f t="shared" si="200"/>
        <v/>
      </c>
      <c r="BB344" s="1" t="str">
        <f t="shared" si="201"/>
        <v/>
      </c>
      <c r="BC344" s="1" t="str">
        <f t="shared" si="202"/>
        <v/>
      </c>
      <c r="BD344" s="1" t="str">
        <f t="shared" si="203"/>
        <v/>
      </c>
      <c r="BE344" s="1" t="str">
        <f t="shared" si="204"/>
        <v/>
      </c>
      <c r="BF344" s="1" t="str">
        <f t="shared" si="205"/>
        <v/>
      </c>
      <c r="BG344" s="1" t="str">
        <f t="shared" si="206"/>
        <v/>
      </c>
      <c r="BH344" s="1" t="str">
        <f t="shared" si="207"/>
        <v/>
      </c>
      <c r="BI344" s="1" t="str">
        <f t="shared" si="208"/>
        <v/>
      </c>
      <c r="BJ344" s="1" t="str">
        <f t="shared" si="209"/>
        <v/>
      </c>
    </row>
    <row r="345" ht="14.25" customHeight="1" spans="1:62">
      <c r="A345" s="10">
        <v>341</v>
      </c>
      <c r="B345" s="36" t="s">
        <v>1187</v>
      </c>
      <c r="C345" s="10">
        <v>1980</v>
      </c>
      <c r="D345" s="10">
        <f t="shared" si="210"/>
        <v>1980</v>
      </c>
      <c r="E345" s="36" t="s">
        <v>801</v>
      </c>
      <c r="F345" s="35" t="s">
        <v>1188</v>
      </c>
      <c r="G345" s="36" t="s">
        <v>1189</v>
      </c>
      <c r="H345" s="10" t="s">
        <v>139</v>
      </c>
      <c r="I345" s="10" t="s">
        <v>140</v>
      </c>
      <c r="J345" s="36" t="s">
        <v>1157</v>
      </c>
      <c r="K345" s="10">
        <v>5</v>
      </c>
      <c r="L345" s="10">
        <v>5</v>
      </c>
      <c r="M345" s="10">
        <v>5</v>
      </c>
      <c r="N345" s="10">
        <v>4</v>
      </c>
      <c r="O345" s="10">
        <v>5</v>
      </c>
      <c r="P345" s="10">
        <v>5</v>
      </c>
      <c r="Q345" s="10">
        <v>3</v>
      </c>
      <c r="R345" s="10">
        <v>5</v>
      </c>
      <c r="S345" s="10">
        <f t="shared" si="176"/>
        <v>1</v>
      </c>
      <c r="T345" s="10">
        <f t="shared" si="177"/>
        <v>1</v>
      </c>
      <c r="U345" s="10">
        <f t="shared" si="178"/>
        <v>1</v>
      </c>
      <c r="V345" s="10">
        <f t="shared" si="179"/>
        <v>0.75</v>
      </c>
      <c r="W345" s="10">
        <f t="shared" si="180"/>
        <v>1</v>
      </c>
      <c r="X345" s="10">
        <f t="shared" si="181"/>
        <v>1</v>
      </c>
      <c r="Y345" s="10">
        <f t="shared" si="182"/>
        <v>0.5</v>
      </c>
      <c r="Z345" s="10">
        <f t="shared" si="183"/>
        <v>1</v>
      </c>
      <c r="AA345" s="10" t="str">
        <f t="shared" si="184"/>
        <v/>
      </c>
      <c r="AB345" s="10" t="str">
        <f t="shared" si="185"/>
        <v/>
      </c>
      <c r="AC345" s="10" t="str">
        <f t="shared" si="186"/>
        <v/>
      </c>
      <c r="AD345" s="10" t="str">
        <f t="shared" si="187"/>
        <v/>
      </c>
      <c r="AE345" s="10" t="str">
        <f t="shared" si="188"/>
        <v/>
      </c>
      <c r="AF345" s="10" t="str">
        <f t="shared" si="189"/>
        <v/>
      </c>
      <c r="AG345" s="10" t="str">
        <f t="shared" si="190"/>
        <v/>
      </c>
      <c r="AH345" s="10" t="str">
        <f t="shared" si="191"/>
        <v/>
      </c>
      <c r="AI345" s="10">
        <f>IF(OR(S345="",'4_BENCHMARK'!$C$4=""),"",ABS(S345-'4_BENCHMARK'!$C$4))</f>
        <v>0</v>
      </c>
      <c r="AJ345" s="10">
        <f>IF(OR(T345="",'4_BENCHMARK'!$C$5=""),"",ABS(T345-'4_BENCHMARK'!$C$5))</f>
        <v>0</v>
      </c>
      <c r="AK345" s="10">
        <f>IF(OR(U345="",'4_BENCHMARK'!$C$6=""),"",ABS(U345-'4_BENCHMARK'!$C$6))</f>
        <v>0</v>
      </c>
      <c r="AL345" s="10">
        <f>IF(OR(V345="",'4_BENCHMARK'!$C$7=""),"",ABS(V345-'4_BENCHMARK'!$C$7))</f>
        <v>0.25</v>
      </c>
      <c r="AM345" s="10">
        <f>IF(OR(W345="",'4_BENCHMARK'!$C$8=""),"",ABS(W345-'4_BENCHMARK'!$C$8))</f>
        <v>1</v>
      </c>
      <c r="AN345" s="10">
        <f>IF(OR(X345="",'4_BENCHMARK'!$C$9=""),"",ABS(X345-'4_BENCHMARK'!$C$9))</f>
        <v>1</v>
      </c>
      <c r="AO345" s="10">
        <f>IF(OR(Y345="",'4_BENCHMARK'!$C$10=""),"",ABS(Y345-'4_BENCHMARK'!$C$10))</f>
        <v>0</v>
      </c>
      <c r="AP345" s="10">
        <f>IF(OR(Z345="",'4_BENCHMARK'!$C$11=""),"",ABS(Z345-'4_BENCHMARK'!$C$11))</f>
        <v>0</v>
      </c>
      <c r="AQ345" s="13">
        <f t="shared" si="192"/>
        <v>0.71875</v>
      </c>
      <c r="AR345" s="10"/>
      <c r="AS345" s="36" t="s">
        <v>141</v>
      </c>
      <c r="AT345" s="13">
        <f t="shared" si="193"/>
        <v>0.958333333333333</v>
      </c>
      <c r="AU345" s="1" t="str">
        <f t="shared" si="194"/>
        <v/>
      </c>
      <c r="AV345" s="1" t="str">
        <f t="shared" si="195"/>
        <v/>
      </c>
      <c r="AW345" s="1" t="str">
        <f t="shared" si="196"/>
        <v/>
      </c>
      <c r="AX345" s="1" t="str">
        <f t="shared" si="197"/>
        <v/>
      </c>
      <c r="AY345" s="1" t="str">
        <f t="shared" si="198"/>
        <v/>
      </c>
      <c r="AZ345" s="1" t="str">
        <f t="shared" si="199"/>
        <v/>
      </c>
      <c r="BA345" s="1" t="str">
        <f t="shared" si="200"/>
        <v/>
      </c>
      <c r="BB345" s="1" t="str">
        <f t="shared" si="201"/>
        <v/>
      </c>
      <c r="BC345" s="1" t="str">
        <f t="shared" si="202"/>
        <v/>
      </c>
      <c r="BD345" s="1" t="str">
        <f t="shared" si="203"/>
        <v/>
      </c>
      <c r="BE345" s="1" t="str">
        <f t="shared" si="204"/>
        <v/>
      </c>
      <c r="BF345" s="1" t="str">
        <f t="shared" si="205"/>
        <v/>
      </c>
      <c r="BG345" s="1" t="str">
        <f t="shared" si="206"/>
        <v/>
      </c>
      <c r="BH345" s="1" t="str">
        <f t="shared" si="207"/>
        <v/>
      </c>
      <c r="BI345" s="1" t="str">
        <f t="shared" si="208"/>
        <v/>
      </c>
      <c r="BJ345" s="1" t="str">
        <f t="shared" si="209"/>
        <v/>
      </c>
    </row>
    <row r="346" ht="14.25" customHeight="1" spans="1:62">
      <c r="A346" s="10">
        <v>342</v>
      </c>
      <c r="B346" s="36" t="s">
        <v>1190</v>
      </c>
      <c r="C346" s="10">
        <v>1980</v>
      </c>
      <c r="D346" s="10">
        <f t="shared" si="210"/>
        <v>1980</v>
      </c>
      <c r="E346" s="36" t="s">
        <v>801</v>
      </c>
      <c r="F346" s="35" t="s">
        <v>1191</v>
      </c>
      <c r="G346" s="36" t="s">
        <v>1192</v>
      </c>
      <c r="H346" s="10" t="s">
        <v>139</v>
      </c>
      <c r="I346" s="10" t="s">
        <v>140</v>
      </c>
      <c r="J346" s="36" t="s">
        <v>1146</v>
      </c>
      <c r="K346" s="10">
        <v>5</v>
      </c>
      <c r="L346" s="10">
        <v>5</v>
      </c>
      <c r="M346" s="10">
        <v>5</v>
      </c>
      <c r="N346" s="10">
        <v>5</v>
      </c>
      <c r="O346" s="10">
        <v>1</v>
      </c>
      <c r="P346" s="10">
        <v>1</v>
      </c>
      <c r="Q346" s="10">
        <v>2</v>
      </c>
      <c r="R346" s="10">
        <v>5</v>
      </c>
      <c r="S346" s="10">
        <f t="shared" si="176"/>
        <v>1</v>
      </c>
      <c r="T346" s="10">
        <f t="shared" si="177"/>
        <v>1</v>
      </c>
      <c r="U346" s="10">
        <f t="shared" si="178"/>
        <v>1</v>
      </c>
      <c r="V346" s="10">
        <f t="shared" si="179"/>
        <v>1</v>
      </c>
      <c r="W346" s="10">
        <f t="shared" si="180"/>
        <v>0</v>
      </c>
      <c r="X346" s="10">
        <f t="shared" si="181"/>
        <v>0</v>
      </c>
      <c r="Y346" s="10">
        <f t="shared" si="182"/>
        <v>0.25</v>
      </c>
      <c r="Z346" s="10">
        <f t="shared" si="183"/>
        <v>1</v>
      </c>
      <c r="AA346" s="10" t="str">
        <f t="shared" si="184"/>
        <v/>
      </c>
      <c r="AB346" s="10" t="str">
        <f t="shared" si="185"/>
        <v/>
      </c>
      <c r="AC346" s="10" t="str">
        <f t="shared" si="186"/>
        <v/>
      </c>
      <c r="AD346" s="10" t="str">
        <f t="shared" si="187"/>
        <v/>
      </c>
      <c r="AE346" s="10" t="str">
        <f t="shared" si="188"/>
        <v/>
      </c>
      <c r="AF346" s="10" t="str">
        <f t="shared" si="189"/>
        <v/>
      </c>
      <c r="AG346" s="10" t="str">
        <f t="shared" si="190"/>
        <v/>
      </c>
      <c r="AH346" s="10" t="str">
        <f t="shared" si="191"/>
        <v/>
      </c>
      <c r="AI346" s="10">
        <f>IF(OR(S346="",'4_BENCHMARK'!$C$4=""),"",ABS(S346-'4_BENCHMARK'!$C$4))</f>
        <v>0</v>
      </c>
      <c r="AJ346" s="10">
        <f>IF(OR(T346="",'4_BENCHMARK'!$C$5=""),"",ABS(T346-'4_BENCHMARK'!$C$5))</f>
        <v>0</v>
      </c>
      <c r="AK346" s="10">
        <f>IF(OR(U346="",'4_BENCHMARK'!$C$6=""),"",ABS(U346-'4_BENCHMARK'!$C$6))</f>
        <v>0</v>
      </c>
      <c r="AL346" s="10">
        <f>IF(OR(V346="",'4_BENCHMARK'!$C$7=""),"",ABS(V346-'4_BENCHMARK'!$C$7))</f>
        <v>0</v>
      </c>
      <c r="AM346" s="10">
        <f>IF(OR(W346="",'4_BENCHMARK'!$C$8=""),"",ABS(W346-'4_BENCHMARK'!$C$8))</f>
        <v>0</v>
      </c>
      <c r="AN346" s="10">
        <f>IF(OR(X346="",'4_BENCHMARK'!$C$9=""),"",ABS(X346-'4_BENCHMARK'!$C$9))</f>
        <v>0</v>
      </c>
      <c r="AO346" s="10">
        <f>IF(OR(Y346="",'4_BENCHMARK'!$C$10=""),"",ABS(Y346-'4_BENCHMARK'!$C$10))</f>
        <v>0.25</v>
      </c>
      <c r="AP346" s="10">
        <f>IF(OR(Z346="",'4_BENCHMARK'!$C$11=""),"",ABS(Z346-'4_BENCHMARK'!$C$11))</f>
        <v>0</v>
      </c>
      <c r="AQ346" s="13">
        <f t="shared" si="192"/>
        <v>0.96875</v>
      </c>
      <c r="AR346" s="10"/>
      <c r="AS346" s="36" t="s">
        <v>141</v>
      </c>
      <c r="AT346" s="13">
        <f t="shared" si="193"/>
        <v>0.958333333333333</v>
      </c>
      <c r="AU346" s="1" t="str">
        <f t="shared" si="194"/>
        <v/>
      </c>
      <c r="AV346" s="1" t="str">
        <f t="shared" si="195"/>
        <v/>
      </c>
      <c r="AW346" s="1" t="str">
        <f t="shared" si="196"/>
        <v/>
      </c>
      <c r="AX346" s="1" t="str">
        <f t="shared" si="197"/>
        <v/>
      </c>
      <c r="AY346" s="1" t="str">
        <f t="shared" si="198"/>
        <v/>
      </c>
      <c r="AZ346" s="1" t="str">
        <f t="shared" si="199"/>
        <v/>
      </c>
      <c r="BA346" s="1" t="str">
        <f t="shared" si="200"/>
        <v/>
      </c>
      <c r="BB346" s="1" t="str">
        <f t="shared" si="201"/>
        <v/>
      </c>
      <c r="BC346" s="1" t="str">
        <f t="shared" si="202"/>
        <v/>
      </c>
      <c r="BD346" s="1" t="str">
        <f t="shared" si="203"/>
        <v/>
      </c>
      <c r="BE346" s="1" t="str">
        <f t="shared" si="204"/>
        <v/>
      </c>
      <c r="BF346" s="1" t="str">
        <f t="shared" si="205"/>
        <v/>
      </c>
      <c r="BG346" s="1" t="str">
        <f t="shared" si="206"/>
        <v/>
      </c>
      <c r="BH346" s="1" t="str">
        <f t="shared" si="207"/>
        <v/>
      </c>
      <c r="BI346" s="1" t="str">
        <f t="shared" si="208"/>
        <v/>
      </c>
      <c r="BJ346" s="1" t="str">
        <f t="shared" si="209"/>
        <v/>
      </c>
    </row>
    <row r="347" ht="14.25" customHeight="1" spans="1:62">
      <c r="A347" s="10">
        <v>343</v>
      </c>
      <c r="B347" s="36" t="s">
        <v>1193</v>
      </c>
      <c r="C347" s="10">
        <v>1980</v>
      </c>
      <c r="D347" s="10">
        <f t="shared" si="210"/>
        <v>1980</v>
      </c>
      <c r="E347" s="36" t="s">
        <v>801</v>
      </c>
      <c r="F347" s="35" t="s">
        <v>1194</v>
      </c>
      <c r="G347" s="36" t="s">
        <v>1195</v>
      </c>
      <c r="H347" s="10" t="s">
        <v>139</v>
      </c>
      <c r="I347" s="10" t="s">
        <v>140</v>
      </c>
      <c r="J347" s="36" t="s">
        <v>1146</v>
      </c>
      <c r="K347" s="10">
        <v>5</v>
      </c>
      <c r="L347" s="10">
        <v>5</v>
      </c>
      <c r="M347" s="10">
        <v>5</v>
      </c>
      <c r="N347" s="10">
        <v>5</v>
      </c>
      <c r="O347" s="10">
        <v>5</v>
      </c>
      <c r="P347" s="10">
        <v>5</v>
      </c>
      <c r="Q347" s="10">
        <v>3</v>
      </c>
      <c r="R347" s="10">
        <v>5</v>
      </c>
      <c r="S347" s="10">
        <f t="shared" si="176"/>
        <v>1</v>
      </c>
      <c r="T347" s="10">
        <f t="shared" si="177"/>
        <v>1</v>
      </c>
      <c r="U347" s="10">
        <f t="shared" si="178"/>
        <v>1</v>
      </c>
      <c r="V347" s="10">
        <f t="shared" si="179"/>
        <v>1</v>
      </c>
      <c r="W347" s="10">
        <f t="shared" si="180"/>
        <v>1</v>
      </c>
      <c r="X347" s="10">
        <f t="shared" si="181"/>
        <v>1</v>
      </c>
      <c r="Y347" s="10">
        <f t="shared" si="182"/>
        <v>0.5</v>
      </c>
      <c r="Z347" s="10">
        <f t="shared" si="183"/>
        <v>1</v>
      </c>
      <c r="AA347" s="10" t="str">
        <f t="shared" si="184"/>
        <v/>
      </c>
      <c r="AB347" s="10" t="str">
        <f t="shared" si="185"/>
        <v/>
      </c>
      <c r="AC347" s="10" t="str">
        <f t="shared" si="186"/>
        <v/>
      </c>
      <c r="AD347" s="10" t="str">
        <f t="shared" si="187"/>
        <v/>
      </c>
      <c r="AE347" s="10" t="str">
        <f t="shared" si="188"/>
        <v/>
      </c>
      <c r="AF347" s="10" t="str">
        <f t="shared" si="189"/>
        <v/>
      </c>
      <c r="AG347" s="10" t="str">
        <f t="shared" si="190"/>
        <v/>
      </c>
      <c r="AH347" s="10" t="str">
        <f t="shared" si="191"/>
        <v/>
      </c>
      <c r="AI347" s="10">
        <f>IF(OR(S347="",'4_BENCHMARK'!$C$4=""),"",ABS(S347-'4_BENCHMARK'!$C$4))</f>
        <v>0</v>
      </c>
      <c r="AJ347" s="10">
        <f>IF(OR(T347="",'4_BENCHMARK'!$C$5=""),"",ABS(T347-'4_BENCHMARK'!$C$5))</f>
        <v>0</v>
      </c>
      <c r="AK347" s="10">
        <f>IF(OR(U347="",'4_BENCHMARK'!$C$6=""),"",ABS(U347-'4_BENCHMARK'!$C$6))</f>
        <v>0</v>
      </c>
      <c r="AL347" s="10">
        <f>IF(OR(V347="",'4_BENCHMARK'!$C$7=""),"",ABS(V347-'4_BENCHMARK'!$C$7))</f>
        <v>0</v>
      </c>
      <c r="AM347" s="10">
        <f>IF(OR(W347="",'4_BENCHMARK'!$C$8=""),"",ABS(W347-'4_BENCHMARK'!$C$8))</f>
        <v>1</v>
      </c>
      <c r="AN347" s="10">
        <f>IF(OR(X347="",'4_BENCHMARK'!$C$9=""),"",ABS(X347-'4_BENCHMARK'!$C$9))</f>
        <v>1</v>
      </c>
      <c r="AO347" s="10">
        <f>IF(OR(Y347="",'4_BENCHMARK'!$C$10=""),"",ABS(Y347-'4_BENCHMARK'!$C$10))</f>
        <v>0</v>
      </c>
      <c r="AP347" s="10">
        <f>IF(OR(Z347="",'4_BENCHMARK'!$C$11=""),"",ABS(Z347-'4_BENCHMARK'!$C$11))</f>
        <v>0</v>
      </c>
      <c r="AQ347" s="13">
        <f t="shared" si="192"/>
        <v>0.75</v>
      </c>
      <c r="AR347" s="10" t="s">
        <v>140</v>
      </c>
      <c r="AS347" s="36" t="s">
        <v>141</v>
      </c>
      <c r="AT347" s="13">
        <f t="shared" si="193"/>
        <v>1</v>
      </c>
      <c r="AU347" s="1" t="str">
        <f t="shared" si="194"/>
        <v/>
      </c>
      <c r="AV347" s="1" t="str">
        <f t="shared" si="195"/>
        <v/>
      </c>
      <c r="AW347" s="1" t="str">
        <f t="shared" si="196"/>
        <v/>
      </c>
      <c r="AX347" s="1" t="str">
        <f t="shared" si="197"/>
        <v/>
      </c>
      <c r="AY347" s="1" t="str">
        <f t="shared" si="198"/>
        <v/>
      </c>
      <c r="AZ347" s="1" t="str">
        <f t="shared" si="199"/>
        <v/>
      </c>
      <c r="BA347" s="1" t="str">
        <f t="shared" si="200"/>
        <v/>
      </c>
      <c r="BB347" s="1" t="str">
        <f t="shared" si="201"/>
        <v/>
      </c>
      <c r="BC347" s="1" t="str">
        <f t="shared" si="202"/>
        <v/>
      </c>
      <c r="BD347" s="1" t="str">
        <f t="shared" si="203"/>
        <v/>
      </c>
      <c r="BE347" s="1" t="str">
        <f t="shared" si="204"/>
        <v/>
      </c>
      <c r="BF347" s="1" t="str">
        <f t="shared" si="205"/>
        <v/>
      </c>
      <c r="BG347" s="1" t="str">
        <f t="shared" si="206"/>
        <v/>
      </c>
      <c r="BH347" s="1" t="str">
        <f t="shared" si="207"/>
        <v/>
      </c>
      <c r="BI347" s="1" t="str">
        <f t="shared" si="208"/>
        <v/>
      </c>
      <c r="BJ347" s="1" t="str">
        <f t="shared" si="209"/>
        <v/>
      </c>
    </row>
    <row r="348" ht="14.25" customHeight="1" spans="1:62">
      <c r="A348" s="10">
        <v>344</v>
      </c>
      <c r="B348" s="36" t="s">
        <v>1196</v>
      </c>
      <c r="C348" s="10">
        <v>1980</v>
      </c>
      <c r="D348" s="10">
        <f t="shared" si="210"/>
        <v>1980</v>
      </c>
      <c r="E348" s="36" t="s">
        <v>1197</v>
      </c>
      <c r="F348" s="35" t="s">
        <v>1198</v>
      </c>
      <c r="G348" s="36" t="s">
        <v>1199</v>
      </c>
      <c r="H348" s="10" t="s">
        <v>140</v>
      </c>
      <c r="I348" s="10" t="s">
        <v>140</v>
      </c>
      <c r="J348" s="36" t="s">
        <v>1146</v>
      </c>
      <c r="K348" s="10">
        <v>3</v>
      </c>
      <c r="L348" s="10">
        <v>4</v>
      </c>
      <c r="M348" s="10">
        <v>4</v>
      </c>
      <c r="N348" s="10">
        <v>5</v>
      </c>
      <c r="O348" s="10">
        <v>5</v>
      </c>
      <c r="P348" s="10">
        <v>5</v>
      </c>
      <c r="Q348" s="10">
        <v>2</v>
      </c>
      <c r="R348" s="10">
        <v>5</v>
      </c>
      <c r="S348" s="10">
        <f t="shared" si="176"/>
        <v>0.5</v>
      </c>
      <c r="T348" s="10">
        <f t="shared" si="177"/>
        <v>0.75</v>
      </c>
      <c r="U348" s="10">
        <f t="shared" si="178"/>
        <v>0.75</v>
      </c>
      <c r="V348" s="10">
        <f t="shared" si="179"/>
        <v>1</v>
      </c>
      <c r="W348" s="10">
        <f t="shared" si="180"/>
        <v>1</v>
      </c>
      <c r="X348" s="10">
        <f t="shared" si="181"/>
        <v>1</v>
      </c>
      <c r="Y348" s="10">
        <f t="shared" si="182"/>
        <v>0.25</v>
      </c>
      <c r="Z348" s="10">
        <f t="shared" si="183"/>
        <v>1</v>
      </c>
      <c r="AA348" s="10" t="str">
        <f t="shared" si="184"/>
        <v/>
      </c>
      <c r="AB348" s="10" t="str">
        <f t="shared" si="185"/>
        <v/>
      </c>
      <c r="AC348" s="10" t="str">
        <f t="shared" si="186"/>
        <v/>
      </c>
      <c r="AD348" s="10" t="str">
        <f t="shared" si="187"/>
        <v/>
      </c>
      <c r="AE348" s="10" t="str">
        <f t="shared" si="188"/>
        <v/>
      </c>
      <c r="AF348" s="10" t="str">
        <f t="shared" si="189"/>
        <v/>
      </c>
      <c r="AG348" s="10" t="str">
        <f t="shared" si="190"/>
        <v/>
      </c>
      <c r="AH348" s="10" t="str">
        <f t="shared" si="191"/>
        <v/>
      </c>
      <c r="AI348" s="10">
        <f>IF(OR(S348="",'4_BENCHMARK'!$C$4=""),"",ABS(S348-'4_BENCHMARK'!$C$4))</f>
        <v>0.5</v>
      </c>
      <c r="AJ348" s="10">
        <f>IF(OR(T348="",'4_BENCHMARK'!$C$5=""),"",ABS(T348-'4_BENCHMARK'!$C$5))</f>
        <v>0.25</v>
      </c>
      <c r="AK348" s="10">
        <f>IF(OR(U348="",'4_BENCHMARK'!$C$6=""),"",ABS(U348-'4_BENCHMARK'!$C$6))</f>
        <v>0.25</v>
      </c>
      <c r="AL348" s="10">
        <f>IF(OR(V348="",'4_BENCHMARK'!$C$7=""),"",ABS(V348-'4_BENCHMARK'!$C$7))</f>
        <v>0</v>
      </c>
      <c r="AM348" s="10">
        <f>IF(OR(W348="",'4_BENCHMARK'!$C$8=""),"",ABS(W348-'4_BENCHMARK'!$C$8))</f>
        <v>1</v>
      </c>
      <c r="AN348" s="10">
        <f>IF(OR(X348="",'4_BENCHMARK'!$C$9=""),"",ABS(X348-'4_BENCHMARK'!$C$9))</f>
        <v>1</v>
      </c>
      <c r="AO348" s="10">
        <f>IF(OR(Y348="",'4_BENCHMARK'!$C$10=""),"",ABS(Y348-'4_BENCHMARK'!$C$10))</f>
        <v>0.25</v>
      </c>
      <c r="AP348" s="10">
        <f>IF(OR(Z348="",'4_BENCHMARK'!$C$11=""),"",ABS(Z348-'4_BENCHMARK'!$C$11))</f>
        <v>0</v>
      </c>
      <c r="AQ348" s="13">
        <f t="shared" si="192"/>
        <v>0.59375</v>
      </c>
      <c r="AR348" s="10"/>
      <c r="AS348" s="36" t="s">
        <v>145</v>
      </c>
      <c r="AT348" s="13">
        <f t="shared" si="193"/>
        <v>0.791666666666667</v>
      </c>
      <c r="AU348" s="1" t="str">
        <f t="shared" si="194"/>
        <v/>
      </c>
      <c r="AV348" s="1" t="str">
        <f t="shared" si="195"/>
        <v/>
      </c>
      <c r="AW348" s="1" t="str">
        <f t="shared" si="196"/>
        <v/>
      </c>
      <c r="AX348" s="1" t="str">
        <f t="shared" si="197"/>
        <v/>
      </c>
      <c r="AY348" s="1" t="str">
        <f t="shared" si="198"/>
        <v/>
      </c>
      <c r="AZ348" s="1" t="str">
        <f t="shared" si="199"/>
        <v/>
      </c>
      <c r="BA348" s="1" t="str">
        <f t="shared" si="200"/>
        <v/>
      </c>
      <c r="BB348" s="1" t="str">
        <f t="shared" si="201"/>
        <v/>
      </c>
      <c r="BC348" s="1" t="str">
        <f t="shared" si="202"/>
        <v/>
      </c>
      <c r="BD348" s="1" t="str">
        <f t="shared" si="203"/>
        <v/>
      </c>
      <c r="BE348" s="1" t="str">
        <f t="shared" si="204"/>
        <v/>
      </c>
      <c r="BF348" s="1" t="str">
        <f t="shared" si="205"/>
        <v/>
      </c>
      <c r="BG348" s="1" t="str">
        <f t="shared" si="206"/>
        <v/>
      </c>
      <c r="BH348" s="1" t="str">
        <f t="shared" si="207"/>
        <v/>
      </c>
      <c r="BI348" s="1" t="str">
        <f t="shared" si="208"/>
        <v/>
      </c>
      <c r="BJ348" s="1" t="str">
        <f t="shared" si="209"/>
        <v/>
      </c>
    </row>
    <row r="349" ht="14.25" customHeight="1" spans="1:62">
      <c r="A349" s="10">
        <v>345</v>
      </c>
      <c r="B349" s="36" t="s">
        <v>1200</v>
      </c>
      <c r="C349" s="10">
        <v>1980</v>
      </c>
      <c r="D349" s="10">
        <f t="shared" si="210"/>
        <v>1980</v>
      </c>
      <c r="E349" s="36" t="s">
        <v>1197</v>
      </c>
      <c r="F349" s="35" t="s">
        <v>1201</v>
      </c>
      <c r="G349" s="36" t="s">
        <v>1202</v>
      </c>
      <c r="H349" s="10" t="s">
        <v>140</v>
      </c>
      <c r="I349" s="10" t="s">
        <v>140</v>
      </c>
      <c r="J349" s="36" t="s">
        <v>1146</v>
      </c>
      <c r="K349" s="10">
        <v>5</v>
      </c>
      <c r="L349" s="10">
        <v>5</v>
      </c>
      <c r="M349" s="10">
        <v>5</v>
      </c>
      <c r="N349" s="10">
        <v>5</v>
      </c>
      <c r="O349" s="10">
        <v>5</v>
      </c>
      <c r="P349" s="10">
        <v>5</v>
      </c>
      <c r="Q349" s="10">
        <v>2</v>
      </c>
      <c r="R349" s="10">
        <v>5</v>
      </c>
      <c r="S349" s="10">
        <f t="shared" si="176"/>
        <v>1</v>
      </c>
      <c r="T349" s="10">
        <f t="shared" si="177"/>
        <v>1</v>
      </c>
      <c r="U349" s="10">
        <f t="shared" si="178"/>
        <v>1</v>
      </c>
      <c r="V349" s="10">
        <f t="shared" si="179"/>
        <v>1</v>
      </c>
      <c r="W349" s="10">
        <f t="shared" si="180"/>
        <v>1</v>
      </c>
      <c r="X349" s="10">
        <f t="shared" si="181"/>
        <v>1</v>
      </c>
      <c r="Y349" s="10">
        <f t="shared" si="182"/>
        <v>0.25</v>
      </c>
      <c r="Z349" s="10">
        <f t="shared" si="183"/>
        <v>1</v>
      </c>
      <c r="AA349" s="10" t="str">
        <f t="shared" si="184"/>
        <v/>
      </c>
      <c r="AB349" s="10" t="str">
        <f t="shared" si="185"/>
        <v/>
      </c>
      <c r="AC349" s="10" t="str">
        <f t="shared" si="186"/>
        <v/>
      </c>
      <c r="AD349" s="10" t="str">
        <f t="shared" si="187"/>
        <v/>
      </c>
      <c r="AE349" s="10" t="str">
        <f t="shared" si="188"/>
        <v/>
      </c>
      <c r="AF349" s="10" t="str">
        <f t="shared" si="189"/>
        <v/>
      </c>
      <c r="AG349" s="10" t="str">
        <f t="shared" si="190"/>
        <v/>
      </c>
      <c r="AH349" s="10" t="str">
        <f t="shared" si="191"/>
        <v/>
      </c>
      <c r="AI349" s="10">
        <f>IF(OR(S349="",'4_BENCHMARK'!$C$4=""),"",ABS(S349-'4_BENCHMARK'!$C$4))</f>
        <v>0</v>
      </c>
      <c r="AJ349" s="10">
        <f>IF(OR(T349="",'4_BENCHMARK'!$C$5=""),"",ABS(T349-'4_BENCHMARK'!$C$5))</f>
        <v>0</v>
      </c>
      <c r="AK349" s="10">
        <f>IF(OR(U349="",'4_BENCHMARK'!$C$6=""),"",ABS(U349-'4_BENCHMARK'!$C$6))</f>
        <v>0</v>
      </c>
      <c r="AL349" s="10">
        <f>IF(OR(V349="",'4_BENCHMARK'!$C$7=""),"",ABS(V349-'4_BENCHMARK'!$C$7))</f>
        <v>0</v>
      </c>
      <c r="AM349" s="10">
        <f>IF(OR(W349="",'4_BENCHMARK'!$C$8=""),"",ABS(W349-'4_BENCHMARK'!$C$8))</f>
        <v>1</v>
      </c>
      <c r="AN349" s="10">
        <f>IF(OR(X349="",'4_BENCHMARK'!$C$9=""),"",ABS(X349-'4_BENCHMARK'!$C$9))</f>
        <v>1</v>
      </c>
      <c r="AO349" s="10">
        <f>IF(OR(Y349="",'4_BENCHMARK'!$C$10=""),"",ABS(Y349-'4_BENCHMARK'!$C$10))</f>
        <v>0.25</v>
      </c>
      <c r="AP349" s="10">
        <f>IF(OR(Z349="",'4_BENCHMARK'!$C$11=""),"",ABS(Z349-'4_BENCHMARK'!$C$11))</f>
        <v>0</v>
      </c>
      <c r="AQ349" s="13">
        <f t="shared" si="192"/>
        <v>0.71875</v>
      </c>
      <c r="AR349" s="10"/>
      <c r="AS349" s="36" t="s">
        <v>149</v>
      </c>
      <c r="AT349" s="13">
        <f t="shared" si="193"/>
        <v>0.958333333333333</v>
      </c>
      <c r="AU349" s="1" t="str">
        <f t="shared" si="194"/>
        <v/>
      </c>
      <c r="AV349" s="1" t="str">
        <f t="shared" si="195"/>
        <v/>
      </c>
      <c r="AW349" s="1" t="str">
        <f t="shared" si="196"/>
        <v/>
      </c>
      <c r="AX349" s="1" t="str">
        <f t="shared" si="197"/>
        <v/>
      </c>
      <c r="AY349" s="1" t="str">
        <f t="shared" si="198"/>
        <v/>
      </c>
      <c r="AZ349" s="1" t="str">
        <f t="shared" si="199"/>
        <v/>
      </c>
      <c r="BA349" s="1" t="str">
        <f t="shared" si="200"/>
        <v/>
      </c>
      <c r="BB349" s="1" t="str">
        <f t="shared" si="201"/>
        <v/>
      </c>
      <c r="BC349" s="1" t="str">
        <f t="shared" si="202"/>
        <v/>
      </c>
      <c r="BD349" s="1" t="str">
        <f t="shared" si="203"/>
        <v/>
      </c>
      <c r="BE349" s="1" t="str">
        <f t="shared" si="204"/>
        <v/>
      </c>
      <c r="BF349" s="1" t="str">
        <f t="shared" si="205"/>
        <v/>
      </c>
      <c r="BG349" s="1" t="str">
        <f t="shared" si="206"/>
        <v/>
      </c>
      <c r="BH349" s="1" t="str">
        <f t="shared" si="207"/>
        <v/>
      </c>
      <c r="BI349" s="1" t="str">
        <f t="shared" si="208"/>
        <v/>
      </c>
      <c r="BJ349" s="1" t="str">
        <f t="shared" si="209"/>
        <v/>
      </c>
    </row>
    <row r="350" ht="14.25" customHeight="1" spans="1:62">
      <c r="A350" s="10">
        <v>346</v>
      </c>
      <c r="B350" s="10" t="s">
        <v>1203</v>
      </c>
      <c r="C350" s="10">
        <v>1980</v>
      </c>
      <c r="D350" s="10">
        <f t="shared" si="210"/>
        <v>1980</v>
      </c>
      <c r="E350" s="10" t="s">
        <v>1204</v>
      </c>
      <c r="F350" s="35" t="s">
        <v>1205</v>
      </c>
      <c r="G350" s="10" t="s">
        <v>1206</v>
      </c>
      <c r="H350" s="10" t="s">
        <v>140</v>
      </c>
      <c r="I350" s="10" t="s">
        <v>140</v>
      </c>
      <c r="J350" s="10" t="s">
        <v>1207</v>
      </c>
      <c r="K350" s="10">
        <v>4</v>
      </c>
      <c r="L350" s="10">
        <v>3</v>
      </c>
      <c r="M350" s="10">
        <v>4</v>
      </c>
      <c r="N350" s="10">
        <v>5</v>
      </c>
      <c r="O350" s="10">
        <v>5</v>
      </c>
      <c r="P350" s="10">
        <v>5</v>
      </c>
      <c r="Q350" s="10">
        <v>1</v>
      </c>
      <c r="R350" s="10">
        <v>5</v>
      </c>
      <c r="S350" s="10">
        <f t="shared" si="176"/>
        <v>0.75</v>
      </c>
      <c r="T350" s="10">
        <f t="shared" si="177"/>
        <v>0.5</v>
      </c>
      <c r="U350" s="10">
        <f t="shared" si="178"/>
        <v>0.75</v>
      </c>
      <c r="V350" s="10">
        <f t="shared" si="179"/>
        <v>1</v>
      </c>
      <c r="W350" s="10">
        <f t="shared" si="180"/>
        <v>1</v>
      </c>
      <c r="X350" s="10">
        <f t="shared" si="181"/>
        <v>1</v>
      </c>
      <c r="Y350" s="10">
        <f t="shared" si="182"/>
        <v>0</v>
      </c>
      <c r="Z350" s="10">
        <f t="shared" si="183"/>
        <v>1</v>
      </c>
      <c r="AA350" s="10" t="str">
        <f t="shared" si="184"/>
        <v/>
      </c>
      <c r="AB350" s="10" t="str">
        <f t="shared" si="185"/>
        <v/>
      </c>
      <c r="AC350" s="10" t="str">
        <f t="shared" si="186"/>
        <v/>
      </c>
      <c r="AD350" s="10" t="str">
        <f t="shared" si="187"/>
        <v/>
      </c>
      <c r="AE350" s="10" t="str">
        <f t="shared" si="188"/>
        <v/>
      </c>
      <c r="AF350" s="10" t="str">
        <f t="shared" si="189"/>
        <v/>
      </c>
      <c r="AG350" s="10" t="str">
        <f t="shared" si="190"/>
        <v/>
      </c>
      <c r="AH350" s="10" t="str">
        <f t="shared" si="191"/>
        <v/>
      </c>
      <c r="AI350" s="10">
        <f>IF(OR(S350="",'4_BENCHMARK'!$C$4=""),"",ABS(S350-'4_BENCHMARK'!$C$4))</f>
        <v>0.25</v>
      </c>
      <c r="AJ350" s="10">
        <f>IF(OR(T350="",'4_BENCHMARK'!$C$5=""),"",ABS(T350-'4_BENCHMARK'!$C$5))</f>
        <v>0.5</v>
      </c>
      <c r="AK350" s="10">
        <f>IF(OR(U350="",'4_BENCHMARK'!$C$6=""),"",ABS(U350-'4_BENCHMARK'!$C$6))</f>
        <v>0.25</v>
      </c>
      <c r="AL350" s="10">
        <f>IF(OR(V350="",'4_BENCHMARK'!$C$7=""),"",ABS(V350-'4_BENCHMARK'!$C$7))</f>
        <v>0</v>
      </c>
      <c r="AM350" s="10">
        <f>IF(OR(W350="",'4_BENCHMARK'!$C$8=""),"",ABS(W350-'4_BENCHMARK'!$C$8))</f>
        <v>1</v>
      </c>
      <c r="AN350" s="10">
        <f>IF(OR(X350="",'4_BENCHMARK'!$C$9=""),"",ABS(X350-'4_BENCHMARK'!$C$9))</f>
        <v>1</v>
      </c>
      <c r="AO350" s="10">
        <f>IF(OR(Y350="",'4_BENCHMARK'!$C$10=""),"",ABS(Y350-'4_BENCHMARK'!$C$10))</f>
        <v>0.5</v>
      </c>
      <c r="AP350" s="10">
        <f>IF(OR(Z350="",'4_BENCHMARK'!$C$11=""),"",ABS(Z350-'4_BENCHMARK'!$C$11))</f>
        <v>0</v>
      </c>
      <c r="AQ350" s="13">
        <f t="shared" si="192"/>
        <v>0.5625</v>
      </c>
      <c r="AR350" s="10"/>
      <c r="AS350" s="36" t="s">
        <v>145</v>
      </c>
      <c r="AT350" s="13">
        <f t="shared" si="193"/>
        <v>0.75</v>
      </c>
      <c r="AU350" s="1" t="str">
        <f t="shared" si="194"/>
        <v/>
      </c>
      <c r="AV350" s="1" t="str">
        <f t="shared" si="195"/>
        <v/>
      </c>
      <c r="AW350" s="1" t="str">
        <f t="shared" si="196"/>
        <v/>
      </c>
      <c r="AX350" s="1" t="str">
        <f t="shared" si="197"/>
        <v/>
      </c>
      <c r="AY350" s="1" t="str">
        <f t="shared" si="198"/>
        <v/>
      </c>
      <c r="AZ350" s="1" t="str">
        <f t="shared" si="199"/>
        <v/>
      </c>
      <c r="BA350" s="1" t="str">
        <f t="shared" si="200"/>
        <v/>
      </c>
      <c r="BB350" s="1" t="str">
        <f t="shared" si="201"/>
        <v/>
      </c>
      <c r="BC350" s="1" t="str">
        <f t="shared" si="202"/>
        <v/>
      </c>
      <c r="BD350" s="1" t="str">
        <f t="shared" si="203"/>
        <v/>
      </c>
      <c r="BE350" s="1" t="str">
        <f t="shared" si="204"/>
        <v/>
      </c>
      <c r="BF350" s="1" t="str">
        <f t="shared" si="205"/>
        <v/>
      </c>
      <c r="BG350" s="1" t="str">
        <f t="shared" si="206"/>
        <v/>
      </c>
      <c r="BH350" s="1" t="str">
        <f t="shared" si="207"/>
        <v/>
      </c>
      <c r="BI350" s="1" t="str">
        <f t="shared" si="208"/>
        <v/>
      </c>
      <c r="BJ350" s="1" t="str">
        <f t="shared" si="209"/>
        <v/>
      </c>
    </row>
    <row r="351" ht="14.25" customHeight="1" spans="1:62">
      <c r="A351" s="10">
        <v>347</v>
      </c>
      <c r="B351" s="10" t="s">
        <v>1208</v>
      </c>
      <c r="C351" s="10">
        <v>1980</v>
      </c>
      <c r="D351" s="10">
        <f t="shared" si="210"/>
        <v>1980</v>
      </c>
      <c r="E351" s="10" t="s">
        <v>1204</v>
      </c>
      <c r="F351" s="35" t="s">
        <v>1209</v>
      </c>
      <c r="G351" s="10" t="s">
        <v>1210</v>
      </c>
      <c r="H351" s="10" t="s">
        <v>140</v>
      </c>
      <c r="I351" s="10" t="s">
        <v>140</v>
      </c>
      <c r="J351" s="10" t="s">
        <v>1146</v>
      </c>
      <c r="K351" s="10">
        <v>4</v>
      </c>
      <c r="L351" s="10">
        <v>4</v>
      </c>
      <c r="M351" s="10">
        <v>5</v>
      </c>
      <c r="N351" s="10">
        <v>5</v>
      </c>
      <c r="O351" s="10">
        <v>5</v>
      </c>
      <c r="P351" s="10">
        <v>5</v>
      </c>
      <c r="Q351" s="10">
        <v>1</v>
      </c>
      <c r="R351" s="10">
        <v>5</v>
      </c>
      <c r="S351" s="10">
        <f t="shared" si="176"/>
        <v>0.75</v>
      </c>
      <c r="T351" s="10">
        <f t="shared" si="177"/>
        <v>0.75</v>
      </c>
      <c r="U351" s="10">
        <f t="shared" si="178"/>
        <v>1</v>
      </c>
      <c r="V351" s="10">
        <f t="shared" si="179"/>
        <v>1</v>
      </c>
      <c r="W351" s="10">
        <f t="shared" si="180"/>
        <v>1</v>
      </c>
      <c r="X351" s="10">
        <f t="shared" si="181"/>
        <v>1</v>
      </c>
      <c r="Y351" s="10">
        <f t="shared" si="182"/>
        <v>0</v>
      </c>
      <c r="Z351" s="10">
        <f t="shared" si="183"/>
        <v>1</v>
      </c>
      <c r="AA351" s="10" t="str">
        <f t="shared" si="184"/>
        <v/>
      </c>
      <c r="AB351" s="10" t="str">
        <f t="shared" si="185"/>
        <v/>
      </c>
      <c r="AC351" s="10" t="str">
        <f t="shared" si="186"/>
        <v/>
      </c>
      <c r="AD351" s="10" t="str">
        <f t="shared" si="187"/>
        <v/>
      </c>
      <c r="AE351" s="10" t="str">
        <f t="shared" si="188"/>
        <v/>
      </c>
      <c r="AF351" s="10" t="str">
        <f t="shared" si="189"/>
        <v/>
      </c>
      <c r="AG351" s="10" t="str">
        <f t="shared" si="190"/>
        <v/>
      </c>
      <c r="AH351" s="10" t="str">
        <f t="shared" si="191"/>
        <v/>
      </c>
      <c r="AI351" s="10">
        <f>IF(OR(S351="",'4_BENCHMARK'!$C$4=""),"",ABS(S351-'4_BENCHMARK'!$C$4))</f>
        <v>0.25</v>
      </c>
      <c r="AJ351" s="10">
        <f>IF(OR(T351="",'4_BENCHMARK'!$C$5=""),"",ABS(T351-'4_BENCHMARK'!$C$5))</f>
        <v>0.25</v>
      </c>
      <c r="AK351" s="10">
        <f>IF(OR(U351="",'4_BENCHMARK'!$C$6=""),"",ABS(U351-'4_BENCHMARK'!$C$6))</f>
        <v>0</v>
      </c>
      <c r="AL351" s="10">
        <f>IF(OR(V351="",'4_BENCHMARK'!$C$7=""),"",ABS(V351-'4_BENCHMARK'!$C$7))</f>
        <v>0</v>
      </c>
      <c r="AM351" s="10">
        <f>IF(OR(W351="",'4_BENCHMARK'!$C$8=""),"",ABS(W351-'4_BENCHMARK'!$C$8))</f>
        <v>1</v>
      </c>
      <c r="AN351" s="10">
        <f>IF(OR(X351="",'4_BENCHMARK'!$C$9=""),"",ABS(X351-'4_BENCHMARK'!$C$9))</f>
        <v>1</v>
      </c>
      <c r="AO351" s="10">
        <f>IF(OR(Y351="",'4_BENCHMARK'!$C$10=""),"",ABS(Y351-'4_BENCHMARK'!$C$10))</f>
        <v>0.5</v>
      </c>
      <c r="AP351" s="10">
        <f>IF(OR(Z351="",'4_BENCHMARK'!$C$11=""),"",ABS(Z351-'4_BENCHMARK'!$C$11))</f>
        <v>0</v>
      </c>
      <c r="AQ351" s="13">
        <f t="shared" si="192"/>
        <v>0.625</v>
      </c>
      <c r="AR351" s="10"/>
      <c r="AS351" s="36" t="s">
        <v>145</v>
      </c>
      <c r="AT351" s="13">
        <f t="shared" si="193"/>
        <v>0.833333333333333</v>
      </c>
      <c r="AU351" s="1" t="str">
        <f t="shared" si="194"/>
        <v/>
      </c>
      <c r="AV351" s="1" t="str">
        <f t="shared" si="195"/>
        <v/>
      </c>
      <c r="AW351" s="1" t="str">
        <f t="shared" si="196"/>
        <v/>
      </c>
      <c r="AX351" s="1" t="str">
        <f t="shared" si="197"/>
        <v/>
      </c>
      <c r="AY351" s="1" t="str">
        <f t="shared" si="198"/>
        <v/>
      </c>
      <c r="AZ351" s="1" t="str">
        <f t="shared" si="199"/>
        <v/>
      </c>
      <c r="BA351" s="1" t="str">
        <f t="shared" si="200"/>
        <v/>
      </c>
      <c r="BB351" s="1" t="str">
        <f t="shared" si="201"/>
        <v/>
      </c>
      <c r="BC351" s="1" t="str">
        <f t="shared" si="202"/>
        <v/>
      </c>
      <c r="BD351" s="1" t="str">
        <f t="shared" si="203"/>
        <v/>
      </c>
      <c r="BE351" s="1" t="str">
        <f t="shared" si="204"/>
        <v/>
      </c>
      <c r="BF351" s="1" t="str">
        <f t="shared" si="205"/>
        <v/>
      </c>
      <c r="BG351" s="1" t="str">
        <f t="shared" si="206"/>
        <v/>
      </c>
      <c r="BH351" s="1" t="str">
        <f t="shared" si="207"/>
        <v/>
      </c>
      <c r="BI351" s="1" t="str">
        <f t="shared" si="208"/>
        <v/>
      </c>
      <c r="BJ351" s="1" t="str">
        <f t="shared" si="209"/>
        <v/>
      </c>
    </row>
    <row r="352" ht="14.25" customHeight="1" spans="1:62">
      <c r="A352" s="10">
        <v>348</v>
      </c>
      <c r="B352" s="10" t="s">
        <v>1211</v>
      </c>
      <c r="C352" s="10">
        <v>1988</v>
      </c>
      <c r="D352" s="10">
        <f t="shared" si="210"/>
        <v>1980</v>
      </c>
      <c r="E352" s="10" t="s">
        <v>1212</v>
      </c>
      <c r="F352" s="35" t="s">
        <v>1213</v>
      </c>
      <c r="G352" s="10" t="s">
        <v>1214</v>
      </c>
      <c r="H352" s="10" t="s">
        <v>140</v>
      </c>
      <c r="I352" s="10" t="s">
        <v>140</v>
      </c>
      <c r="J352" s="10"/>
      <c r="K352" s="10">
        <v>3</v>
      </c>
      <c r="L352" s="10">
        <v>2</v>
      </c>
      <c r="M352" s="10">
        <v>4</v>
      </c>
      <c r="N352" s="10">
        <v>4</v>
      </c>
      <c r="O352" s="10">
        <v>5</v>
      </c>
      <c r="P352" s="10">
        <v>5</v>
      </c>
      <c r="Q352" s="10">
        <v>1</v>
      </c>
      <c r="R352" s="10">
        <v>5</v>
      </c>
      <c r="S352" s="10">
        <f t="shared" si="176"/>
        <v>0.5</v>
      </c>
      <c r="T352" s="10">
        <f t="shared" si="177"/>
        <v>0.25</v>
      </c>
      <c r="U352" s="10">
        <f t="shared" si="178"/>
        <v>0.75</v>
      </c>
      <c r="V352" s="10">
        <f t="shared" si="179"/>
        <v>0.75</v>
      </c>
      <c r="W352" s="10">
        <f t="shared" si="180"/>
        <v>1</v>
      </c>
      <c r="X352" s="10">
        <f t="shared" si="181"/>
        <v>1</v>
      </c>
      <c r="Y352" s="10">
        <f t="shared" si="182"/>
        <v>0</v>
      </c>
      <c r="Z352" s="10">
        <f t="shared" si="183"/>
        <v>1</v>
      </c>
      <c r="AA352" s="10" t="str">
        <f t="shared" si="184"/>
        <v/>
      </c>
      <c r="AB352" s="10" t="str">
        <f t="shared" si="185"/>
        <v/>
      </c>
      <c r="AC352" s="10" t="str">
        <f t="shared" si="186"/>
        <v/>
      </c>
      <c r="AD352" s="10" t="str">
        <f t="shared" si="187"/>
        <v/>
      </c>
      <c r="AE352" s="10" t="str">
        <f t="shared" si="188"/>
        <v/>
      </c>
      <c r="AF352" s="10" t="str">
        <f t="shared" si="189"/>
        <v/>
      </c>
      <c r="AG352" s="10" t="str">
        <f t="shared" si="190"/>
        <v/>
      </c>
      <c r="AH352" s="10" t="str">
        <f t="shared" si="191"/>
        <v/>
      </c>
      <c r="AI352" s="10">
        <f>IF(OR(S352="",'4_BENCHMARK'!$C$4=""),"",ABS(S352-'4_BENCHMARK'!$C$4))</f>
        <v>0.5</v>
      </c>
      <c r="AJ352" s="10">
        <f>IF(OR(T352="",'4_BENCHMARK'!$C$5=""),"",ABS(T352-'4_BENCHMARK'!$C$5))</f>
        <v>0.75</v>
      </c>
      <c r="AK352" s="10">
        <f>IF(OR(U352="",'4_BENCHMARK'!$C$6=""),"",ABS(U352-'4_BENCHMARK'!$C$6))</f>
        <v>0.25</v>
      </c>
      <c r="AL352" s="10">
        <f>IF(OR(V352="",'4_BENCHMARK'!$C$7=""),"",ABS(V352-'4_BENCHMARK'!$C$7))</f>
        <v>0.25</v>
      </c>
      <c r="AM352" s="10">
        <f>IF(OR(W352="",'4_BENCHMARK'!$C$8=""),"",ABS(W352-'4_BENCHMARK'!$C$8))</f>
        <v>1</v>
      </c>
      <c r="AN352" s="10">
        <f>IF(OR(X352="",'4_BENCHMARK'!$C$9=""),"",ABS(X352-'4_BENCHMARK'!$C$9))</f>
        <v>1</v>
      </c>
      <c r="AO352" s="10">
        <f>IF(OR(Y352="",'4_BENCHMARK'!$C$10=""),"",ABS(Y352-'4_BENCHMARK'!$C$10))</f>
        <v>0.5</v>
      </c>
      <c r="AP352" s="10">
        <f>IF(OR(Z352="",'4_BENCHMARK'!$C$11=""),"",ABS(Z352-'4_BENCHMARK'!$C$11))</f>
        <v>0</v>
      </c>
      <c r="AQ352" s="13">
        <f t="shared" si="192"/>
        <v>0.46875</v>
      </c>
      <c r="AR352" s="10"/>
      <c r="AS352" s="36" t="s">
        <v>145</v>
      </c>
      <c r="AT352" s="13">
        <f t="shared" si="193"/>
        <v>0.625</v>
      </c>
      <c r="AU352" s="1" t="str">
        <f t="shared" si="194"/>
        <v/>
      </c>
      <c r="AV352" s="1" t="str">
        <f t="shared" si="195"/>
        <v/>
      </c>
      <c r="AW352" s="1" t="str">
        <f t="shared" si="196"/>
        <v/>
      </c>
      <c r="AX352" s="1" t="str">
        <f t="shared" si="197"/>
        <v/>
      </c>
      <c r="AY352" s="1" t="str">
        <f t="shared" si="198"/>
        <v/>
      </c>
      <c r="AZ352" s="1" t="str">
        <f t="shared" si="199"/>
        <v/>
      </c>
      <c r="BA352" s="1" t="str">
        <f t="shared" si="200"/>
        <v/>
      </c>
      <c r="BB352" s="1" t="str">
        <f t="shared" si="201"/>
        <v/>
      </c>
      <c r="BC352" s="1" t="str">
        <f t="shared" si="202"/>
        <v/>
      </c>
      <c r="BD352" s="1" t="str">
        <f t="shared" si="203"/>
        <v/>
      </c>
      <c r="BE352" s="1" t="str">
        <f t="shared" si="204"/>
        <v/>
      </c>
      <c r="BF352" s="1" t="str">
        <f t="shared" si="205"/>
        <v/>
      </c>
      <c r="BG352" s="1" t="str">
        <f t="shared" si="206"/>
        <v/>
      </c>
      <c r="BH352" s="1" t="str">
        <f t="shared" si="207"/>
        <v/>
      </c>
      <c r="BI352" s="1" t="str">
        <f t="shared" si="208"/>
        <v/>
      </c>
      <c r="BJ352" s="1" t="str">
        <f t="shared" si="209"/>
        <v/>
      </c>
    </row>
    <row r="353" ht="14.25" customHeight="1" spans="1:62">
      <c r="A353" s="10">
        <v>349</v>
      </c>
      <c r="B353" s="10" t="s">
        <v>1215</v>
      </c>
      <c r="C353" s="10">
        <v>1980</v>
      </c>
      <c r="D353" s="10">
        <f t="shared" si="210"/>
        <v>1980</v>
      </c>
      <c r="E353" s="10" t="s">
        <v>1216</v>
      </c>
      <c r="F353" s="35" t="s">
        <v>1217</v>
      </c>
      <c r="G353" s="10" t="s">
        <v>1218</v>
      </c>
      <c r="H353" s="10" t="s">
        <v>140</v>
      </c>
      <c r="I353" s="10" t="s">
        <v>140</v>
      </c>
      <c r="J353" s="10" t="s">
        <v>1146</v>
      </c>
      <c r="K353" s="10">
        <v>3</v>
      </c>
      <c r="L353" s="10">
        <v>2</v>
      </c>
      <c r="M353" s="10">
        <v>4</v>
      </c>
      <c r="N353" s="10">
        <v>4</v>
      </c>
      <c r="O353" s="10">
        <v>5</v>
      </c>
      <c r="P353" s="10">
        <v>5</v>
      </c>
      <c r="Q353" s="10">
        <v>1</v>
      </c>
      <c r="R353" s="10">
        <v>5</v>
      </c>
      <c r="S353" s="10">
        <f t="shared" si="176"/>
        <v>0.5</v>
      </c>
      <c r="T353" s="10">
        <f t="shared" si="177"/>
        <v>0.25</v>
      </c>
      <c r="U353" s="10">
        <f t="shared" si="178"/>
        <v>0.75</v>
      </c>
      <c r="V353" s="10">
        <f t="shared" si="179"/>
        <v>0.75</v>
      </c>
      <c r="W353" s="10">
        <f t="shared" si="180"/>
        <v>1</v>
      </c>
      <c r="X353" s="10">
        <f t="shared" si="181"/>
        <v>1</v>
      </c>
      <c r="Y353" s="10">
        <f t="shared" si="182"/>
        <v>0</v>
      </c>
      <c r="Z353" s="10">
        <f t="shared" si="183"/>
        <v>1</v>
      </c>
      <c r="AA353" s="10" t="str">
        <f t="shared" si="184"/>
        <v/>
      </c>
      <c r="AB353" s="10" t="str">
        <f t="shared" si="185"/>
        <v/>
      </c>
      <c r="AC353" s="10" t="str">
        <f t="shared" si="186"/>
        <v/>
      </c>
      <c r="AD353" s="10" t="str">
        <f t="shared" si="187"/>
        <v/>
      </c>
      <c r="AE353" s="10" t="str">
        <f t="shared" si="188"/>
        <v/>
      </c>
      <c r="AF353" s="10" t="str">
        <f t="shared" si="189"/>
        <v/>
      </c>
      <c r="AG353" s="10" t="str">
        <f t="shared" si="190"/>
        <v/>
      </c>
      <c r="AH353" s="10" t="str">
        <f t="shared" si="191"/>
        <v/>
      </c>
      <c r="AI353" s="10">
        <f>IF(OR(S353="",'4_BENCHMARK'!$C$4=""),"",ABS(S353-'4_BENCHMARK'!$C$4))</f>
        <v>0.5</v>
      </c>
      <c r="AJ353" s="10">
        <f>IF(OR(T353="",'4_BENCHMARK'!$C$5=""),"",ABS(T353-'4_BENCHMARK'!$C$5))</f>
        <v>0.75</v>
      </c>
      <c r="AK353" s="10">
        <f>IF(OR(U353="",'4_BENCHMARK'!$C$6=""),"",ABS(U353-'4_BENCHMARK'!$C$6))</f>
        <v>0.25</v>
      </c>
      <c r="AL353" s="10">
        <f>IF(OR(V353="",'4_BENCHMARK'!$C$7=""),"",ABS(V353-'4_BENCHMARK'!$C$7))</f>
        <v>0.25</v>
      </c>
      <c r="AM353" s="10">
        <f>IF(OR(W353="",'4_BENCHMARK'!$C$8=""),"",ABS(W353-'4_BENCHMARK'!$C$8))</f>
        <v>1</v>
      </c>
      <c r="AN353" s="10">
        <f>IF(OR(X353="",'4_BENCHMARK'!$C$9=""),"",ABS(X353-'4_BENCHMARK'!$C$9))</f>
        <v>1</v>
      </c>
      <c r="AO353" s="10">
        <f>IF(OR(Y353="",'4_BENCHMARK'!$C$10=""),"",ABS(Y353-'4_BENCHMARK'!$C$10))</f>
        <v>0.5</v>
      </c>
      <c r="AP353" s="10">
        <f>IF(OR(Z353="",'4_BENCHMARK'!$C$11=""),"",ABS(Z353-'4_BENCHMARK'!$C$11))</f>
        <v>0</v>
      </c>
      <c r="AQ353" s="13">
        <f t="shared" si="192"/>
        <v>0.46875</v>
      </c>
      <c r="AR353" s="10"/>
      <c r="AS353" s="36" t="s">
        <v>145</v>
      </c>
      <c r="AT353" s="13">
        <f t="shared" si="193"/>
        <v>0.625</v>
      </c>
      <c r="AU353" s="1" t="str">
        <f t="shared" si="194"/>
        <v/>
      </c>
      <c r="AV353" s="1" t="str">
        <f t="shared" si="195"/>
        <v/>
      </c>
      <c r="AW353" s="1" t="str">
        <f t="shared" si="196"/>
        <v/>
      </c>
      <c r="AX353" s="1" t="str">
        <f t="shared" si="197"/>
        <v/>
      </c>
      <c r="AY353" s="1" t="str">
        <f t="shared" si="198"/>
        <v/>
      </c>
      <c r="AZ353" s="1" t="str">
        <f t="shared" si="199"/>
        <v/>
      </c>
      <c r="BA353" s="1" t="str">
        <f t="shared" si="200"/>
        <v/>
      </c>
      <c r="BB353" s="1" t="str">
        <f t="shared" si="201"/>
        <v/>
      </c>
      <c r="BC353" s="1" t="str">
        <f t="shared" si="202"/>
        <v/>
      </c>
      <c r="BD353" s="1" t="str">
        <f t="shared" si="203"/>
        <v/>
      </c>
      <c r="BE353" s="1" t="str">
        <f t="shared" si="204"/>
        <v/>
      </c>
      <c r="BF353" s="1" t="str">
        <f t="shared" si="205"/>
        <v/>
      </c>
      <c r="BG353" s="1" t="str">
        <f t="shared" si="206"/>
        <v/>
      </c>
      <c r="BH353" s="1" t="str">
        <f t="shared" si="207"/>
        <v/>
      </c>
      <c r="BI353" s="1" t="str">
        <f t="shared" si="208"/>
        <v/>
      </c>
      <c r="BJ353" s="1" t="str">
        <f t="shared" si="209"/>
        <v/>
      </c>
    </row>
    <row r="354" ht="14.25" customHeight="1" spans="1:62">
      <c r="A354" s="10">
        <v>350</v>
      </c>
      <c r="B354" s="10" t="s">
        <v>1219</v>
      </c>
      <c r="C354" s="10">
        <v>1983</v>
      </c>
      <c r="D354" s="10">
        <f t="shared" si="210"/>
        <v>1980</v>
      </c>
      <c r="E354" s="10" t="s">
        <v>1212</v>
      </c>
      <c r="F354" s="35" t="s">
        <v>1220</v>
      </c>
      <c r="G354" s="10" t="s">
        <v>1221</v>
      </c>
      <c r="H354" s="10" t="s">
        <v>140</v>
      </c>
      <c r="I354" s="10" t="s">
        <v>140</v>
      </c>
      <c r="J354" s="10" t="s">
        <v>1222</v>
      </c>
      <c r="K354" s="10">
        <v>5</v>
      </c>
      <c r="L354" s="10">
        <v>4</v>
      </c>
      <c r="M354" s="10">
        <v>4</v>
      </c>
      <c r="N354" s="10">
        <v>5</v>
      </c>
      <c r="O354" s="10">
        <v>5</v>
      </c>
      <c r="P354" s="10">
        <v>5</v>
      </c>
      <c r="Q354" s="10">
        <v>2</v>
      </c>
      <c r="R354" s="10">
        <v>5</v>
      </c>
      <c r="S354" s="10">
        <f t="shared" si="176"/>
        <v>1</v>
      </c>
      <c r="T354" s="10">
        <f t="shared" si="177"/>
        <v>0.75</v>
      </c>
      <c r="U354" s="10">
        <f t="shared" si="178"/>
        <v>0.75</v>
      </c>
      <c r="V354" s="10">
        <f t="shared" si="179"/>
        <v>1</v>
      </c>
      <c r="W354" s="10">
        <f t="shared" si="180"/>
        <v>1</v>
      </c>
      <c r="X354" s="10">
        <f t="shared" si="181"/>
        <v>1</v>
      </c>
      <c r="Y354" s="10">
        <f t="shared" si="182"/>
        <v>0.25</v>
      </c>
      <c r="Z354" s="10">
        <f t="shared" si="183"/>
        <v>1</v>
      </c>
      <c r="AA354" s="10" t="str">
        <f t="shared" si="184"/>
        <v/>
      </c>
      <c r="AB354" s="10" t="str">
        <f t="shared" si="185"/>
        <v/>
      </c>
      <c r="AC354" s="10" t="str">
        <f t="shared" si="186"/>
        <v/>
      </c>
      <c r="AD354" s="10" t="str">
        <f t="shared" si="187"/>
        <v/>
      </c>
      <c r="AE354" s="10" t="str">
        <f t="shared" si="188"/>
        <v/>
      </c>
      <c r="AF354" s="10" t="str">
        <f t="shared" si="189"/>
        <v/>
      </c>
      <c r="AG354" s="10" t="str">
        <f t="shared" si="190"/>
        <v/>
      </c>
      <c r="AH354" s="10" t="str">
        <f t="shared" si="191"/>
        <v/>
      </c>
      <c r="AI354" s="10">
        <f>IF(OR(S354="",'4_BENCHMARK'!$C$4=""),"",ABS(S354-'4_BENCHMARK'!$C$4))</f>
        <v>0</v>
      </c>
      <c r="AJ354" s="10">
        <f>IF(OR(T354="",'4_BENCHMARK'!$C$5=""),"",ABS(T354-'4_BENCHMARK'!$C$5))</f>
        <v>0.25</v>
      </c>
      <c r="AK354" s="10">
        <f>IF(OR(U354="",'4_BENCHMARK'!$C$6=""),"",ABS(U354-'4_BENCHMARK'!$C$6))</f>
        <v>0.25</v>
      </c>
      <c r="AL354" s="10">
        <f>IF(OR(V354="",'4_BENCHMARK'!$C$7=""),"",ABS(V354-'4_BENCHMARK'!$C$7))</f>
        <v>0</v>
      </c>
      <c r="AM354" s="10">
        <f>IF(OR(W354="",'4_BENCHMARK'!$C$8=""),"",ABS(W354-'4_BENCHMARK'!$C$8))</f>
        <v>1</v>
      </c>
      <c r="AN354" s="10">
        <f>IF(OR(X354="",'4_BENCHMARK'!$C$9=""),"",ABS(X354-'4_BENCHMARK'!$C$9))</f>
        <v>1</v>
      </c>
      <c r="AO354" s="10">
        <f>IF(OR(Y354="",'4_BENCHMARK'!$C$10=""),"",ABS(Y354-'4_BENCHMARK'!$C$10))</f>
        <v>0.25</v>
      </c>
      <c r="AP354" s="10">
        <f>IF(OR(Z354="",'4_BENCHMARK'!$C$11=""),"",ABS(Z354-'4_BENCHMARK'!$C$11))</f>
        <v>0</v>
      </c>
      <c r="AQ354" s="13">
        <f t="shared" si="192"/>
        <v>0.65625</v>
      </c>
      <c r="AR354" s="10" t="s">
        <v>140</v>
      </c>
      <c r="AS354" s="36" t="s">
        <v>145</v>
      </c>
      <c r="AT354" s="13">
        <f t="shared" si="193"/>
        <v>0.875</v>
      </c>
      <c r="AU354" s="1" t="str">
        <f t="shared" si="194"/>
        <v/>
      </c>
      <c r="AV354" s="1" t="str">
        <f t="shared" si="195"/>
        <v/>
      </c>
      <c r="AW354" s="1" t="str">
        <f t="shared" si="196"/>
        <v/>
      </c>
      <c r="AX354" s="1" t="str">
        <f t="shared" si="197"/>
        <v/>
      </c>
      <c r="AY354" s="1" t="str">
        <f t="shared" si="198"/>
        <v/>
      </c>
      <c r="AZ354" s="1" t="str">
        <f t="shared" si="199"/>
        <v/>
      </c>
      <c r="BA354" s="1" t="str">
        <f t="shared" si="200"/>
        <v/>
      </c>
      <c r="BB354" s="1" t="str">
        <f t="shared" si="201"/>
        <v/>
      </c>
      <c r="BC354" s="1" t="str">
        <f t="shared" si="202"/>
        <v/>
      </c>
      <c r="BD354" s="1" t="str">
        <f t="shared" si="203"/>
        <v/>
      </c>
      <c r="BE354" s="1" t="str">
        <f t="shared" si="204"/>
        <v/>
      </c>
      <c r="BF354" s="1" t="str">
        <f t="shared" si="205"/>
        <v/>
      </c>
      <c r="BG354" s="1" t="str">
        <f t="shared" si="206"/>
        <v/>
      </c>
      <c r="BH354" s="1" t="str">
        <f t="shared" si="207"/>
        <v/>
      </c>
      <c r="BI354" s="1" t="str">
        <f t="shared" si="208"/>
        <v/>
      </c>
      <c r="BJ354" s="1" t="str">
        <f t="shared" si="209"/>
        <v/>
      </c>
    </row>
    <row r="355" ht="14.25" customHeight="1" spans="1:62">
      <c r="A355" s="10">
        <v>351</v>
      </c>
      <c r="B355" s="10" t="s">
        <v>1223</v>
      </c>
      <c r="C355" s="10">
        <v>1983</v>
      </c>
      <c r="D355" s="10">
        <f t="shared" si="210"/>
        <v>1980</v>
      </c>
      <c r="E355" s="10" t="s">
        <v>1224</v>
      </c>
      <c r="F355" s="35" t="s">
        <v>1225</v>
      </c>
      <c r="G355" s="10" t="s">
        <v>1226</v>
      </c>
      <c r="H355" s="10" t="s">
        <v>140</v>
      </c>
      <c r="I355" s="10" t="s">
        <v>140</v>
      </c>
      <c r="J355" s="10"/>
      <c r="K355" s="10">
        <v>5</v>
      </c>
      <c r="L355" s="10">
        <v>4</v>
      </c>
      <c r="M355" s="10">
        <v>4</v>
      </c>
      <c r="N355" s="10">
        <v>5</v>
      </c>
      <c r="O355" s="10">
        <v>5</v>
      </c>
      <c r="P355" s="10">
        <v>5</v>
      </c>
      <c r="Q355" s="10">
        <v>2</v>
      </c>
      <c r="R355" s="10">
        <v>5</v>
      </c>
      <c r="S355" s="10">
        <f t="shared" si="176"/>
        <v>1</v>
      </c>
      <c r="T355" s="10">
        <f t="shared" si="177"/>
        <v>0.75</v>
      </c>
      <c r="U355" s="10">
        <f t="shared" si="178"/>
        <v>0.75</v>
      </c>
      <c r="V355" s="10">
        <f t="shared" si="179"/>
        <v>1</v>
      </c>
      <c r="W355" s="10">
        <f t="shared" si="180"/>
        <v>1</v>
      </c>
      <c r="X355" s="10">
        <f t="shared" si="181"/>
        <v>1</v>
      </c>
      <c r="Y355" s="10">
        <f t="shared" si="182"/>
        <v>0.25</v>
      </c>
      <c r="Z355" s="10">
        <f t="shared" si="183"/>
        <v>1</v>
      </c>
      <c r="AA355" s="10" t="str">
        <f t="shared" si="184"/>
        <v/>
      </c>
      <c r="AB355" s="10" t="str">
        <f t="shared" si="185"/>
        <v/>
      </c>
      <c r="AC355" s="10" t="str">
        <f t="shared" si="186"/>
        <v/>
      </c>
      <c r="AD355" s="10" t="str">
        <f t="shared" si="187"/>
        <v/>
      </c>
      <c r="AE355" s="10" t="str">
        <f t="shared" si="188"/>
        <v/>
      </c>
      <c r="AF355" s="10" t="str">
        <f t="shared" si="189"/>
        <v/>
      </c>
      <c r="AG355" s="10" t="str">
        <f t="shared" si="190"/>
        <v/>
      </c>
      <c r="AH355" s="10" t="str">
        <f t="shared" si="191"/>
        <v/>
      </c>
      <c r="AI355" s="10">
        <f>IF(OR(S355="",'4_BENCHMARK'!$C$4=""),"",ABS(S355-'4_BENCHMARK'!$C$4))</f>
        <v>0</v>
      </c>
      <c r="AJ355" s="10">
        <f>IF(OR(T355="",'4_BENCHMARK'!$C$5=""),"",ABS(T355-'4_BENCHMARK'!$C$5))</f>
        <v>0.25</v>
      </c>
      <c r="AK355" s="10">
        <f>IF(OR(U355="",'4_BENCHMARK'!$C$6=""),"",ABS(U355-'4_BENCHMARK'!$C$6))</f>
        <v>0.25</v>
      </c>
      <c r="AL355" s="10">
        <f>IF(OR(V355="",'4_BENCHMARK'!$C$7=""),"",ABS(V355-'4_BENCHMARK'!$C$7))</f>
        <v>0</v>
      </c>
      <c r="AM355" s="10">
        <f>IF(OR(W355="",'4_BENCHMARK'!$C$8=""),"",ABS(W355-'4_BENCHMARK'!$C$8))</f>
        <v>1</v>
      </c>
      <c r="AN355" s="10">
        <f>IF(OR(X355="",'4_BENCHMARK'!$C$9=""),"",ABS(X355-'4_BENCHMARK'!$C$9))</f>
        <v>1</v>
      </c>
      <c r="AO355" s="10">
        <f>IF(OR(Y355="",'4_BENCHMARK'!$C$10=""),"",ABS(Y355-'4_BENCHMARK'!$C$10))</f>
        <v>0.25</v>
      </c>
      <c r="AP355" s="10">
        <f>IF(OR(Z355="",'4_BENCHMARK'!$C$11=""),"",ABS(Z355-'4_BENCHMARK'!$C$11))</f>
        <v>0</v>
      </c>
      <c r="AQ355" s="13">
        <f t="shared" si="192"/>
        <v>0.65625</v>
      </c>
      <c r="AR355" s="10"/>
      <c r="AS355" s="36" t="s">
        <v>145</v>
      </c>
      <c r="AT355" s="13">
        <f t="shared" si="193"/>
        <v>0.875</v>
      </c>
      <c r="AU355" s="1" t="str">
        <f t="shared" si="194"/>
        <v/>
      </c>
      <c r="AV355" s="1" t="str">
        <f t="shared" si="195"/>
        <v/>
      </c>
      <c r="AW355" s="1" t="str">
        <f t="shared" si="196"/>
        <v/>
      </c>
      <c r="AX355" s="1" t="str">
        <f t="shared" si="197"/>
        <v/>
      </c>
      <c r="AY355" s="1" t="str">
        <f t="shared" si="198"/>
        <v/>
      </c>
      <c r="AZ355" s="1" t="str">
        <f t="shared" si="199"/>
        <v/>
      </c>
      <c r="BA355" s="1" t="str">
        <f t="shared" si="200"/>
        <v/>
      </c>
      <c r="BB355" s="1" t="str">
        <f t="shared" si="201"/>
        <v/>
      </c>
      <c r="BC355" s="1" t="str">
        <f t="shared" si="202"/>
        <v/>
      </c>
      <c r="BD355" s="1" t="str">
        <f t="shared" si="203"/>
        <v/>
      </c>
      <c r="BE355" s="1" t="str">
        <f t="shared" si="204"/>
        <v/>
      </c>
      <c r="BF355" s="1" t="str">
        <f t="shared" si="205"/>
        <v/>
      </c>
      <c r="BG355" s="1" t="str">
        <f t="shared" si="206"/>
        <v/>
      </c>
      <c r="BH355" s="1" t="str">
        <f t="shared" si="207"/>
        <v/>
      </c>
      <c r="BI355" s="1" t="str">
        <f t="shared" si="208"/>
        <v/>
      </c>
      <c r="BJ355" s="1" t="str">
        <f t="shared" si="209"/>
        <v/>
      </c>
    </row>
    <row r="356" ht="14.25" customHeight="1" spans="1:62">
      <c r="A356" s="10">
        <v>352</v>
      </c>
      <c r="B356" s="10" t="s">
        <v>1227</v>
      </c>
      <c r="C356" s="10">
        <v>1980</v>
      </c>
      <c r="D356" s="10">
        <f t="shared" si="210"/>
        <v>1980</v>
      </c>
      <c r="E356" s="10" t="s">
        <v>1228</v>
      </c>
      <c r="F356" s="35" t="s">
        <v>1229</v>
      </c>
      <c r="G356" s="10" t="s">
        <v>1230</v>
      </c>
      <c r="H356" s="10" t="s">
        <v>140</v>
      </c>
      <c r="I356" s="10" t="s">
        <v>140</v>
      </c>
      <c r="J356" s="10"/>
      <c r="K356" s="10">
        <v>4</v>
      </c>
      <c r="L356" s="10">
        <v>4</v>
      </c>
      <c r="M356" s="10">
        <v>4</v>
      </c>
      <c r="N356" s="10">
        <v>5</v>
      </c>
      <c r="O356" s="10">
        <v>5</v>
      </c>
      <c r="P356" s="10">
        <v>5</v>
      </c>
      <c r="Q356" s="10">
        <v>2</v>
      </c>
      <c r="R356" s="10">
        <v>5</v>
      </c>
      <c r="S356" s="10">
        <f t="shared" si="176"/>
        <v>0.75</v>
      </c>
      <c r="T356" s="10">
        <f t="shared" si="177"/>
        <v>0.75</v>
      </c>
      <c r="U356" s="10">
        <f t="shared" si="178"/>
        <v>0.75</v>
      </c>
      <c r="V356" s="10">
        <f t="shared" si="179"/>
        <v>1</v>
      </c>
      <c r="W356" s="10">
        <f t="shared" si="180"/>
        <v>1</v>
      </c>
      <c r="X356" s="10">
        <f t="shared" si="181"/>
        <v>1</v>
      </c>
      <c r="Y356" s="10">
        <f t="shared" si="182"/>
        <v>0.25</v>
      </c>
      <c r="Z356" s="10">
        <f t="shared" si="183"/>
        <v>1</v>
      </c>
      <c r="AA356" s="10" t="str">
        <f t="shared" si="184"/>
        <v/>
      </c>
      <c r="AB356" s="10" t="str">
        <f t="shared" si="185"/>
        <v/>
      </c>
      <c r="AC356" s="10" t="str">
        <f t="shared" si="186"/>
        <v/>
      </c>
      <c r="AD356" s="10" t="str">
        <f t="shared" si="187"/>
        <v/>
      </c>
      <c r="AE356" s="10" t="str">
        <f t="shared" si="188"/>
        <v/>
      </c>
      <c r="AF356" s="10" t="str">
        <f t="shared" si="189"/>
        <v/>
      </c>
      <c r="AG356" s="10" t="str">
        <f t="shared" si="190"/>
        <v/>
      </c>
      <c r="AH356" s="10" t="str">
        <f t="shared" si="191"/>
        <v/>
      </c>
      <c r="AI356" s="10">
        <f>IF(OR(S356="",'4_BENCHMARK'!$C$4=""),"",ABS(S356-'4_BENCHMARK'!$C$4))</f>
        <v>0.25</v>
      </c>
      <c r="AJ356" s="10">
        <f>IF(OR(T356="",'4_BENCHMARK'!$C$5=""),"",ABS(T356-'4_BENCHMARK'!$C$5))</f>
        <v>0.25</v>
      </c>
      <c r="AK356" s="10">
        <f>IF(OR(U356="",'4_BENCHMARK'!$C$6=""),"",ABS(U356-'4_BENCHMARK'!$C$6))</f>
        <v>0.25</v>
      </c>
      <c r="AL356" s="10">
        <f>IF(OR(V356="",'4_BENCHMARK'!$C$7=""),"",ABS(V356-'4_BENCHMARK'!$C$7))</f>
        <v>0</v>
      </c>
      <c r="AM356" s="10">
        <f>IF(OR(W356="",'4_BENCHMARK'!$C$8=""),"",ABS(W356-'4_BENCHMARK'!$C$8))</f>
        <v>1</v>
      </c>
      <c r="AN356" s="10">
        <f>IF(OR(X356="",'4_BENCHMARK'!$C$9=""),"",ABS(X356-'4_BENCHMARK'!$C$9))</f>
        <v>1</v>
      </c>
      <c r="AO356" s="10">
        <f>IF(OR(Y356="",'4_BENCHMARK'!$C$10=""),"",ABS(Y356-'4_BENCHMARK'!$C$10))</f>
        <v>0.25</v>
      </c>
      <c r="AP356" s="10">
        <f>IF(OR(Z356="",'4_BENCHMARK'!$C$11=""),"",ABS(Z356-'4_BENCHMARK'!$C$11))</f>
        <v>0</v>
      </c>
      <c r="AQ356" s="13">
        <f t="shared" si="192"/>
        <v>0.625</v>
      </c>
      <c r="AR356" s="10"/>
      <c r="AS356" s="36" t="s">
        <v>145</v>
      </c>
      <c r="AT356" s="13">
        <f t="shared" si="193"/>
        <v>0.833333333333333</v>
      </c>
      <c r="AU356" s="1" t="str">
        <f t="shared" si="194"/>
        <v/>
      </c>
      <c r="AV356" s="1" t="str">
        <f t="shared" si="195"/>
        <v/>
      </c>
      <c r="AW356" s="1" t="str">
        <f t="shared" si="196"/>
        <v/>
      </c>
      <c r="AX356" s="1" t="str">
        <f t="shared" si="197"/>
        <v/>
      </c>
      <c r="AY356" s="1" t="str">
        <f t="shared" si="198"/>
        <v/>
      </c>
      <c r="AZ356" s="1" t="str">
        <f t="shared" si="199"/>
        <v/>
      </c>
      <c r="BA356" s="1" t="str">
        <f t="shared" si="200"/>
        <v/>
      </c>
      <c r="BB356" s="1" t="str">
        <f t="shared" si="201"/>
        <v/>
      </c>
      <c r="BC356" s="1" t="str">
        <f t="shared" si="202"/>
        <v/>
      </c>
      <c r="BD356" s="1" t="str">
        <f t="shared" si="203"/>
        <v/>
      </c>
      <c r="BE356" s="1" t="str">
        <f t="shared" si="204"/>
        <v/>
      </c>
      <c r="BF356" s="1" t="str">
        <f t="shared" si="205"/>
        <v/>
      </c>
      <c r="BG356" s="1" t="str">
        <f t="shared" si="206"/>
        <v/>
      </c>
      <c r="BH356" s="1" t="str">
        <f t="shared" si="207"/>
        <v/>
      </c>
      <c r="BI356" s="1" t="str">
        <f t="shared" si="208"/>
        <v/>
      </c>
      <c r="BJ356" s="1" t="str">
        <f t="shared" si="209"/>
        <v/>
      </c>
    </row>
    <row r="357" ht="14.25" customHeight="1" spans="1:62">
      <c r="A357" s="10">
        <v>353</v>
      </c>
      <c r="B357" s="10" t="s">
        <v>1231</v>
      </c>
      <c r="C357" s="10">
        <v>1990</v>
      </c>
      <c r="D357" s="10">
        <f t="shared" si="210"/>
        <v>1990</v>
      </c>
      <c r="E357" s="10" t="s">
        <v>136</v>
      </c>
      <c r="F357" s="35" t="s">
        <v>1232</v>
      </c>
      <c r="G357" s="10" t="s">
        <v>1233</v>
      </c>
      <c r="H357" s="10" t="s">
        <v>139</v>
      </c>
      <c r="I357" s="10" t="s">
        <v>140</v>
      </c>
      <c r="J357" s="10" t="s">
        <v>762</v>
      </c>
      <c r="K357" s="10">
        <v>5</v>
      </c>
      <c r="L357" s="10">
        <v>5</v>
      </c>
      <c r="M357" s="10">
        <v>5</v>
      </c>
      <c r="N357" s="10">
        <v>5</v>
      </c>
      <c r="O357" s="10">
        <v>5</v>
      </c>
      <c r="P357" s="10">
        <v>5</v>
      </c>
      <c r="Q357" s="10">
        <v>3</v>
      </c>
      <c r="R357" s="10">
        <v>5</v>
      </c>
      <c r="S357" s="10">
        <f t="shared" si="176"/>
        <v>1</v>
      </c>
      <c r="T357" s="10">
        <f t="shared" si="177"/>
        <v>1</v>
      </c>
      <c r="U357" s="10">
        <f t="shared" si="178"/>
        <v>1</v>
      </c>
      <c r="V357" s="10">
        <f t="shared" si="179"/>
        <v>1</v>
      </c>
      <c r="W357" s="10">
        <f t="shared" si="180"/>
        <v>1</v>
      </c>
      <c r="X357" s="10">
        <f t="shared" si="181"/>
        <v>1</v>
      </c>
      <c r="Y357" s="10">
        <f t="shared" si="182"/>
        <v>0.5</v>
      </c>
      <c r="Z357" s="10">
        <f t="shared" si="183"/>
        <v>1</v>
      </c>
      <c r="AA357" s="10" t="str">
        <f t="shared" si="184"/>
        <v/>
      </c>
      <c r="AB357" s="10" t="str">
        <f t="shared" si="185"/>
        <v/>
      </c>
      <c r="AC357" s="10" t="str">
        <f t="shared" si="186"/>
        <v/>
      </c>
      <c r="AD357" s="10" t="str">
        <f t="shared" si="187"/>
        <v/>
      </c>
      <c r="AE357" s="10" t="str">
        <f t="shared" si="188"/>
        <v/>
      </c>
      <c r="AF357" s="10" t="str">
        <f t="shared" si="189"/>
        <v/>
      </c>
      <c r="AG357" s="10" t="str">
        <f t="shared" si="190"/>
        <v/>
      </c>
      <c r="AH357" s="10" t="str">
        <f t="shared" si="191"/>
        <v/>
      </c>
      <c r="AI357" s="10">
        <f>IF(OR(S357="",'4_BENCHMARK'!$C$4=""),"",ABS(S357-'4_BENCHMARK'!$C$4))</f>
        <v>0</v>
      </c>
      <c r="AJ357" s="10">
        <f>IF(OR(T357="",'4_BENCHMARK'!$C$5=""),"",ABS(T357-'4_BENCHMARK'!$C$5))</f>
        <v>0</v>
      </c>
      <c r="AK357" s="10">
        <f>IF(OR(U357="",'4_BENCHMARK'!$C$6=""),"",ABS(U357-'4_BENCHMARK'!$C$6))</f>
        <v>0</v>
      </c>
      <c r="AL357" s="10">
        <f>IF(OR(V357="",'4_BENCHMARK'!$C$7=""),"",ABS(V357-'4_BENCHMARK'!$C$7))</f>
        <v>0</v>
      </c>
      <c r="AM357" s="10">
        <f>IF(OR(W357="",'4_BENCHMARK'!$C$8=""),"",ABS(W357-'4_BENCHMARK'!$C$8))</f>
        <v>1</v>
      </c>
      <c r="AN357" s="10">
        <f>IF(OR(X357="",'4_BENCHMARK'!$C$9=""),"",ABS(X357-'4_BENCHMARK'!$C$9))</f>
        <v>1</v>
      </c>
      <c r="AO357" s="10">
        <f>IF(OR(Y357="",'4_BENCHMARK'!$C$10=""),"",ABS(Y357-'4_BENCHMARK'!$C$10))</f>
        <v>0</v>
      </c>
      <c r="AP357" s="10">
        <f>IF(OR(Z357="",'4_BENCHMARK'!$C$11=""),"",ABS(Z357-'4_BENCHMARK'!$C$11))</f>
        <v>0</v>
      </c>
      <c r="AQ357" s="13">
        <f t="shared" si="192"/>
        <v>0.75</v>
      </c>
      <c r="AR357" s="10"/>
      <c r="AS357" s="36" t="s">
        <v>141</v>
      </c>
      <c r="AT357" s="13">
        <f t="shared" si="193"/>
        <v>1</v>
      </c>
      <c r="AU357" s="1" t="str">
        <f t="shared" si="194"/>
        <v/>
      </c>
      <c r="AV357" s="1" t="str">
        <f t="shared" si="195"/>
        <v/>
      </c>
      <c r="AW357" s="1" t="str">
        <f t="shared" si="196"/>
        <v/>
      </c>
      <c r="AX357" s="1" t="str">
        <f t="shared" si="197"/>
        <v/>
      </c>
      <c r="AY357" s="1" t="str">
        <f t="shared" si="198"/>
        <v/>
      </c>
      <c r="AZ357" s="1" t="str">
        <f t="shared" si="199"/>
        <v/>
      </c>
      <c r="BA357" s="1" t="str">
        <f t="shared" si="200"/>
        <v/>
      </c>
      <c r="BB357" s="1" t="str">
        <f t="shared" si="201"/>
        <v/>
      </c>
      <c r="BC357" s="1" t="str">
        <f t="shared" si="202"/>
        <v/>
      </c>
      <c r="BD357" s="1" t="str">
        <f t="shared" si="203"/>
        <v/>
      </c>
      <c r="BE357" s="1" t="str">
        <f t="shared" si="204"/>
        <v/>
      </c>
      <c r="BF357" s="1" t="str">
        <f t="shared" si="205"/>
        <v/>
      </c>
      <c r="BG357" s="1" t="str">
        <f t="shared" si="206"/>
        <v/>
      </c>
      <c r="BH357" s="1" t="str">
        <f t="shared" si="207"/>
        <v/>
      </c>
      <c r="BI357" s="1" t="str">
        <f t="shared" si="208"/>
        <v/>
      </c>
      <c r="BJ357" s="1" t="str">
        <f t="shared" si="209"/>
        <v/>
      </c>
    </row>
    <row r="358" ht="14.25" customHeight="1" spans="1:62">
      <c r="A358" s="10">
        <v>354</v>
      </c>
      <c r="B358" s="10" t="s">
        <v>1234</v>
      </c>
      <c r="C358" s="10">
        <v>1990</v>
      </c>
      <c r="D358" s="10">
        <f t="shared" si="210"/>
        <v>1990</v>
      </c>
      <c r="E358" s="10" t="s">
        <v>136</v>
      </c>
      <c r="F358" s="35" t="s">
        <v>1235</v>
      </c>
      <c r="G358" s="10" t="s">
        <v>1236</v>
      </c>
      <c r="H358" s="10" t="s">
        <v>139</v>
      </c>
      <c r="I358" s="10" t="s">
        <v>140</v>
      </c>
      <c r="J358" s="10" t="s">
        <v>762</v>
      </c>
      <c r="K358" s="10">
        <v>5</v>
      </c>
      <c r="L358" s="10">
        <v>5</v>
      </c>
      <c r="M358" s="10">
        <v>5</v>
      </c>
      <c r="N358" s="10">
        <v>5</v>
      </c>
      <c r="O358" s="10">
        <v>5</v>
      </c>
      <c r="P358" s="10">
        <v>5</v>
      </c>
      <c r="Q358" s="10">
        <v>3</v>
      </c>
      <c r="R358" s="10">
        <v>5</v>
      </c>
      <c r="S358" s="10">
        <f t="shared" si="176"/>
        <v>1</v>
      </c>
      <c r="T358" s="10">
        <f t="shared" si="177"/>
        <v>1</v>
      </c>
      <c r="U358" s="10">
        <f t="shared" si="178"/>
        <v>1</v>
      </c>
      <c r="V358" s="10">
        <f t="shared" si="179"/>
        <v>1</v>
      </c>
      <c r="W358" s="10">
        <f t="shared" si="180"/>
        <v>1</v>
      </c>
      <c r="X358" s="10">
        <f t="shared" si="181"/>
        <v>1</v>
      </c>
      <c r="Y358" s="10">
        <f t="shared" si="182"/>
        <v>0.5</v>
      </c>
      <c r="Z358" s="10">
        <f t="shared" si="183"/>
        <v>1</v>
      </c>
      <c r="AA358" s="10" t="str">
        <f t="shared" si="184"/>
        <v/>
      </c>
      <c r="AB358" s="10" t="str">
        <f t="shared" si="185"/>
        <v/>
      </c>
      <c r="AC358" s="10" t="str">
        <f t="shared" si="186"/>
        <v/>
      </c>
      <c r="AD358" s="10" t="str">
        <f t="shared" si="187"/>
        <v/>
      </c>
      <c r="AE358" s="10" t="str">
        <f t="shared" si="188"/>
        <v/>
      </c>
      <c r="AF358" s="10" t="str">
        <f t="shared" si="189"/>
        <v/>
      </c>
      <c r="AG358" s="10" t="str">
        <f t="shared" si="190"/>
        <v/>
      </c>
      <c r="AH358" s="10" t="str">
        <f t="shared" si="191"/>
        <v/>
      </c>
      <c r="AI358" s="10">
        <f>IF(OR(S358="",'4_BENCHMARK'!$C$4=""),"",ABS(S358-'4_BENCHMARK'!$C$4))</f>
        <v>0</v>
      </c>
      <c r="AJ358" s="10">
        <f>IF(OR(T358="",'4_BENCHMARK'!$C$5=""),"",ABS(T358-'4_BENCHMARK'!$C$5))</f>
        <v>0</v>
      </c>
      <c r="AK358" s="10">
        <f>IF(OR(U358="",'4_BENCHMARK'!$C$6=""),"",ABS(U358-'4_BENCHMARK'!$C$6))</f>
        <v>0</v>
      </c>
      <c r="AL358" s="10">
        <f>IF(OR(V358="",'4_BENCHMARK'!$C$7=""),"",ABS(V358-'4_BENCHMARK'!$C$7))</f>
        <v>0</v>
      </c>
      <c r="AM358" s="10">
        <f>IF(OR(W358="",'4_BENCHMARK'!$C$8=""),"",ABS(W358-'4_BENCHMARK'!$C$8))</f>
        <v>1</v>
      </c>
      <c r="AN358" s="10">
        <f>IF(OR(X358="",'4_BENCHMARK'!$C$9=""),"",ABS(X358-'4_BENCHMARK'!$C$9))</f>
        <v>1</v>
      </c>
      <c r="AO358" s="10">
        <f>IF(OR(Y358="",'4_BENCHMARK'!$C$10=""),"",ABS(Y358-'4_BENCHMARK'!$C$10))</f>
        <v>0</v>
      </c>
      <c r="AP358" s="10">
        <f>IF(OR(Z358="",'4_BENCHMARK'!$C$11=""),"",ABS(Z358-'4_BENCHMARK'!$C$11))</f>
        <v>0</v>
      </c>
      <c r="AQ358" s="13">
        <f t="shared" si="192"/>
        <v>0.75</v>
      </c>
      <c r="AR358" s="10"/>
      <c r="AS358" s="36" t="s">
        <v>141</v>
      </c>
      <c r="AT358" s="13">
        <f t="shared" si="193"/>
        <v>1</v>
      </c>
      <c r="AU358" s="1" t="str">
        <f t="shared" si="194"/>
        <v/>
      </c>
      <c r="AV358" s="1" t="str">
        <f t="shared" si="195"/>
        <v/>
      </c>
      <c r="AW358" s="1" t="str">
        <f t="shared" si="196"/>
        <v/>
      </c>
      <c r="AX358" s="1" t="str">
        <f t="shared" si="197"/>
        <v/>
      </c>
      <c r="AY358" s="1" t="str">
        <f t="shared" si="198"/>
        <v/>
      </c>
      <c r="AZ358" s="1" t="str">
        <f t="shared" si="199"/>
        <v/>
      </c>
      <c r="BA358" s="1" t="str">
        <f t="shared" si="200"/>
        <v/>
      </c>
      <c r="BB358" s="1" t="str">
        <f t="shared" si="201"/>
        <v/>
      </c>
      <c r="BC358" s="1" t="str">
        <f t="shared" si="202"/>
        <v/>
      </c>
      <c r="BD358" s="1" t="str">
        <f t="shared" si="203"/>
        <v/>
      </c>
      <c r="BE358" s="1" t="str">
        <f t="shared" si="204"/>
        <v/>
      </c>
      <c r="BF358" s="1" t="str">
        <f t="shared" si="205"/>
        <v/>
      </c>
      <c r="BG358" s="1" t="str">
        <f t="shared" si="206"/>
        <v/>
      </c>
      <c r="BH358" s="1" t="str">
        <f t="shared" si="207"/>
        <v/>
      </c>
      <c r="BI358" s="1" t="str">
        <f t="shared" si="208"/>
        <v/>
      </c>
      <c r="BJ358" s="1" t="str">
        <f t="shared" si="209"/>
        <v/>
      </c>
    </row>
    <row r="359" ht="14.25" customHeight="1" spans="1:62">
      <c r="A359" s="10">
        <v>355</v>
      </c>
      <c r="B359" s="10" t="s">
        <v>1237</v>
      </c>
      <c r="C359" s="10">
        <v>1990</v>
      </c>
      <c r="D359" s="10">
        <f t="shared" si="210"/>
        <v>1990</v>
      </c>
      <c r="E359" s="10" t="s">
        <v>136</v>
      </c>
      <c r="F359" s="35" t="s">
        <v>1238</v>
      </c>
      <c r="G359" s="10" t="s">
        <v>1239</v>
      </c>
      <c r="H359" s="10" t="s">
        <v>139</v>
      </c>
      <c r="I359" s="10" t="s">
        <v>140</v>
      </c>
      <c r="J359" s="10" t="s">
        <v>762</v>
      </c>
      <c r="K359" s="10">
        <v>5</v>
      </c>
      <c r="L359" s="10">
        <v>5</v>
      </c>
      <c r="M359" s="10">
        <v>5</v>
      </c>
      <c r="N359" s="10">
        <v>5</v>
      </c>
      <c r="O359" s="10">
        <v>5</v>
      </c>
      <c r="P359" s="10">
        <v>5</v>
      </c>
      <c r="Q359" s="10">
        <v>3</v>
      </c>
      <c r="R359" s="10">
        <v>5</v>
      </c>
      <c r="S359" s="10">
        <f t="shared" si="176"/>
        <v>1</v>
      </c>
      <c r="T359" s="10">
        <f t="shared" si="177"/>
        <v>1</v>
      </c>
      <c r="U359" s="10">
        <f t="shared" si="178"/>
        <v>1</v>
      </c>
      <c r="V359" s="10">
        <f t="shared" si="179"/>
        <v>1</v>
      </c>
      <c r="W359" s="10">
        <f t="shared" si="180"/>
        <v>1</v>
      </c>
      <c r="X359" s="10">
        <f t="shared" si="181"/>
        <v>1</v>
      </c>
      <c r="Y359" s="10">
        <f t="shared" si="182"/>
        <v>0.5</v>
      </c>
      <c r="Z359" s="10">
        <f t="shared" si="183"/>
        <v>1</v>
      </c>
      <c r="AA359" s="10" t="str">
        <f t="shared" si="184"/>
        <v/>
      </c>
      <c r="AB359" s="10" t="str">
        <f t="shared" si="185"/>
        <v/>
      </c>
      <c r="AC359" s="10" t="str">
        <f t="shared" si="186"/>
        <v/>
      </c>
      <c r="AD359" s="10" t="str">
        <f t="shared" si="187"/>
        <v/>
      </c>
      <c r="AE359" s="10" t="str">
        <f t="shared" si="188"/>
        <v/>
      </c>
      <c r="AF359" s="10" t="str">
        <f t="shared" si="189"/>
        <v/>
      </c>
      <c r="AG359" s="10" t="str">
        <f t="shared" si="190"/>
        <v/>
      </c>
      <c r="AH359" s="10" t="str">
        <f t="shared" si="191"/>
        <v/>
      </c>
      <c r="AI359" s="10">
        <f>IF(OR(S359="",'4_BENCHMARK'!$C$4=""),"",ABS(S359-'4_BENCHMARK'!$C$4))</f>
        <v>0</v>
      </c>
      <c r="AJ359" s="10">
        <f>IF(OR(T359="",'4_BENCHMARK'!$C$5=""),"",ABS(T359-'4_BENCHMARK'!$C$5))</f>
        <v>0</v>
      </c>
      <c r="AK359" s="10">
        <f>IF(OR(U359="",'4_BENCHMARK'!$C$6=""),"",ABS(U359-'4_BENCHMARK'!$C$6))</f>
        <v>0</v>
      </c>
      <c r="AL359" s="10">
        <f>IF(OR(V359="",'4_BENCHMARK'!$C$7=""),"",ABS(V359-'4_BENCHMARK'!$C$7))</f>
        <v>0</v>
      </c>
      <c r="AM359" s="10">
        <f>IF(OR(W359="",'4_BENCHMARK'!$C$8=""),"",ABS(W359-'4_BENCHMARK'!$C$8))</f>
        <v>1</v>
      </c>
      <c r="AN359" s="10">
        <f>IF(OR(X359="",'4_BENCHMARK'!$C$9=""),"",ABS(X359-'4_BENCHMARK'!$C$9))</f>
        <v>1</v>
      </c>
      <c r="AO359" s="10">
        <f>IF(OR(Y359="",'4_BENCHMARK'!$C$10=""),"",ABS(Y359-'4_BENCHMARK'!$C$10))</f>
        <v>0</v>
      </c>
      <c r="AP359" s="10">
        <f>IF(OR(Z359="",'4_BENCHMARK'!$C$11=""),"",ABS(Z359-'4_BENCHMARK'!$C$11))</f>
        <v>0</v>
      </c>
      <c r="AQ359" s="13">
        <f t="shared" si="192"/>
        <v>0.75</v>
      </c>
      <c r="AR359" s="10"/>
      <c r="AS359" s="36" t="s">
        <v>141</v>
      </c>
      <c r="AT359" s="13">
        <f t="shared" si="193"/>
        <v>1</v>
      </c>
      <c r="AU359" s="1" t="str">
        <f t="shared" si="194"/>
        <v/>
      </c>
      <c r="AV359" s="1" t="str">
        <f t="shared" si="195"/>
        <v/>
      </c>
      <c r="AW359" s="1" t="str">
        <f t="shared" si="196"/>
        <v/>
      </c>
      <c r="AX359" s="1" t="str">
        <f t="shared" si="197"/>
        <v/>
      </c>
      <c r="AY359" s="1" t="str">
        <f t="shared" si="198"/>
        <v/>
      </c>
      <c r="AZ359" s="1" t="str">
        <f t="shared" si="199"/>
        <v/>
      </c>
      <c r="BA359" s="1" t="str">
        <f t="shared" si="200"/>
        <v/>
      </c>
      <c r="BB359" s="1" t="str">
        <f t="shared" si="201"/>
        <v/>
      </c>
      <c r="BC359" s="1" t="str">
        <f t="shared" si="202"/>
        <v/>
      </c>
      <c r="BD359" s="1" t="str">
        <f t="shared" si="203"/>
        <v/>
      </c>
      <c r="BE359" s="1" t="str">
        <f t="shared" si="204"/>
        <v/>
      </c>
      <c r="BF359" s="1" t="str">
        <f t="shared" si="205"/>
        <v/>
      </c>
      <c r="BG359" s="1" t="str">
        <f t="shared" si="206"/>
        <v/>
      </c>
      <c r="BH359" s="1" t="str">
        <f t="shared" si="207"/>
        <v/>
      </c>
      <c r="BI359" s="1" t="str">
        <f t="shared" si="208"/>
        <v/>
      </c>
      <c r="BJ359" s="1" t="str">
        <f t="shared" si="209"/>
        <v/>
      </c>
    </row>
    <row r="360" ht="14.25" customHeight="1" spans="1:62">
      <c r="A360" s="10">
        <v>356</v>
      </c>
      <c r="B360" s="10" t="s">
        <v>1240</v>
      </c>
      <c r="C360" s="10">
        <v>1990</v>
      </c>
      <c r="D360" s="10">
        <f t="shared" si="210"/>
        <v>1990</v>
      </c>
      <c r="E360" s="10" t="s">
        <v>801</v>
      </c>
      <c r="F360" s="35" t="s">
        <v>1241</v>
      </c>
      <c r="G360" s="10" t="s">
        <v>1242</v>
      </c>
      <c r="H360" s="10" t="s">
        <v>140</v>
      </c>
      <c r="I360" s="10" t="s">
        <v>140</v>
      </c>
      <c r="J360" s="10" t="s">
        <v>762</v>
      </c>
      <c r="K360" s="10">
        <v>5</v>
      </c>
      <c r="L360" s="10">
        <v>5</v>
      </c>
      <c r="M360" s="10">
        <v>5</v>
      </c>
      <c r="N360" s="10">
        <v>5</v>
      </c>
      <c r="O360" s="10">
        <v>5</v>
      </c>
      <c r="P360" s="10">
        <v>5</v>
      </c>
      <c r="Q360" s="10">
        <v>2</v>
      </c>
      <c r="R360" s="10">
        <v>5</v>
      </c>
      <c r="S360" s="10">
        <f t="shared" si="176"/>
        <v>1</v>
      </c>
      <c r="T360" s="10">
        <f t="shared" si="177"/>
        <v>1</v>
      </c>
      <c r="U360" s="10">
        <f t="shared" si="178"/>
        <v>1</v>
      </c>
      <c r="V360" s="10">
        <f t="shared" si="179"/>
        <v>1</v>
      </c>
      <c r="W360" s="10">
        <f t="shared" si="180"/>
        <v>1</v>
      </c>
      <c r="X360" s="10">
        <f t="shared" si="181"/>
        <v>1</v>
      </c>
      <c r="Y360" s="10">
        <f t="shared" si="182"/>
        <v>0.25</v>
      </c>
      <c r="Z360" s="10">
        <f t="shared" si="183"/>
        <v>1</v>
      </c>
      <c r="AA360" s="10" t="str">
        <f t="shared" si="184"/>
        <v/>
      </c>
      <c r="AB360" s="10" t="str">
        <f t="shared" si="185"/>
        <v/>
      </c>
      <c r="AC360" s="10" t="str">
        <f t="shared" si="186"/>
        <v/>
      </c>
      <c r="AD360" s="10" t="str">
        <f t="shared" si="187"/>
        <v/>
      </c>
      <c r="AE360" s="10" t="str">
        <f t="shared" si="188"/>
        <v/>
      </c>
      <c r="AF360" s="10" t="str">
        <f t="shared" si="189"/>
        <v/>
      </c>
      <c r="AG360" s="10" t="str">
        <f t="shared" si="190"/>
        <v/>
      </c>
      <c r="AH360" s="10" t="str">
        <f t="shared" si="191"/>
        <v/>
      </c>
      <c r="AI360" s="10">
        <f>IF(OR(S360="",'4_BENCHMARK'!$C$4=""),"",ABS(S360-'4_BENCHMARK'!$C$4))</f>
        <v>0</v>
      </c>
      <c r="AJ360" s="10">
        <f>IF(OR(T360="",'4_BENCHMARK'!$C$5=""),"",ABS(T360-'4_BENCHMARK'!$C$5))</f>
        <v>0</v>
      </c>
      <c r="AK360" s="10">
        <f>IF(OR(U360="",'4_BENCHMARK'!$C$6=""),"",ABS(U360-'4_BENCHMARK'!$C$6))</f>
        <v>0</v>
      </c>
      <c r="AL360" s="10">
        <f>IF(OR(V360="",'4_BENCHMARK'!$C$7=""),"",ABS(V360-'4_BENCHMARK'!$C$7))</f>
        <v>0</v>
      </c>
      <c r="AM360" s="10">
        <f>IF(OR(W360="",'4_BENCHMARK'!$C$8=""),"",ABS(W360-'4_BENCHMARK'!$C$8))</f>
        <v>1</v>
      </c>
      <c r="AN360" s="10">
        <f>IF(OR(X360="",'4_BENCHMARK'!$C$9=""),"",ABS(X360-'4_BENCHMARK'!$C$9))</f>
        <v>1</v>
      </c>
      <c r="AO360" s="10">
        <f>IF(OR(Y360="",'4_BENCHMARK'!$C$10=""),"",ABS(Y360-'4_BENCHMARK'!$C$10))</f>
        <v>0.25</v>
      </c>
      <c r="AP360" s="10">
        <f>IF(OR(Z360="",'4_BENCHMARK'!$C$11=""),"",ABS(Z360-'4_BENCHMARK'!$C$11))</f>
        <v>0</v>
      </c>
      <c r="AQ360" s="13">
        <f t="shared" si="192"/>
        <v>0.71875</v>
      </c>
      <c r="AR360" s="10"/>
      <c r="AS360" s="36" t="s">
        <v>141</v>
      </c>
      <c r="AT360" s="13">
        <f t="shared" si="193"/>
        <v>0.958333333333333</v>
      </c>
      <c r="AU360" s="1" t="str">
        <f t="shared" si="194"/>
        <v/>
      </c>
      <c r="AV360" s="1" t="str">
        <f t="shared" si="195"/>
        <v/>
      </c>
      <c r="AW360" s="1" t="str">
        <f t="shared" si="196"/>
        <v/>
      </c>
      <c r="AX360" s="1" t="str">
        <f t="shared" si="197"/>
        <v/>
      </c>
      <c r="AY360" s="1" t="str">
        <f t="shared" si="198"/>
        <v/>
      </c>
      <c r="AZ360" s="1" t="str">
        <f t="shared" si="199"/>
        <v/>
      </c>
      <c r="BA360" s="1" t="str">
        <f t="shared" si="200"/>
        <v/>
      </c>
      <c r="BB360" s="1" t="str">
        <f t="shared" si="201"/>
        <v/>
      </c>
      <c r="BC360" s="1" t="str">
        <f t="shared" si="202"/>
        <v/>
      </c>
      <c r="BD360" s="1" t="str">
        <f t="shared" si="203"/>
        <v/>
      </c>
      <c r="BE360" s="1" t="str">
        <f t="shared" si="204"/>
        <v/>
      </c>
      <c r="BF360" s="1" t="str">
        <f t="shared" si="205"/>
        <v/>
      </c>
      <c r="BG360" s="1" t="str">
        <f t="shared" si="206"/>
        <v/>
      </c>
      <c r="BH360" s="1" t="str">
        <f t="shared" si="207"/>
        <v/>
      </c>
      <c r="BI360" s="1" t="str">
        <f t="shared" si="208"/>
        <v/>
      </c>
      <c r="BJ360" s="1" t="str">
        <f t="shared" si="209"/>
        <v/>
      </c>
    </row>
    <row r="361" ht="14.25" customHeight="1" spans="1:62">
      <c r="A361" s="10">
        <v>357</v>
      </c>
      <c r="B361" s="10" t="s">
        <v>1243</v>
      </c>
      <c r="C361" s="10">
        <v>1990</v>
      </c>
      <c r="D361" s="10">
        <f t="shared" ref="D361:D392" si="211">IF(C361="","",FLOOR(C361,10))</f>
        <v>1990</v>
      </c>
      <c r="E361" s="10" t="s">
        <v>136</v>
      </c>
      <c r="F361" s="35" t="s">
        <v>1244</v>
      </c>
      <c r="G361" s="10" t="s">
        <v>1245</v>
      </c>
      <c r="H361" s="10" t="s">
        <v>140</v>
      </c>
      <c r="I361" s="10" t="s">
        <v>140</v>
      </c>
      <c r="J361" s="10"/>
      <c r="K361" s="10">
        <v>5</v>
      </c>
      <c r="L361" s="10">
        <v>5</v>
      </c>
      <c r="M361" s="10">
        <v>5</v>
      </c>
      <c r="N361" s="10">
        <v>5</v>
      </c>
      <c r="O361" s="10">
        <v>5</v>
      </c>
      <c r="P361" s="10">
        <v>5</v>
      </c>
      <c r="Q361" s="10">
        <v>2</v>
      </c>
      <c r="R361" s="10">
        <v>5</v>
      </c>
      <c r="S361" s="10">
        <f t="shared" si="176"/>
        <v>1</v>
      </c>
      <c r="T361" s="10">
        <f t="shared" si="177"/>
        <v>1</v>
      </c>
      <c r="U361" s="10">
        <f t="shared" si="178"/>
        <v>1</v>
      </c>
      <c r="V361" s="10">
        <f t="shared" si="179"/>
        <v>1</v>
      </c>
      <c r="W361" s="10">
        <f t="shared" si="180"/>
        <v>1</v>
      </c>
      <c r="X361" s="10">
        <f t="shared" si="181"/>
        <v>1</v>
      </c>
      <c r="Y361" s="10">
        <f t="shared" si="182"/>
        <v>0.25</v>
      </c>
      <c r="Z361" s="10">
        <f t="shared" si="183"/>
        <v>1</v>
      </c>
      <c r="AA361" s="10" t="str">
        <f t="shared" si="184"/>
        <v/>
      </c>
      <c r="AB361" s="10" t="str">
        <f t="shared" si="185"/>
        <v/>
      </c>
      <c r="AC361" s="10" t="str">
        <f t="shared" si="186"/>
        <v/>
      </c>
      <c r="AD361" s="10" t="str">
        <f t="shared" si="187"/>
        <v/>
      </c>
      <c r="AE361" s="10" t="str">
        <f t="shared" si="188"/>
        <v/>
      </c>
      <c r="AF361" s="10" t="str">
        <f t="shared" si="189"/>
        <v/>
      </c>
      <c r="AG361" s="10" t="str">
        <f t="shared" si="190"/>
        <v/>
      </c>
      <c r="AH361" s="10" t="str">
        <f t="shared" si="191"/>
        <v/>
      </c>
      <c r="AI361" s="10">
        <f>IF(OR(S361="",'4_BENCHMARK'!$C$4=""),"",ABS(S361-'4_BENCHMARK'!$C$4))</f>
        <v>0</v>
      </c>
      <c r="AJ361" s="10">
        <f>IF(OR(T361="",'4_BENCHMARK'!$C$5=""),"",ABS(T361-'4_BENCHMARK'!$C$5))</f>
        <v>0</v>
      </c>
      <c r="AK361" s="10">
        <f>IF(OR(U361="",'4_BENCHMARK'!$C$6=""),"",ABS(U361-'4_BENCHMARK'!$C$6))</f>
        <v>0</v>
      </c>
      <c r="AL361" s="10">
        <f>IF(OR(V361="",'4_BENCHMARK'!$C$7=""),"",ABS(V361-'4_BENCHMARK'!$C$7))</f>
        <v>0</v>
      </c>
      <c r="AM361" s="10">
        <f>IF(OR(W361="",'4_BENCHMARK'!$C$8=""),"",ABS(W361-'4_BENCHMARK'!$C$8))</f>
        <v>1</v>
      </c>
      <c r="AN361" s="10">
        <f>IF(OR(X361="",'4_BENCHMARK'!$C$9=""),"",ABS(X361-'4_BENCHMARK'!$C$9))</f>
        <v>1</v>
      </c>
      <c r="AO361" s="10">
        <f>IF(OR(Y361="",'4_BENCHMARK'!$C$10=""),"",ABS(Y361-'4_BENCHMARK'!$C$10))</f>
        <v>0.25</v>
      </c>
      <c r="AP361" s="10">
        <f>IF(OR(Z361="",'4_BENCHMARK'!$C$11=""),"",ABS(Z361-'4_BENCHMARK'!$C$11))</f>
        <v>0</v>
      </c>
      <c r="AQ361" s="13">
        <f t="shared" si="192"/>
        <v>0.71875</v>
      </c>
      <c r="AR361" s="10"/>
      <c r="AS361" s="36" t="s">
        <v>141</v>
      </c>
      <c r="AT361" s="13">
        <f t="shared" si="193"/>
        <v>0.958333333333333</v>
      </c>
      <c r="AU361" s="1" t="str">
        <f t="shared" si="194"/>
        <v/>
      </c>
      <c r="AV361" s="1" t="str">
        <f t="shared" si="195"/>
        <v/>
      </c>
      <c r="AW361" s="1" t="str">
        <f t="shared" si="196"/>
        <v/>
      </c>
      <c r="AX361" s="1" t="str">
        <f t="shared" si="197"/>
        <v/>
      </c>
      <c r="AY361" s="1" t="str">
        <f t="shared" si="198"/>
        <v/>
      </c>
      <c r="AZ361" s="1" t="str">
        <f t="shared" si="199"/>
        <v/>
      </c>
      <c r="BA361" s="1" t="str">
        <f t="shared" si="200"/>
        <v/>
      </c>
      <c r="BB361" s="1" t="str">
        <f t="shared" si="201"/>
        <v/>
      </c>
      <c r="BC361" s="1" t="str">
        <f t="shared" si="202"/>
        <v/>
      </c>
      <c r="BD361" s="1" t="str">
        <f t="shared" si="203"/>
        <v/>
      </c>
      <c r="BE361" s="1" t="str">
        <f t="shared" si="204"/>
        <v/>
      </c>
      <c r="BF361" s="1" t="str">
        <f t="shared" si="205"/>
        <v/>
      </c>
      <c r="BG361" s="1" t="str">
        <f t="shared" si="206"/>
        <v/>
      </c>
      <c r="BH361" s="1" t="str">
        <f t="shared" si="207"/>
        <v/>
      </c>
      <c r="BI361" s="1" t="str">
        <f t="shared" si="208"/>
        <v/>
      </c>
      <c r="BJ361" s="1" t="str">
        <f t="shared" si="209"/>
        <v/>
      </c>
    </row>
    <row r="362" ht="14.25" customHeight="1" spans="1:62">
      <c r="A362" s="10">
        <v>358</v>
      </c>
      <c r="B362" s="10" t="s">
        <v>1246</v>
      </c>
      <c r="C362" s="10">
        <v>1990</v>
      </c>
      <c r="D362" s="10">
        <f t="shared" si="211"/>
        <v>1990</v>
      </c>
      <c r="E362" s="10" t="s">
        <v>136</v>
      </c>
      <c r="F362" s="35" t="s">
        <v>1247</v>
      </c>
      <c r="G362" s="10" t="s">
        <v>1248</v>
      </c>
      <c r="H362" s="10" t="s">
        <v>140</v>
      </c>
      <c r="I362" s="10" t="s">
        <v>140</v>
      </c>
      <c r="J362" s="10" t="s">
        <v>1249</v>
      </c>
      <c r="K362" s="10">
        <v>5</v>
      </c>
      <c r="L362" s="10">
        <v>5</v>
      </c>
      <c r="M362" s="10">
        <v>5</v>
      </c>
      <c r="N362" s="10">
        <v>5</v>
      </c>
      <c r="O362" s="10">
        <v>5</v>
      </c>
      <c r="P362" s="10">
        <v>5</v>
      </c>
      <c r="Q362" s="10">
        <v>2</v>
      </c>
      <c r="R362" s="10">
        <v>5</v>
      </c>
      <c r="S362" s="10">
        <f t="shared" si="176"/>
        <v>1</v>
      </c>
      <c r="T362" s="10">
        <f t="shared" si="177"/>
        <v>1</v>
      </c>
      <c r="U362" s="10">
        <f t="shared" si="178"/>
        <v>1</v>
      </c>
      <c r="V362" s="10">
        <f t="shared" si="179"/>
        <v>1</v>
      </c>
      <c r="W362" s="10">
        <f t="shared" si="180"/>
        <v>1</v>
      </c>
      <c r="X362" s="10">
        <f t="shared" si="181"/>
        <v>1</v>
      </c>
      <c r="Y362" s="10">
        <f t="shared" si="182"/>
        <v>0.25</v>
      </c>
      <c r="Z362" s="10">
        <f t="shared" si="183"/>
        <v>1</v>
      </c>
      <c r="AA362" s="10" t="str">
        <f t="shared" si="184"/>
        <v/>
      </c>
      <c r="AB362" s="10" t="str">
        <f t="shared" si="185"/>
        <v/>
      </c>
      <c r="AC362" s="10" t="str">
        <f t="shared" si="186"/>
        <v/>
      </c>
      <c r="AD362" s="10" t="str">
        <f t="shared" si="187"/>
        <v/>
      </c>
      <c r="AE362" s="10" t="str">
        <f t="shared" si="188"/>
        <v/>
      </c>
      <c r="AF362" s="10" t="str">
        <f t="shared" si="189"/>
        <v/>
      </c>
      <c r="AG362" s="10" t="str">
        <f t="shared" si="190"/>
        <v/>
      </c>
      <c r="AH362" s="10" t="str">
        <f t="shared" si="191"/>
        <v/>
      </c>
      <c r="AI362" s="10">
        <f>IF(OR(S362="",'4_BENCHMARK'!$C$4=""),"",ABS(S362-'4_BENCHMARK'!$C$4))</f>
        <v>0</v>
      </c>
      <c r="AJ362" s="10">
        <f>IF(OR(T362="",'4_BENCHMARK'!$C$5=""),"",ABS(T362-'4_BENCHMARK'!$C$5))</f>
        <v>0</v>
      </c>
      <c r="AK362" s="10">
        <f>IF(OR(U362="",'4_BENCHMARK'!$C$6=""),"",ABS(U362-'4_BENCHMARK'!$C$6))</f>
        <v>0</v>
      </c>
      <c r="AL362" s="10">
        <f>IF(OR(V362="",'4_BENCHMARK'!$C$7=""),"",ABS(V362-'4_BENCHMARK'!$C$7))</f>
        <v>0</v>
      </c>
      <c r="AM362" s="10">
        <f>IF(OR(W362="",'4_BENCHMARK'!$C$8=""),"",ABS(W362-'4_BENCHMARK'!$C$8))</f>
        <v>1</v>
      </c>
      <c r="AN362" s="10">
        <f>IF(OR(X362="",'4_BENCHMARK'!$C$9=""),"",ABS(X362-'4_BENCHMARK'!$C$9))</f>
        <v>1</v>
      </c>
      <c r="AO362" s="10">
        <f>IF(OR(Y362="",'4_BENCHMARK'!$C$10=""),"",ABS(Y362-'4_BENCHMARK'!$C$10))</f>
        <v>0.25</v>
      </c>
      <c r="AP362" s="10">
        <f>IF(OR(Z362="",'4_BENCHMARK'!$C$11=""),"",ABS(Z362-'4_BENCHMARK'!$C$11))</f>
        <v>0</v>
      </c>
      <c r="AQ362" s="13">
        <f t="shared" si="192"/>
        <v>0.71875</v>
      </c>
      <c r="AR362" s="10"/>
      <c r="AS362" s="36" t="s">
        <v>141</v>
      </c>
      <c r="AT362" s="13">
        <f t="shared" si="193"/>
        <v>0.958333333333333</v>
      </c>
      <c r="AU362" s="1" t="str">
        <f t="shared" si="194"/>
        <v/>
      </c>
      <c r="AV362" s="1" t="str">
        <f t="shared" si="195"/>
        <v/>
      </c>
      <c r="AW362" s="1" t="str">
        <f t="shared" si="196"/>
        <v/>
      </c>
      <c r="AX362" s="1" t="str">
        <f t="shared" si="197"/>
        <v/>
      </c>
      <c r="AY362" s="1" t="str">
        <f t="shared" si="198"/>
        <v/>
      </c>
      <c r="AZ362" s="1" t="str">
        <f t="shared" si="199"/>
        <v/>
      </c>
      <c r="BA362" s="1" t="str">
        <f t="shared" si="200"/>
        <v/>
      </c>
      <c r="BB362" s="1" t="str">
        <f t="shared" si="201"/>
        <v/>
      </c>
      <c r="BC362" s="1" t="str">
        <f t="shared" si="202"/>
        <v/>
      </c>
      <c r="BD362" s="1" t="str">
        <f t="shared" si="203"/>
        <v/>
      </c>
      <c r="BE362" s="1" t="str">
        <f t="shared" si="204"/>
        <v/>
      </c>
      <c r="BF362" s="1" t="str">
        <f t="shared" si="205"/>
        <v/>
      </c>
      <c r="BG362" s="1" t="str">
        <f t="shared" si="206"/>
        <v/>
      </c>
      <c r="BH362" s="1" t="str">
        <f t="shared" si="207"/>
        <v/>
      </c>
      <c r="BI362" s="1" t="str">
        <f t="shared" si="208"/>
        <v/>
      </c>
      <c r="BJ362" s="1" t="str">
        <f t="shared" si="209"/>
        <v/>
      </c>
    </row>
    <row r="363" ht="14.25" customHeight="1" spans="1:62">
      <c r="A363" s="10">
        <v>359</v>
      </c>
      <c r="B363" s="10" t="s">
        <v>736</v>
      </c>
      <c r="C363" s="10">
        <v>1990</v>
      </c>
      <c r="D363" s="10">
        <f t="shared" si="211"/>
        <v>1990</v>
      </c>
      <c r="E363" s="10" t="s">
        <v>136</v>
      </c>
      <c r="F363" s="35" t="s">
        <v>737</v>
      </c>
      <c r="G363" s="10" t="s">
        <v>1250</v>
      </c>
      <c r="H363" s="10" t="s">
        <v>140</v>
      </c>
      <c r="I363" s="10" t="s">
        <v>140</v>
      </c>
      <c r="J363" s="10" t="s">
        <v>739</v>
      </c>
      <c r="K363" s="10">
        <v>5</v>
      </c>
      <c r="L363" s="10">
        <v>5</v>
      </c>
      <c r="M363" s="10">
        <v>5</v>
      </c>
      <c r="N363" s="10">
        <v>5</v>
      </c>
      <c r="O363" s="10">
        <v>1</v>
      </c>
      <c r="P363" s="10">
        <v>1</v>
      </c>
      <c r="Q363" s="10">
        <v>2</v>
      </c>
      <c r="R363" s="10">
        <v>5</v>
      </c>
      <c r="S363" s="10">
        <f t="shared" si="176"/>
        <v>1</v>
      </c>
      <c r="T363" s="10">
        <f t="shared" si="177"/>
        <v>1</v>
      </c>
      <c r="U363" s="10">
        <f t="shared" si="178"/>
        <v>1</v>
      </c>
      <c r="V363" s="10">
        <f t="shared" si="179"/>
        <v>1</v>
      </c>
      <c r="W363" s="10">
        <f t="shared" si="180"/>
        <v>0</v>
      </c>
      <c r="X363" s="10">
        <f t="shared" si="181"/>
        <v>0</v>
      </c>
      <c r="Y363" s="10">
        <f t="shared" si="182"/>
        <v>0.25</v>
      </c>
      <c r="Z363" s="10">
        <f t="shared" si="183"/>
        <v>1</v>
      </c>
      <c r="AA363" s="10" t="str">
        <f t="shared" si="184"/>
        <v/>
      </c>
      <c r="AB363" s="10" t="str">
        <f t="shared" si="185"/>
        <v/>
      </c>
      <c r="AC363" s="10" t="str">
        <f t="shared" si="186"/>
        <v/>
      </c>
      <c r="AD363" s="10" t="str">
        <f t="shared" si="187"/>
        <v/>
      </c>
      <c r="AE363" s="10" t="str">
        <f t="shared" si="188"/>
        <v/>
      </c>
      <c r="AF363" s="10" t="str">
        <f t="shared" si="189"/>
        <v/>
      </c>
      <c r="AG363" s="10" t="str">
        <f t="shared" si="190"/>
        <v/>
      </c>
      <c r="AH363" s="10" t="str">
        <f t="shared" si="191"/>
        <v/>
      </c>
      <c r="AI363" s="10">
        <f>IF(OR(S363="",'4_BENCHMARK'!$C$4=""),"",ABS(S363-'4_BENCHMARK'!$C$4))</f>
        <v>0</v>
      </c>
      <c r="AJ363" s="10">
        <f>IF(OR(T363="",'4_BENCHMARK'!$C$5=""),"",ABS(T363-'4_BENCHMARK'!$C$5))</f>
        <v>0</v>
      </c>
      <c r="AK363" s="10">
        <f>IF(OR(U363="",'4_BENCHMARK'!$C$6=""),"",ABS(U363-'4_BENCHMARK'!$C$6))</f>
        <v>0</v>
      </c>
      <c r="AL363" s="10">
        <f>IF(OR(V363="",'4_BENCHMARK'!$C$7=""),"",ABS(V363-'4_BENCHMARK'!$C$7))</f>
        <v>0</v>
      </c>
      <c r="AM363" s="10">
        <f>IF(OR(W363="",'4_BENCHMARK'!$C$8=""),"",ABS(W363-'4_BENCHMARK'!$C$8))</f>
        <v>0</v>
      </c>
      <c r="AN363" s="10">
        <f>IF(OR(X363="",'4_BENCHMARK'!$C$9=""),"",ABS(X363-'4_BENCHMARK'!$C$9))</f>
        <v>0</v>
      </c>
      <c r="AO363" s="10">
        <f>IF(OR(Y363="",'4_BENCHMARK'!$C$10=""),"",ABS(Y363-'4_BENCHMARK'!$C$10))</f>
        <v>0.25</v>
      </c>
      <c r="AP363" s="10">
        <f>IF(OR(Z363="",'4_BENCHMARK'!$C$11=""),"",ABS(Z363-'4_BENCHMARK'!$C$11))</f>
        <v>0</v>
      </c>
      <c r="AQ363" s="13">
        <f t="shared" si="192"/>
        <v>0.96875</v>
      </c>
      <c r="AR363" s="10"/>
      <c r="AS363" s="36" t="s">
        <v>149</v>
      </c>
      <c r="AT363" s="13">
        <f t="shared" si="193"/>
        <v>0.958333333333333</v>
      </c>
      <c r="AU363" s="1" t="str">
        <f t="shared" si="194"/>
        <v/>
      </c>
      <c r="AV363" s="1" t="str">
        <f t="shared" si="195"/>
        <v/>
      </c>
      <c r="AW363" s="1" t="str">
        <f t="shared" si="196"/>
        <v/>
      </c>
      <c r="AX363" s="1" t="str">
        <f t="shared" si="197"/>
        <v/>
      </c>
      <c r="AY363" s="1" t="str">
        <f t="shared" si="198"/>
        <v/>
      </c>
      <c r="AZ363" s="1" t="str">
        <f t="shared" si="199"/>
        <v/>
      </c>
      <c r="BA363" s="1" t="str">
        <f t="shared" si="200"/>
        <v/>
      </c>
      <c r="BB363" s="1" t="str">
        <f t="shared" si="201"/>
        <v/>
      </c>
      <c r="BC363" s="1" t="str">
        <f t="shared" si="202"/>
        <v/>
      </c>
      <c r="BD363" s="1" t="str">
        <f t="shared" si="203"/>
        <v/>
      </c>
      <c r="BE363" s="1" t="str">
        <f t="shared" si="204"/>
        <v/>
      </c>
      <c r="BF363" s="1" t="str">
        <f t="shared" si="205"/>
        <v/>
      </c>
      <c r="BG363" s="1" t="str">
        <f t="shared" si="206"/>
        <v/>
      </c>
      <c r="BH363" s="1" t="str">
        <f t="shared" si="207"/>
        <v/>
      </c>
      <c r="BI363" s="1" t="str">
        <f t="shared" si="208"/>
        <v/>
      </c>
      <c r="BJ363" s="1" t="str">
        <f t="shared" si="209"/>
        <v/>
      </c>
    </row>
    <row r="364" ht="14.25" customHeight="1" spans="1:62">
      <c r="A364" s="10">
        <v>360</v>
      </c>
      <c r="B364" s="10" t="s">
        <v>1251</v>
      </c>
      <c r="C364" s="10">
        <v>1990</v>
      </c>
      <c r="D364" s="10">
        <f t="shared" si="211"/>
        <v>1990</v>
      </c>
      <c r="E364" s="10" t="s">
        <v>801</v>
      </c>
      <c r="F364" s="35" t="s">
        <v>1252</v>
      </c>
      <c r="G364" s="10" t="s">
        <v>1253</v>
      </c>
      <c r="H364" s="10" t="s">
        <v>140</v>
      </c>
      <c r="I364" s="10" t="s">
        <v>140</v>
      </c>
      <c r="J364" s="10" t="s">
        <v>762</v>
      </c>
      <c r="K364" s="10">
        <v>5</v>
      </c>
      <c r="L364" s="10">
        <v>5</v>
      </c>
      <c r="M364" s="10">
        <v>5</v>
      </c>
      <c r="N364" s="10">
        <v>5</v>
      </c>
      <c r="O364" s="10">
        <v>5</v>
      </c>
      <c r="P364" s="10">
        <v>5</v>
      </c>
      <c r="Q364" s="10">
        <v>2</v>
      </c>
      <c r="R364" s="10">
        <v>5</v>
      </c>
      <c r="S364" s="10">
        <f t="shared" si="176"/>
        <v>1</v>
      </c>
      <c r="T364" s="10">
        <f t="shared" si="177"/>
        <v>1</v>
      </c>
      <c r="U364" s="10">
        <f t="shared" si="178"/>
        <v>1</v>
      </c>
      <c r="V364" s="10">
        <f t="shared" si="179"/>
        <v>1</v>
      </c>
      <c r="W364" s="10">
        <f t="shared" si="180"/>
        <v>1</v>
      </c>
      <c r="X364" s="10">
        <f t="shared" si="181"/>
        <v>1</v>
      </c>
      <c r="Y364" s="10">
        <f t="shared" si="182"/>
        <v>0.25</v>
      </c>
      <c r="Z364" s="10">
        <f t="shared" si="183"/>
        <v>1</v>
      </c>
      <c r="AA364" s="10" t="str">
        <f t="shared" si="184"/>
        <v/>
      </c>
      <c r="AB364" s="10" t="str">
        <f t="shared" si="185"/>
        <v/>
      </c>
      <c r="AC364" s="10" t="str">
        <f t="shared" si="186"/>
        <v/>
      </c>
      <c r="AD364" s="10" t="str">
        <f t="shared" si="187"/>
        <v/>
      </c>
      <c r="AE364" s="10" t="str">
        <f t="shared" si="188"/>
        <v/>
      </c>
      <c r="AF364" s="10" t="str">
        <f t="shared" si="189"/>
        <v/>
      </c>
      <c r="AG364" s="10" t="str">
        <f t="shared" si="190"/>
        <v/>
      </c>
      <c r="AH364" s="10" t="str">
        <f t="shared" si="191"/>
        <v/>
      </c>
      <c r="AI364" s="10">
        <f>IF(OR(S364="",'4_BENCHMARK'!$C$4=""),"",ABS(S364-'4_BENCHMARK'!$C$4))</f>
        <v>0</v>
      </c>
      <c r="AJ364" s="10">
        <f>IF(OR(T364="",'4_BENCHMARK'!$C$5=""),"",ABS(T364-'4_BENCHMARK'!$C$5))</f>
        <v>0</v>
      </c>
      <c r="AK364" s="10">
        <f>IF(OR(U364="",'4_BENCHMARK'!$C$6=""),"",ABS(U364-'4_BENCHMARK'!$C$6))</f>
        <v>0</v>
      </c>
      <c r="AL364" s="10">
        <f>IF(OR(V364="",'4_BENCHMARK'!$C$7=""),"",ABS(V364-'4_BENCHMARK'!$C$7))</f>
        <v>0</v>
      </c>
      <c r="AM364" s="10">
        <f>IF(OR(W364="",'4_BENCHMARK'!$C$8=""),"",ABS(W364-'4_BENCHMARK'!$C$8))</f>
        <v>1</v>
      </c>
      <c r="AN364" s="10">
        <f>IF(OR(X364="",'4_BENCHMARK'!$C$9=""),"",ABS(X364-'4_BENCHMARK'!$C$9))</f>
        <v>1</v>
      </c>
      <c r="AO364" s="10">
        <f>IF(OR(Y364="",'4_BENCHMARK'!$C$10=""),"",ABS(Y364-'4_BENCHMARK'!$C$10))</f>
        <v>0.25</v>
      </c>
      <c r="AP364" s="10">
        <f>IF(OR(Z364="",'4_BENCHMARK'!$C$11=""),"",ABS(Z364-'4_BENCHMARK'!$C$11))</f>
        <v>0</v>
      </c>
      <c r="AQ364" s="13">
        <f t="shared" si="192"/>
        <v>0.71875</v>
      </c>
      <c r="AR364" s="10"/>
      <c r="AS364" s="36" t="s">
        <v>149</v>
      </c>
      <c r="AT364" s="13">
        <f t="shared" si="193"/>
        <v>0.958333333333333</v>
      </c>
      <c r="AU364" s="1" t="str">
        <f t="shared" si="194"/>
        <v/>
      </c>
      <c r="AV364" s="1" t="str">
        <f t="shared" si="195"/>
        <v/>
      </c>
      <c r="AW364" s="1" t="str">
        <f t="shared" si="196"/>
        <v/>
      </c>
      <c r="AX364" s="1" t="str">
        <f t="shared" si="197"/>
        <v/>
      </c>
      <c r="AY364" s="1" t="str">
        <f t="shared" si="198"/>
        <v/>
      </c>
      <c r="AZ364" s="1" t="str">
        <f t="shared" si="199"/>
        <v/>
      </c>
      <c r="BA364" s="1" t="str">
        <f t="shared" si="200"/>
        <v/>
      </c>
      <c r="BB364" s="1" t="str">
        <f t="shared" si="201"/>
        <v/>
      </c>
      <c r="BC364" s="1" t="str">
        <f t="shared" si="202"/>
        <v/>
      </c>
      <c r="BD364" s="1" t="str">
        <f t="shared" si="203"/>
        <v/>
      </c>
      <c r="BE364" s="1" t="str">
        <f t="shared" si="204"/>
        <v/>
      </c>
      <c r="BF364" s="1" t="str">
        <f t="shared" si="205"/>
        <v/>
      </c>
      <c r="BG364" s="1" t="str">
        <f t="shared" si="206"/>
        <v/>
      </c>
      <c r="BH364" s="1" t="str">
        <f t="shared" si="207"/>
        <v/>
      </c>
      <c r="BI364" s="1" t="str">
        <f t="shared" si="208"/>
        <v/>
      </c>
      <c r="BJ364" s="1" t="str">
        <f t="shared" si="209"/>
        <v/>
      </c>
    </row>
    <row r="365" ht="14.25" customHeight="1" spans="1:62">
      <c r="A365" s="10">
        <v>361</v>
      </c>
      <c r="B365" s="10" t="s">
        <v>1254</v>
      </c>
      <c r="C365" s="10">
        <v>2000</v>
      </c>
      <c r="D365" s="10">
        <f t="shared" si="211"/>
        <v>2000</v>
      </c>
      <c r="E365" s="10" t="s">
        <v>136</v>
      </c>
      <c r="F365" s="35" t="s">
        <v>1255</v>
      </c>
      <c r="G365" s="10" t="s">
        <v>1256</v>
      </c>
      <c r="H365" s="10" t="s">
        <v>140</v>
      </c>
      <c r="I365" s="10" t="s">
        <v>140</v>
      </c>
      <c r="J365" s="10" t="s">
        <v>593</v>
      </c>
      <c r="K365" s="10">
        <v>5</v>
      </c>
      <c r="L365" s="10">
        <v>5</v>
      </c>
      <c r="M365" s="10">
        <v>5</v>
      </c>
      <c r="N365" s="10">
        <v>4</v>
      </c>
      <c r="O365" s="10">
        <v>5</v>
      </c>
      <c r="P365" s="10">
        <v>5</v>
      </c>
      <c r="Q365" s="10">
        <v>3</v>
      </c>
      <c r="R365" s="10">
        <v>5</v>
      </c>
      <c r="S365" s="10">
        <f t="shared" si="176"/>
        <v>1</v>
      </c>
      <c r="T365" s="10">
        <f t="shared" si="177"/>
        <v>1</v>
      </c>
      <c r="U365" s="10">
        <f t="shared" si="178"/>
        <v>1</v>
      </c>
      <c r="V365" s="10">
        <f t="shared" si="179"/>
        <v>0.75</v>
      </c>
      <c r="W365" s="10">
        <f t="shared" si="180"/>
        <v>1</v>
      </c>
      <c r="X365" s="10">
        <f t="shared" si="181"/>
        <v>1</v>
      </c>
      <c r="Y365" s="10">
        <f t="shared" si="182"/>
        <v>0.5</v>
      </c>
      <c r="Z365" s="10">
        <f t="shared" si="183"/>
        <v>1</v>
      </c>
      <c r="AA365" s="10" t="str">
        <f t="shared" si="184"/>
        <v/>
      </c>
      <c r="AB365" s="10" t="str">
        <f t="shared" si="185"/>
        <v/>
      </c>
      <c r="AC365" s="10" t="str">
        <f t="shared" si="186"/>
        <v/>
      </c>
      <c r="AD365" s="10" t="str">
        <f t="shared" si="187"/>
        <v/>
      </c>
      <c r="AE365" s="10" t="str">
        <f t="shared" si="188"/>
        <v/>
      </c>
      <c r="AF365" s="10" t="str">
        <f t="shared" si="189"/>
        <v/>
      </c>
      <c r="AG365" s="10" t="str">
        <f t="shared" si="190"/>
        <v/>
      </c>
      <c r="AH365" s="10" t="str">
        <f t="shared" si="191"/>
        <v/>
      </c>
      <c r="AI365" s="10">
        <f>IF(OR(S365="",'4_BENCHMARK'!$C$4=""),"",ABS(S365-'4_BENCHMARK'!$C$4))</f>
        <v>0</v>
      </c>
      <c r="AJ365" s="10">
        <f>IF(OR(T365="",'4_BENCHMARK'!$C$5=""),"",ABS(T365-'4_BENCHMARK'!$C$5))</f>
        <v>0</v>
      </c>
      <c r="AK365" s="10">
        <f>IF(OR(U365="",'4_BENCHMARK'!$C$6=""),"",ABS(U365-'4_BENCHMARK'!$C$6))</f>
        <v>0</v>
      </c>
      <c r="AL365" s="10">
        <f>IF(OR(V365="",'4_BENCHMARK'!$C$7=""),"",ABS(V365-'4_BENCHMARK'!$C$7))</f>
        <v>0.25</v>
      </c>
      <c r="AM365" s="10">
        <f>IF(OR(W365="",'4_BENCHMARK'!$C$8=""),"",ABS(W365-'4_BENCHMARK'!$C$8))</f>
        <v>1</v>
      </c>
      <c r="AN365" s="10">
        <f>IF(OR(X365="",'4_BENCHMARK'!$C$9=""),"",ABS(X365-'4_BENCHMARK'!$C$9))</f>
        <v>1</v>
      </c>
      <c r="AO365" s="10">
        <f>IF(OR(Y365="",'4_BENCHMARK'!$C$10=""),"",ABS(Y365-'4_BENCHMARK'!$C$10))</f>
        <v>0</v>
      </c>
      <c r="AP365" s="10">
        <f>IF(OR(Z365="",'4_BENCHMARK'!$C$11=""),"",ABS(Z365-'4_BENCHMARK'!$C$11))</f>
        <v>0</v>
      </c>
      <c r="AQ365" s="13">
        <f t="shared" si="192"/>
        <v>0.71875</v>
      </c>
      <c r="AR365" s="10"/>
      <c r="AS365" s="36" t="s">
        <v>141</v>
      </c>
      <c r="AT365" s="13">
        <f t="shared" si="193"/>
        <v>0.958333333333333</v>
      </c>
      <c r="AU365" s="1" t="str">
        <f t="shared" si="194"/>
        <v/>
      </c>
      <c r="AV365" s="1" t="str">
        <f t="shared" si="195"/>
        <v/>
      </c>
      <c r="AW365" s="1" t="str">
        <f t="shared" si="196"/>
        <v/>
      </c>
      <c r="AX365" s="1" t="str">
        <f t="shared" si="197"/>
        <v/>
      </c>
      <c r="AY365" s="1" t="str">
        <f t="shared" si="198"/>
        <v/>
      </c>
      <c r="AZ365" s="1" t="str">
        <f t="shared" si="199"/>
        <v/>
      </c>
      <c r="BA365" s="1" t="str">
        <f t="shared" si="200"/>
        <v/>
      </c>
      <c r="BB365" s="1" t="str">
        <f t="shared" si="201"/>
        <v/>
      </c>
      <c r="BC365" s="1">
        <f t="shared" si="202"/>
        <v>5</v>
      </c>
      <c r="BD365" s="1">
        <f t="shared" si="203"/>
        <v>5</v>
      </c>
      <c r="BE365" s="1">
        <f t="shared" si="204"/>
        <v>5</v>
      </c>
      <c r="BF365" s="1">
        <f t="shared" si="205"/>
        <v>4</v>
      </c>
      <c r="BG365" s="1">
        <f t="shared" si="206"/>
        <v>5</v>
      </c>
      <c r="BH365" s="1">
        <f t="shared" si="207"/>
        <v>5</v>
      </c>
      <c r="BI365" s="1">
        <f t="shared" si="208"/>
        <v>3</v>
      </c>
      <c r="BJ365" s="1">
        <f t="shared" si="209"/>
        <v>5</v>
      </c>
    </row>
    <row r="366" ht="14.25" customHeight="1" spans="1:62">
      <c r="A366" s="10">
        <v>362</v>
      </c>
      <c r="B366" s="10" t="s">
        <v>1257</v>
      </c>
      <c r="C366" s="10">
        <v>1886</v>
      </c>
      <c r="D366" s="10">
        <f t="shared" si="211"/>
        <v>1880</v>
      </c>
      <c r="E366" s="10" t="s">
        <v>136</v>
      </c>
      <c r="F366" s="35" t="s">
        <v>1258</v>
      </c>
      <c r="G366" s="10" t="s">
        <v>1259</v>
      </c>
      <c r="H366" s="10" t="s">
        <v>139</v>
      </c>
      <c r="I366" s="10" t="s">
        <v>140</v>
      </c>
      <c r="J366" s="10"/>
      <c r="K366" s="10">
        <v>5</v>
      </c>
      <c r="L366" s="10">
        <v>5</v>
      </c>
      <c r="M366" s="10">
        <v>5</v>
      </c>
      <c r="N366" s="10">
        <v>5</v>
      </c>
      <c r="O366" s="10">
        <v>1</v>
      </c>
      <c r="P366" s="10">
        <v>1</v>
      </c>
      <c r="Q366" s="10">
        <v>3</v>
      </c>
      <c r="R366" s="10">
        <v>5</v>
      </c>
      <c r="S366" s="10">
        <f t="shared" si="176"/>
        <v>1</v>
      </c>
      <c r="T366" s="10">
        <f t="shared" si="177"/>
        <v>1</v>
      </c>
      <c r="U366" s="10">
        <f t="shared" si="178"/>
        <v>1</v>
      </c>
      <c r="V366" s="10">
        <f t="shared" si="179"/>
        <v>1</v>
      </c>
      <c r="W366" s="10">
        <f t="shared" si="180"/>
        <v>0</v>
      </c>
      <c r="X366" s="10">
        <f t="shared" si="181"/>
        <v>0</v>
      </c>
      <c r="Y366" s="10">
        <f t="shared" si="182"/>
        <v>0.5</v>
      </c>
      <c r="Z366" s="10">
        <f t="shared" si="183"/>
        <v>1</v>
      </c>
      <c r="AA366" s="10">
        <f t="shared" si="184"/>
        <v>1</v>
      </c>
      <c r="AB366" s="10">
        <f t="shared" si="185"/>
        <v>1</v>
      </c>
      <c r="AC366" s="10">
        <f t="shared" si="186"/>
        <v>1</v>
      </c>
      <c r="AD366" s="10">
        <f t="shared" si="187"/>
        <v>1</v>
      </c>
      <c r="AE366" s="10">
        <f t="shared" si="188"/>
        <v>0</v>
      </c>
      <c r="AF366" s="10">
        <f t="shared" si="189"/>
        <v>0</v>
      </c>
      <c r="AG366" s="10">
        <f t="shared" si="190"/>
        <v>0.5</v>
      </c>
      <c r="AH366" s="10">
        <f t="shared" si="191"/>
        <v>1</v>
      </c>
      <c r="AI366" s="10">
        <f>IF(OR(S366="",'4_BENCHMARK'!$C$4=""),"",ABS(S366-'4_BENCHMARK'!$C$4))</f>
        <v>0</v>
      </c>
      <c r="AJ366" s="10">
        <f>IF(OR(T366="",'4_BENCHMARK'!$C$5=""),"",ABS(T366-'4_BENCHMARK'!$C$5))</f>
        <v>0</v>
      </c>
      <c r="AK366" s="10">
        <f>IF(OR(U366="",'4_BENCHMARK'!$C$6=""),"",ABS(U366-'4_BENCHMARK'!$C$6))</f>
        <v>0</v>
      </c>
      <c r="AL366" s="10">
        <f>IF(OR(V366="",'4_BENCHMARK'!$C$7=""),"",ABS(V366-'4_BENCHMARK'!$C$7))</f>
        <v>0</v>
      </c>
      <c r="AM366" s="10">
        <f>IF(OR(W366="",'4_BENCHMARK'!$C$8=""),"",ABS(W366-'4_BENCHMARK'!$C$8))</f>
        <v>0</v>
      </c>
      <c r="AN366" s="10">
        <f>IF(OR(X366="",'4_BENCHMARK'!$C$9=""),"",ABS(X366-'4_BENCHMARK'!$C$9))</f>
        <v>0</v>
      </c>
      <c r="AO366" s="10">
        <f>IF(OR(Y366="",'4_BENCHMARK'!$C$10=""),"",ABS(Y366-'4_BENCHMARK'!$C$10))</f>
        <v>0</v>
      </c>
      <c r="AP366" s="10">
        <f>IF(OR(Z366="",'4_BENCHMARK'!$C$11=""),"",ABS(Z366-'4_BENCHMARK'!$C$11))</f>
        <v>0</v>
      </c>
      <c r="AQ366" s="13">
        <f t="shared" si="192"/>
        <v>1</v>
      </c>
      <c r="AR366" s="10"/>
      <c r="AS366" s="36" t="s">
        <v>141</v>
      </c>
      <c r="AT366" s="13">
        <f t="shared" si="193"/>
        <v>1</v>
      </c>
      <c r="AU366" s="1">
        <f t="shared" si="194"/>
        <v>5</v>
      </c>
      <c r="AV366" s="1">
        <f t="shared" si="195"/>
        <v>5</v>
      </c>
      <c r="AW366" s="1">
        <f t="shared" si="196"/>
        <v>5</v>
      </c>
      <c r="AX366" s="1">
        <f t="shared" si="197"/>
        <v>5</v>
      </c>
      <c r="AY366" s="1">
        <f t="shared" si="198"/>
        <v>1</v>
      </c>
      <c r="AZ366" s="1">
        <f t="shared" si="199"/>
        <v>1</v>
      </c>
      <c r="BA366" s="1">
        <f t="shared" si="200"/>
        <v>3</v>
      </c>
      <c r="BB366" s="1">
        <f t="shared" si="201"/>
        <v>5</v>
      </c>
      <c r="BC366" s="1" t="str">
        <f t="shared" si="202"/>
        <v/>
      </c>
      <c r="BD366" s="1" t="str">
        <f t="shared" si="203"/>
        <v/>
      </c>
      <c r="BE366" s="1" t="str">
        <f t="shared" si="204"/>
        <v/>
      </c>
      <c r="BF366" s="1" t="str">
        <f t="shared" si="205"/>
        <v/>
      </c>
      <c r="BG366" s="1" t="str">
        <f t="shared" si="206"/>
        <v/>
      </c>
      <c r="BH366" s="1" t="str">
        <f t="shared" si="207"/>
        <v/>
      </c>
      <c r="BI366" s="1" t="str">
        <f t="shared" si="208"/>
        <v/>
      </c>
      <c r="BJ366" s="1" t="str">
        <f t="shared" si="209"/>
        <v/>
      </c>
    </row>
    <row r="367" ht="14.25" customHeight="1" spans="1:62">
      <c r="A367" s="10">
        <v>363</v>
      </c>
      <c r="B367" s="41" t="s">
        <v>1260</v>
      </c>
      <c r="C367" s="10">
        <v>2019</v>
      </c>
      <c r="D367" s="10">
        <f t="shared" si="211"/>
        <v>2010</v>
      </c>
      <c r="E367" s="10" t="s">
        <v>136</v>
      </c>
      <c r="F367" s="35" t="s">
        <v>1258</v>
      </c>
      <c r="G367" s="10" t="s">
        <v>1261</v>
      </c>
      <c r="H367" s="10" t="s">
        <v>140</v>
      </c>
      <c r="I367" s="10" t="s">
        <v>140</v>
      </c>
      <c r="J367" s="10"/>
      <c r="K367" s="10">
        <v>5</v>
      </c>
      <c r="L367" s="10">
        <v>5</v>
      </c>
      <c r="M367" s="10">
        <v>5</v>
      </c>
      <c r="N367" s="10">
        <v>4</v>
      </c>
      <c r="O367" s="10">
        <v>5</v>
      </c>
      <c r="P367" s="10">
        <v>5</v>
      </c>
      <c r="Q367" s="10">
        <v>3</v>
      </c>
      <c r="R367" s="10">
        <v>5</v>
      </c>
      <c r="S367" s="10">
        <f t="shared" si="176"/>
        <v>1</v>
      </c>
      <c r="T367" s="10">
        <f t="shared" si="177"/>
        <v>1</v>
      </c>
      <c r="U367" s="10">
        <f t="shared" si="178"/>
        <v>1</v>
      </c>
      <c r="V367" s="10">
        <f t="shared" si="179"/>
        <v>0.75</v>
      </c>
      <c r="W367" s="10">
        <f t="shared" si="180"/>
        <v>1</v>
      </c>
      <c r="X367" s="10">
        <f t="shared" si="181"/>
        <v>1</v>
      </c>
      <c r="Y367" s="10">
        <f t="shared" si="182"/>
        <v>0.5</v>
      </c>
      <c r="Z367" s="10">
        <f t="shared" si="183"/>
        <v>1</v>
      </c>
      <c r="AA367" s="10" t="str">
        <f t="shared" si="184"/>
        <v/>
      </c>
      <c r="AB367" s="10" t="str">
        <f t="shared" si="185"/>
        <v/>
      </c>
      <c r="AC367" s="10" t="str">
        <f t="shared" si="186"/>
        <v/>
      </c>
      <c r="AD367" s="10" t="str">
        <f t="shared" si="187"/>
        <v/>
      </c>
      <c r="AE367" s="10" t="str">
        <f t="shared" si="188"/>
        <v/>
      </c>
      <c r="AF367" s="10" t="str">
        <f t="shared" si="189"/>
        <v/>
      </c>
      <c r="AG367" s="10" t="str">
        <f t="shared" si="190"/>
        <v/>
      </c>
      <c r="AH367" s="10" t="str">
        <f t="shared" si="191"/>
        <v/>
      </c>
      <c r="AI367" s="10">
        <f>IF(OR(S367="",'4_BENCHMARK'!$C$4=""),"",ABS(S367-'4_BENCHMARK'!$C$4))</f>
        <v>0</v>
      </c>
      <c r="AJ367" s="10">
        <f>IF(OR(T367="",'4_BENCHMARK'!$C$5=""),"",ABS(T367-'4_BENCHMARK'!$C$5))</f>
        <v>0</v>
      </c>
      <c r="AK367" s="10">
        <f>IF(OR(U367="",'4_BENCHMARK'!$C$6=""),"",ABS(U367-'4_BENCHMARK'!$C$6))</f>
        <v>0</v>
      </c>
      <c r="AL367" s="10">
        <f>IF(OR(V367="",'4_BENCHMARK'!$C$7=""),"",ABS(V367-'4_BENCHMARK'!$C$7))</f>
        <v>0.25</v>
      </c>
      <c r="AM367" s="10">
        <f>IF(OR(W367="",'4_BENCHMARK'!$C$8=""),"",ABS(W367-'4_BENCHMARK'!$C$8))</f>
        <v>1</v>
      </c>
      <c r="AN367" s="10">
        <f>IF(OR(X367="",'4_BENCHMARK'!$C$9=""),"",ABS(X367-'4_BENCHMARK'!$C$9))</f>
        <v>1</v>
      </c>
      <c r="AO367" s="10">
        <f>IF(OR(Y367="",'4_BENCHMARK'!$C$10=""),"",ABS(Y367-'4_BENCHMARK'!$C$10))</f>
        <v>0</v>
      </c>
      <c r="AP367" s="10">
        <f>IF(OR(Z367="",'4_BENCHMARK'!$C$11=""),"",ABS(Z367-'4_BENCHMARK'!$C$11))</f>
        <v>0</v>
      </c>
      <c r="AQ367" s="13">
        <f t="shared" si="192"/>
        <v>0.71875</v>
      </c>
      <c r="AR367" s="10"/>
      <c r="AS367" s="36" t="s">
        <v>141</v>
      </c>
      <c r="AT367" s="13">
        <f t="shared" si="193"/>
        <v>0.958333333333333</v>
      </c>
      <c r="AU367" s="1" t="str">
        <f t="shared" si="194"/>
        <v/>
      </c>
      <c r="AV367" s="1" t="str">
        <f t="shared" si="195"/>
        <v/>
      </c>
      <c r="AW367" s="1" t="str">
        <f t="shared" si="196"/>
        <v/>
      </c>
      <c r="AX367" s="1" t="str">
        <f t="shared" si="197"/>
        <v/>
      </c>
      <c r="AY367" s="1" t="str">
        <f t="shared" si="198"/>
        <v/>
      </c>
      <c r="AZ367" s="1" t="str">
        <f t="shared" si="199"/>
        <v/>
      </c>
      <c r="BA367" s="1" t="str">
        <f t="shared" si="200"/>
        <v/>
      </c>
      <c r="BB367" s="1" t="str">
        <f t="shared" si="201"/>
        <v/>
      </c>
      <c r="BC367" s="1">
        <f t="shared" si="202"/>
        <v>5</v>
      </c>
      <c r="BD367" s="1">
        <f t="shared" si="203"/>
        <v>5</v>
      </c>
      <c r="BE367" s="1">
        <f t="shared" si="204"/>
        <v>5</v>
      </c>
      <c r="BF367" s="1">
        <f t="shared" si="205"/>
        <v>4</v>
      </c>
      <c r="BG367" s="1">
        <f t="shared" si="206"/>
        <v>5</v>
      </c>
      <c r="BH367" s="1">
        <f t="shared" si="207"/>
        <v>5</v>
      </c>
      <c r="BI367" s="1">
        <f t="shared" si="208"/>
        <v>3</v>
      </c>
      <c r="BJ367" s="1">
        <f t="shared" si="209"/>
        <v>5</v>
      </c>
    </row>
    <row r="368" ht="14.25" customHeight="1" spans="1:62">
      <c r="A368" s="10">
        <v>364</v>
      </c>
      <c r="B368" s="41" t="s">
        <v>1262</v>
      </c>
      <c r="C368" s="10">
        <v>2000</v>
      </c>
      <c r="D368" s="10">
        <f t="shared" si="211"/>
        <v>2000</v>
      </c>
      <c r="E368" s="10" t="s">
        <v>136</v>
      </c>
      <c r="F368" s="35" t="s">
        <v>1258</v>
      </c>
      <c r="G368" s="10" t="s">
        <v>1263</v>
      </c>
      <c r="H368" s="10" t="s">
        <v>140</v>
      </c>
      <c r="I368" s="10" t="s">
        <v>140</v>
      </c>
      <c r="J368" s="10" t="s">
        <v>1264</v>
      </c>
      <c r="K368" s="10">
        <v>5</v>
      </c>
      <c r="L368" s="10">
        <v>5</v>
      </c>
      <c r="M368" s="10">
        <v>5</v>
      </c>
      <c r="N368" s="10">
        <v>5</v>
      </c>
      <c r="O368" s="10">
        <v>1</v>
      </c>
      <c r="P368" s="10">
        <v>1</v>
      </c>
      <c r="Q368" s="10">
        <v>2</v>
      </c>
      <c r="R368" s="10">
        <v>5</v>
      </c>
      <c r="S368" s="10">
        <f t="shared" si="176"/>
        <v>1</v>
      </c>
      <c r="T368" s="10">
        <f t="shared" si="177"/>
        <v>1</v>
      </c>
      <c r="U368" s="10">
        <f t="shared" si="178"/>
        <v>1</v>
      </c>
      <c r="V368" s="10">
        <f t="shared" si="179"/>
        <v>1</v>
      </c>
      <c r="W368" s="10">
        <f t="shared" si="180"/>
        <v>0</v>
      </c>
      <c r="X368" s="10">
        <f t="shared" si="181"/>
        <v>0</v>
      </c>
      <c r="Y368" s="10">
        <f t="shared" si="182"/>
        <v>0.25</v>
      </c>
      <c r="Z368" s="10">
        <f t="shared" si="183"/>
        <v>1</v>
      </c>
      <c r="AA368" s="10" t="str">
        <f t="shared" si="184"/>
        <v/>
      </c>
      <c r="AB368" s="10" t="str">
        <f t="shared" si="185"/>
        <v/>
      </c>
      <c r="AC368" s="10" t="str">
        <f t="shared" si="186"/>
        <v/>
      </c>
      <c r="AD368" s="10" t="str">
        <f t="shared" si="187"/>
        <v/>
      </c>
      <c r="AE368" s="10" t="str">
        <f t="shared" si="188"/>
        <v/>
      </c>
      <c r="AF368" s="10" t="str">
        <f t="shared" si="189"/>
        <v/>
      </c>
      <c r="AG368" s="10" t="str">
        <f t="shared" si="190"/>
        <v/>
      </c>
      <c r="AH368" s="10" t="str">
        <f t="shared" si="191"/>
        <v/>
      </c>
      <c r="AI368" s="10">
        <f>IF(OR(S368="",'4_BENCHMARK'!$C$4=""),"",ABS(S368-'4_BENCHMARK'!$C$4))</f>
        <v>0</v>
      </c>
      <c r="AJ368" s="10">
        <f>IF(OR(T368="",'4_BENCHMARK'!$C$5=""),"",ABS(T368-'4_BENCHMARK'!$C$5))</f>
        <v>0</v>
      </c>
      <c r="AK368" s="10">
        <f>IF(OR(U368="",'4_BENCHMARK'!$C$6=""),"",ABS(U368-'4_BENCHMARK'!$C$6))</f>
        <v>0</v>
      </c>
      <c r="AL368" s="10">
        <f>IF(OR(V368="",'4_BENCHMARK'!$C$7=""),"",ABS(V368-'4_BENCHMARK'!$C$7))</f>
        <v>0</v>
      </c>
      <c r="AM368" s="10">
        <f>IF(OR(W368="",'4_BENCHMARK'!$C$8=""),"",ABS(W368-'4_BENCHMARK'!$C$8))</f>
        <v>0</v>
      </c>
      <c r="AN368" s="10">
        <f>IF(OR(X368="",'4_BENCHMARK'!$C$9=""),"",ABS(X368-'4_BENCHMARK'!$C$9))</f>
        <v>0</v>
      </c>
      <c r="AO368" s="10">
        <f>IF(OR(Y368="",'4_BENCHMARK'!$C$10=""),"",ABS(Y368-'4_BENCHMARK'!$C$10))</f>
        <v>0.25</v>
      </c>
      <c r="AP368" s="10">
        <f>IF(OR(Z368="",'4_BENCHMARK'!$C$11=""),"",ABS(Z368-'4_BENCHMARK'!$C$11))</f>
        <v>0</v>
      </c>
      <c r="AQ368" s="13">
        <f t="shared" si="192"/>
        <v>0.96875</v>
      </c>
      <c r="AR368" s="10"/>
      <c r="AS368" s="36" t="s">
        <v>141</v>
      </c>
      <c r="AT368" s="13">
        <f t="shared" si="193"/>
        <v>0.958333333333333</v>
      </c>
      <c r="AU368" s="1" t="str">
        <f t="shared" si="194"/>
        <v/>
      </c>
      <c r="AV368" s="1" t="str">
        <f t="shared" si="195"/>
        <v/>
      </c>
      <c r="AW368" s="1" t="str">
        <f t="shared" si="196"/>
        <v/>
      </c>
      <c r="AX368" s="1" t="str">
        <f t="shared" si="197"/>
        <v/>
      </c>
      <c r="AY368" s="1" t="str">
        <f t="shared" si="198"/>
        <v/>
      </c>
      <c r="AZ368" s="1" t="str">
        <f t="shared" si="199"/>
        <v/>
      </c>
      <c r="BA368" s="1" t="str">
        <f t="shared" si="200"/>
        <v/>
      </c>
      <c r="BB368" s="1" t="str">
        <f t="shared" si="201"/>
        <v/>
      </c>
      <c r="BC368" s="1">
        <f t="shared" si="202"/>
        <v>5</v>
      </c>
      <c r="BD368" s="1">
        <f t="shared" si="203"/>
        <v>5</v>
      </c>
      <c r="BE368" s="1">
        <f t="shared" si="204"/>
        <v>5</v>
      </c>
      <c r="BF368" s="1">
        <f t="shared" si="205"/>
        <v>5</v>
      </c>
      <c r="BG368" s="1">
        <f t="shared" si="206"/>
        <v>1</v>
      </c>
      <c r="BH368" s="1">
        <f t="shared" si="207"/>
        <v>1</v>
      </c>
      <c r="BI368" s="1">
        <f t="shared" si="208"/>
        <v>2</v>
      </c>
      <c r="BJ368" s="1">
        <f t="shared" si="209"/>
        <v>5</v>
      </c>
    </row>
    <row r="369" ht="14.25" customHeight="1" spans="1:62">
      <c r="A369" s="10">
        <v>365</v>
      </c>
      <c r="B369" s="41" t="s">
        <v>1265</v>
      </c>
      <c r="C369" s="10">
        <v>2010</v>
      </c>
      <c r="D369" s="10">
        <f t="shared" si="211"/>
        <v>2010</v>
      </c>
      <c r="E369" s="10" t="s">
        <v>136</v>
      </c>
      <c r="F369" s="35" t="s">
        <v>1258</v>
      </c>
      <c r="G369" s="10" t="s">
        <v>1266</v>
      </c>
      <c r="H369" s="10" t="s">
        <v>140</v>
      </c>
      <c r="I369" s="10" t="s">
        <v>140</v>
      </c>
      <c r="J369" s="10" t="s">
        <v>1267</v>
      </c>
      <c r="K369" s="10">
        <v>5</v>
      </c>
      <c r="L369" s="10">
        <v>5</v>
      </c>
      <c r="M369" s="10">
        <v>5</v>
      </c>
      <c r="N369" s="10">
        <v>5</v>
      </c>
      <c r="O369" s="10">
        <v>5</v>
      </c>
      <c r="P369" s="10">
        <v>5</v>
      </c>
      <c r="Q369" s="10">
        <v>3</v>
      </c>
      <c r="R369" s="10">
        <v>5</v>
      </c>
      <c r="S369" s="10">
        <f t="shared" si="176"/>
        <v>1</v>
      </c>
      <c r="T369" s="10">
        <f t="shared" si="177"/>
        <v>1</v>
      </c>
      <c r="U369" s="10">
        <f t="shared" si="178"/>
        <v>1</v>
      </c>
      <c r="V369" s="10">
        <f t="shared" si="179"/>
        <v>1</v>
      </c>
      <c r="W369" s="10">
        <f t="shared" si="180"/>
        <v>1</v>
      </c>
      <c r="X369" s="10">
        <f t="shared" si="181"/>
        <v>1</v>
      </c>
      <c r="Y369" s="10">
        <f t="shared" si="182"/>
        <v>0.5</v>
      </c>
      <c r="Z369" s="10">
        <f t="shared" si="183"/>
        <v>1</v>
      </c>
      <c r="AA369" s="10" t="str">
        <f t="shared" si="184"/>
        <v/>
      </c>
      <c r="AB369" s="10" t="str">
        <f t="shared" si="185"/>
        <v/>
      </c>
      <c r="AC369" s="10" t="str">
        <f t="shared" si="186"/>
        <v/>
      </c>
      <c r="AD369" s="10" t="str">
        <f t="shared" si="187"/>
        <v/>
      </c>
      <c r="AE369" s="10" t="str">
        <f t="shared" si="188"/>
        <v/>
      </c>
      <c r="AF369" s="10" t="str">
        <f t="shared" si="189"/>
        <v/>
      </c>
      <c r="AG369" s="10" t="str">
        <f t="shared" si="190"/>
        <v/>
      </c>
      <c r="AH369" s="10" t="str">
        <f t="shared" si="191"/>
        <v/>
      </c>
      <c r="AI369" s="10">
        <f>IF(OR(S369="",'4_BENCHMARK'!$C$4=""),"",ABS(S369-'4_BENCHMARK'!$C$4))</f>
        <v>0</v>
      </c>
      <c r="AJ369" s="10">
        <f>IF(OR(T369="",'4_BENCHMARK'!$C$5=""),"",ABS(T369-'4_BENCHMARK'!$C$5))</f>
        <v>0</v>
      </c>
      <c r="AK369" s="10">
        <f>IF(OR(U369="",'4_BENCHMARK'!$C$6=""),"",ABS(U369-'4_BENCHMARK'!$C$6))</f>
        <v>0</v>
      </c>
      <c r="AL369" s="10">
        <f>IF(OR(V369="",'4_BENCHMARK'!$C$7=""),"",ABS(V369-'4_BENCHMARK'!$C$7))</f>
        <v>0</v>
      </c>
      <c r="AM369" s="10">
        <f>IF(OR(W369="",'4_BENCHMARK'!$C$8=""),"",ABS(W369-'4_BENCHMARK'!$C$8))</f>
        <v>1</v>
      </c>
      <c r="AN369" s="10">
        <f>IF(OR(X369="",'4_BENCHMARK'!$C$9=""),"",ABS(X369-'4_BENCHMARK'!$C$9))</f>
        <v>1</v>
      </c>
      <c r="AO369" s="10">
        <f>IF(OR(Y369="",'4_BENCHMARK'!$C$10=""),"",ABS(Y369-'4_BENCHMARK'!$C$10))</f>
        <v>0</v>
      </c>
      <c r="AP369" s="10">
        <f>IF(OR(Z369="",'4_BENCHMARK'!$C$11=""),"",ABS(Z369-'4_BENCHMARK'!$C$11))</f>
        <v>0</v>
      </c>
      <c r="AQ369" s="13">
        <f t="shared" si="192"/>
        <v>0.75</v>
      </c>
      <c r="AR369" s="10"/>
      <c r="AS369" s="36" t="s">
        <v>141</v>
      </c>
      <c r="AT369" s="13">
        <f t="shared" si="193"/>
        <v>1</v>
      </c>
      <c r="AU369" s="1" t="str">
        <f t="shared" si="194"/>
        <v/>
      </c>
      <c r="AV369" s="1" t="str">
        <f t="shared" si="195"/>
        <v/>
      </c>
      <c r="AW369" s="1" t="str">
        <f t="shared" si="196"/>
        <v/>
      </c>
      <c r="AX369" s="1" t="str">
        <f t="shared" si="197"/>
        <v/>
      </c>
      <c r="AY369" s="1" t="str">
        <f t="shared" si="198"/>
        <v/>
      </c>
      <c r="AZ369" s="1" t="str">
        <f t="shared" si="199"/>
        <v/>
      </c>
      <c r="BA369" s="1" t="str">
        <f t="shared" si="200"/>
        <v/>
      </c>
      <c r="BB369" s="1" t="str">
        <f t="shared" si="201"/>
        <v/>
      </c>
      <c r="BC369" s="1">
        <f t="shared" si="202"/>
        <v>5</v>
      </c>
      <c r="BD369" s="1">
        <f t="shared" si="203"/>
        <v>5</v>
      </c>
      <c r="BE369" s="1">
        <f t="shared" si="204"/>
        <v>5</v>
      </c>
      <c r="BF369" s="1">
        <f t="shared" si="205"/>
        <v>5</v>
      </c>
      <c r="BG369" s="1">
        <f t="shared" si="206"/>
        <v>5</v>
      </c>
      <c r="BH369" s="1">
        <f t="shared" si="207"/>
        <v>5</v>
      </c>
      <c r="BI369" s="1">
        <f t="shared" si="208"/>
        <v>3</v>
      </c>
      <c r="BJ369" s="1">
        <f t="shared" si="209"/>
        <v>5</v>
      </c>
    </row>
    <row r="370" ht="14.25" customHeight="1" spans="1:62">
      <c r="A370" s="10">
        <v>366</v>
      </c>
      <c r="B370" s="41" t="s">
        <v>1268</v>
      </c>
      <c r="C370" s="10">
        <v>2020</v>
      </c>
      <c r="D370" s="10">
        <f t="shared" si="211"/>
        <v>2020</v>
      </c>
      <c r="E370" s="10" t="s">
        <v>136</v>
      </c>
      <c r="F370" s="35" t="s">
        <v>1258</v>
      </c>
      <c r="G370" s="10" t="s">
        <v>1269</v>
      </c>
      <c r="H370" s="10" t="s">
        <v>140</v>
      </c>
      <c r="I370" s="10" t="s">
        <v>140</v>
      </c>
      <c r="J370" s="10"/>
      <c r="K370" s="10">
        <v>4</v>
      </c>
      <c r="L370" s="10">
        <v>5</v>
      </c>
      <c r="M370" s="10">
        <v>4</v>
      </c>
      <c r="N370" s="10">
        <v>4</v>
      </c>
      <c r="O370" s="10">
        <v>5</v>
      </c>
      <c r="P370" s="10">
        <v>5</v>
      </c>
      <c r="Q370" s="10">
        <v>1</v>
      </c>
      <c r="R370" s="10">
        <v>5</v>
      </c>
      <c r="S370" s="10">
        <f t="shared" si="176"/>
        <v>0.75</v>
      </c>
      <c r="T370" s="10">
        <f t="shared" si="177"/>
        <v>1</v>
      </c>
      <c r="U370" s="10">
        <f t="shared" si="178"/>
        <v>0.75</v>
      </c>
      <c r="V370" s="10">
        <f t="shared" si="179"/>
        <v>0.75</v>
      </c>
      <c r="W370" s="10">
        <f t="shared" si="180"/>
        <v>1</v>
      </c>
      <c r="X370" s="10">
        <f t="shared" si="181"/>
        <v>1</v>
      </c>
      <c r="Y370" s="10">
        <f t="shared" si="182"/>
        <v>0</v>
      </c>
      <c r="Z370" s="10">
        <f t="shared" si="183"/>
        <v>1</v>
      </c>
      <c r="AA370" s="10" t="str">
        <f t="shared" si="184"/>
        <v/>
      </c>
      <c r="AB370" s="10" t="str">
        <f t="shared" si="185"/>
        <v/>
      </c>
      <c r="AC370" s="10" t="str">
        <f t="shared" si="186"/>
        <v/>
      </c>
      <c r="AD370" s="10" t="str">
        <f t="shared" si="187"/>
        <v/>
      </c>
      <c r="AE370" s="10" t="str">
        <f t="shared" si="188"/>
        <v/>
      </c>
      <c r="AF370" s="10" t="str">
        <f t="shared" si="189"/>
        <v/>
      </c>
      <c r="AG370" s="10" t="str">
        <f t="shared" si="190"/>
        <v/>
      </c>
      <c r="AH370" s="10" t="str">
        <f t="shared" si="191"/>
        <v/>
      </c>
      <c r="AI370" s="10">
        <f>IF(OR(S370="",'4_BENCHMARK'!$C$4=""),"",ABS(S370-'4_BENCHMARK'!$C$4))</f>
        <v>0.25</v>
      </c>
      <c r="AJ370" s="10">
        <f>IF(OR(T370="",'4_BENCHMARK'!$C$5=""),"",ABS(T370-'4_BENCHMARK'!$C$5))</f>
        <v>0</v>
      </c>
      <c r="AK370" s="10">
        <f>IF(OR(U370="",'4_BENCHMARK'!$C$6=""),"",ABS(U370-'4_BENCHMARK'!$C$6))</f>
        <v>0.25</v>
      </c>
      <c r="AL370" s="10">
        <f>IF(OR(V370="",'4_BENCHMARK'!$C$7=""),"",ABS(V370-'4_BENCHMARK'!$C$7))</f>
        <v>0.25</v>
      </c>
      <c r="AM370" s="10">
        <f>IF(OR(W370="",'4_BENCHMARK'!$C$8=""),"",ABS(W370-'4_BENCHMARK'!$C$8))</f>
        <v>1</v>
      </c>
      <c r="AN370" s="10">
        <f>IF(OR(X370="",'4_BENCHMARK'!$C$9=""),"",ABS(X370-'4_BENCHMARK'!$C$9))</f>
        <v>1</v>
      </c>
      <c r="AO370" s="10">
        <f>IF(OR(Y370="",'4_BENCHMARK'!$C$10=""),"",ABS(Y370-'4_BENCHMARK'!$C$10))</f>
        <v>0.5</v>
      </c>
      <c r="AP370" s="10">
        <f>IF(OR(Z370="",'4_BENCHMARK'!$C$11=""),"",ABS(Z370-'4_BENCHMARK'!$C$11))</f>
        <v>0</v>
      </c>
      <c r="AQ370" s="13">
        <f t="shared" si="192"/>
        <v>0.59375</v>
      </c>
      <c r="AR370" s="10"/>
      <c r="AS370" s="36" t="s">
        <v>141</v>
      </c>
      <c r="AT370" s="13">
        <f t="shared" si="193"/>
        <v>0.791666666666667</v>
      </c>
      <c r="AU370" s="1" t="str">
        <f t="shared" si="194"/>
        <v/>
      </c>
      <c r="AV370" s="1" t="str">
        <f t="shared" si="195"/>
        <v/>
      </c>
      <c r="AW370" s="1" t="str">
        <f t="shared" si="196"/>
        <v/>
      </c>
      <c r="AX370" s="1" t="str">
        <f t="shared" si="197"/>
        <v/>
      </c>
      <c r="AY370" s="1" t="str">
        <f t="shared" si="198"/>
        <v/>
      </c>
      <c r="AZ370" s="1" t="str">
        <f t="shared" si="199"/>
        <v/>
      </c>
      <c r="BA370" s="1" t="str">
        <f t="shared" si="200"/>
        <v/>
      </c>
      <c r="BB370" s="1" t="str">
        <f t="shared" si="201"/>
        <v/>
      </c>
      <c r="BC370" s="1">
        <f t="shared" si="202"/>
        <v>4</v>
      </c>
      <c r="BD370" s="1">
        <f t="shared" si="203"/>
        <v>5</v>
      </c>
      <c r="BE370" s="1">
        <f t="shared" si="204"/>
        <v>4</v>
      </c>
      <c r="BF370" s="1">
        <f t="shared" si="205"/>
        <v>4</v>
      </c>
      <c r="BG370" s="1">
        <f t="shared" si="206"/>
        <v>5</v>
      </c>
      <c r="BH370" s="1">
        <f t="shared" si="207"/>
        <v>5</v>
      </c>
      <c r="BI370" s="1">
        <f t="shared" si="208"/>
        <v>1</v>
      </c>
      <c r="BJ370" s="1">
        <f t="shared" si="209"/>
        <v>5</v>
      </c>
    </row>
    <row r="371" ht="14.25" customHeight="1" spans="1:62">
      <c r="A371" s="10">
        <v>367</v>
      </c>
      <c r="B371" s="10" t="s">
        <v>1270</v>
      </c>
      <c r="C371" s="10">
        <v>2000</v>
      </c>
      <c r="D371" s="10">
        <f t="shared" si="211"/>
        <v>2000</v>
      </c>
      <c r="E371" s="10" t="s">
        <v>136</v>
      </c>
      <c r="F371" s="35" t="s">
        <v>1271</v>
      </c>
      <c r="G371" s="10" t="s">
        <v>1272</v>
      </c>
      <c r="H371" s="10" t="s">
        <v>140</v>
      </c>
      <c r="I371" s="10" t="s">
        <v>140</v>
      </c>
      <c r="J371" s="10" t="s">
        <v>1264</v>
      </c>
      <c r="K371" s="10">
        <v>5</v>
      </c>
      <c r="L371" s="10">
        <v>5</v>
      </c>
      <c r="M371" s="10">
        <v>5</v>
      </c>
      <c r="N371" s="10">
        <v>5</v>
      </c>
      <c r="O371" s="10">
        <v>5</v>
      </c>
      <c r="P371" s="10">
        <v>5</v>
      </c>
      <c r="Q371" s="10">
        <v>2</v>
      </c>
      <c r="R371" s="10">
        <v>5</v>
      </c>
      <c r="S371" s="10">
        <f t="shared" si="176"/>
        <v>1</v>
      </c>
      <c r="T371" s="10">
        <f t="shared" si="177"/>
        <v>1</v>
      </c>
      <c r="U371" s="10">
        <f t="shared" si="178"/>
        <v>1</v>
      </c>
      <c r="V371" s="10">
        <f t="shared" si="179"/>
        <v>1</v>
      </c>
      <c r="W371" s="10">
        <f t="shared" si="180"/>
        <v>1</v>
      </c>
      <c r="X371" s="10">
        <f t="shared" si="181"/>
        <v>1</v>
      </c>
      <c r="Y371" s="10">
        <f t="shared" si="182"/>
        <v>0.25</v>
      </c>
      <c r="Z371" s="10">
        <f t="shared" si="183"/>
        <v>1</v>
      </c>
      <c r="AA371" s="10" t="str">
        <f t="shared" si="184"/>
        <v/>
      </c>
      <c r="AB371" s="10" t="str">
        <f t="shared" si="185"/>
        <v/>
      </c>
      <c r="AC371" s="10" t="str">
        <f t="shared" si="186"/>
        <v/>
      </c>
      <c r="AD371" s="10" t="str">
        <f t="shared" si="187"/>
        <v/>
      </c>
      <c r="AE371" s="10" t="str">
        <f t="shared" si="188"/>
        <v/>
      </c>
      <c r="AF371" s="10" t="str">
        <f t="shared" si="189"/>
        <v/>
      </c>
      <c r="AG371" s="10" t="str">
        <f t="shared" si="190"/>
        <v/>
      </c>
      <c r="AH371" s="10" t="str">
        <f t="shared" si="191"/>
        <v/>
      </c>
      <c r="AI371" s="10">
        <f>IF(OR(S371="",'4_BENCHMARK'!$C$4=""),"",ABS(S371-'4_BENCHMARK'!$C$4))</f>
        <v>0</v>
      </c>
      <c r="AJ371" s="10">
        <f>IF(OR(T371="",'4_BENCHMARK'!$C$5=""),"",ABS(T371-'4_BENCHMARK'!$C$5))</f>
        <v>0</v>
      </c>
      <c r="AK371" s="10">
        <f>IF(OR(U371="",'4_BENCHMARK'!$C$6=""),"",ABS(U371-'4_BENCHMARK'!$C$6))</f>
        <v>0</v>
      </c>
      <c r="AL371" s="10">
        <f>IF(OR(V371="",'4_BENCHMARK'!$C$7=""),"",ABS(V371-'4_BENCHMARK'!$C$7))</f>
        <v>0</v>
      </c>
      <c r="AM371" s="10">
        <f>IF(OR(W371="",'4_BENCHMARK'!$C$8=""),"",ABS(W371-'4_BENCHMARK'!$C$8))</f>
        <v>1</v>
      </c>
      <c r="AN371" s="10">
        <f>IF(OR(X371="",'4_BENCHMARK'!$C$9=""),"",ABS(X371-'4_BENCHMARK'!$C$9))</f>
        <v>1</v>
      </c>
      <c r="AO371" s="10">
        <f>IF(OR(Y371="",'4_BENCHMARK'!$C$10=""),"",ABS(Y371-'4_BENCHMARK'!$C$10))</f>
        <v>0.25</v>
      </c>
      <c r="AP371" s="10">
        <f>IF(OR(Z371="",'4_BENCHMARK'!$C$11=""),"",ABS(Z371-'4_BENCHMARK'!$C$11))</f>
        <v>0</v>
      </c>
      <c r="AQ371" s="13">
        <f t="shared" si="192"/>
        <v>0.71875</v>
      </c>
      <c r="AR371" s="10"/>
      <c r="AS371" s="36" t="s">
        <v>149</v>
      </c>
      <c r="AT371" s="13">
        <f t="shared" si="193"/>
        <v>0.958333333333333</v>
      </c>
      <c r="AU371" s="1" t="str">
        <f t="shared" si="194"/>
        <v/>
      </c>
      <c r="AV371" s="1" t="str">
        <f t="shared" si="195"/>
        <v/>
      </c>
      <c r="AW371" s="1" t="str">
        <f t="shared" si="196"/>
        <v/>
      </c>
      <c r="AX371" s="1" t="str">
        <f t="shared" si="197"/>
        <v/>
      </c>
      <c r="AY371" s="1" t="str">
        <f t="shared" si="198"/>
        <v/>
      </c>
      <c r="AZ371" s="1" t="str">
        <f t="shared" si="199"/>
        <v/>
      </c>
      <c r="BA371" s="1" t="str">
        <f t="shared" si="200"/>
        <v/>
      </c>
      <c r="BB371" s="1" t="str">
        <f t="shared" si="201"/>
        <v/>
      </c>
      <c r="BC371" s="1">
        <f t="shared" si="202"/>
        <v>5</v>
      </c>
      <c r="BD371" s="1">
        <f t="shared" si="203"/>
        <v>5</v>
      </c>
      <c r="BE371" s="1">
        <f t="shared" si="204"/>
        <v>5</v>
      </c>
      <c r="BF371" s="1">
        <f t="shared" si="205"/>
        <v>5</v>
      </c>
      <c r="BG371" s="1">
        <f t="shared" si="206"/>
        <v>5</v>
      </c>
      <c r="BH371" s="1">
        <f t="shared" si="207"/>
        <v>5</v>
      </c>
      <c r="BI371" s="1">
        <f t="shared" si="208"/>
        <v>2</v>
      </c>
      <c r="BJ371" s="1">
        <f t="shared" si="209"/>
        <v>5</v>
      </c>
    </row>
    <row r="372" ht="14.25" customHeight="1" spans="1:62">
      <c r="A372" s="10">
        <v>368</v>
      </c>
      <c r="B372" s="36" t="s">
        <v>1273</v>
      </c>
      <c r="C372" s="10">
        <v>2000</v>
      </c>
      <c r="D372" s="10">
        <f t="shared" si="211"/>
        <v>2000</v>
      </c>
      <c r="E372" s="10" t="s">
        <v>136</v>
      </c>
      <c r="F372" s="35" t="s">
        <v>1274</v>
      </c>
      <c r="G372" s="10" t="s">
        <v>1275</v>
      </c>
      <c r="H372" s="10" t="s">
        <v>140</v>
      </c>
      <c r="I372" s="10" t="s">
        <v>140</v>
      </c>
      <c r="J372" s="10" t="s">
        <v>1264</v>
      </c>
      <c r="K372" s="10">
        <v>4</v>
      </c>
      <c r="L372" s="10">
        <v>3</v>
      </c>
      <c r="M372" s="10">
        <v>4</v>
      </c>
      <c r="N372" s="10">
        <v>5</v>
      </c>
      <c r="O372" s="10">
        <v>5</v>
      </c>
      <c r="P372" s="10">
        <v>5</v>
      </c>
      <c r="Q372" s="10">
        <v>1</v>
      </c>
      <c r="R372" s="10">
        <v>5</v>
      </c>
      <c r="S372" s="10">
        <f t="shared" si="176"/>
        <v>0.75</v>
      </c>
      <c r="T372" s="10">
        <f t="shared" si="177"/>
        <v>0.5</v>
      </c>
      <c r="U372" s="10">
        <f t="shared" si="178"/>
        <v>0.75</v>
      </c>
      <c r="V372" s="10">
        <f t="shared" si="179"/>
        <v>1</v>
      </c>
      <c r="W372" s="10">
        <f t="shared" si="180"/>
        <v>1</v>
      </c>
      <c r="X372" s="10">
        <f t="shared" si="181"/>
        <v>1</v>
      </c>
      <c r="Y372" s="10">
        <f t="shared" si="182"/>
        <v>0</v>
      </c>
      <c r="Z372" s="10">
        <f t="shared" si="183"/>
        <v>1</v>
      </c>
      <c r="AA372" s="10" t="str">
        <f t="shared" si="184"/>
        <v/>
      </c>
      <c r="AB372" s="10" t="str">
        <f t="shared" si="185"/>
        <v/>
      </c>
      <c r="AC372" s="10" t="str">
        <f t="shared" si="186"/>
        <v/>
      </c>
      <c r="AD372" s="10" t="str">
        <f t="shared" si="187"/>
        <v/>
      </c>
      <c r="AE372" s="10" t="str">
        <f t="shared" si="188"/>
        <v/>
      </c>
      <c r="AF372" s="10" t="str">
        <f t="shared" si="189"/>
        <v/>
      </c>
      <c r="AG372" s="10" t="str">
        <f t="shared" si="190"/>
        <v/>
      </c>
      <c r="AH372" s="10" t="str">
        <f t="shared" si="191"/>
        <v/>
      </c>
      <c r="AI372" s="10">
        <f>IF(OR(S372="",'4_BENCHMARK'!$C$4=""),"",ABS(S372-'4_BENCHMARK'!$C$4))</f>
        <v>0.25</v>
      </c>
      <c r="AJ372" s="10">
        <f>IF(OR(T372="",'4_BENCHMARK'!$C$5=""),"",ABS(T372-'4_BENCHMARK'!$C$5))</f>
        <v>0.5</v>
      </c>
      <c r="AK372" s="10">
        <f>IF(OR(U372="",'4_BENCHMARK'!$C$6=""),"",ABS(U372-'4_BENCHMARK'!$C$6))</f>
        <v>0.25</v>
      </c>
      <c r="AL372" s="10">
        <f>IF(OR(V372="",'4_BENCHMARK'!$C$7=""),"",ABS(V372-'4_BENCHMARK'!$C$7))</f>
        <v>0</v>
      </c>
      <c r="AM372" s="10">
        <f>IF(OR(W372="",'4_BENCHMARK'!$C$8=""),"",ABS(W372-'4_BENCHMARK'!$C$8))</f>
        <v>1</v>
      </c>
      <c r="AN372" s="10">
        <f>IF(OR(X372="",'4_BENCHMARK'!$C$9=""),"",ABS(X372-'4_BENCHMARK'!$C$9))</f>
        <v>1</v>
      </c>
      <c r="AO372" s="10">
        <f>IF(OR(Y372="",'4_BENCHMARK'!$C$10=""),"",ABS(Y372-'4_BENCHMARK'!$C$10))</f>
        <v>0.5</v>
      </c>
      <c r="AP372" s="10">
        <f>IF(OR(Z372="",'4_BENCHMARK'!$C$11=""),"",ABS(Z372-'4_BENCHMARK'!$C$11))</f>
        <v>0</v>
      </c>
      <c r="AQ372" s="13">
        <f t="shared" si="192"/>
        <v>0.5625</v>
      </c>
      <c r="AR372" s="10" t="s">
        <v>140</v>
      </c>
      <c r="AS372" s="36" t="s">
        <v>141</v>
      </c>
      <c r="AT372" s="13">
        <f t="shared" si="193"/>
        <v>0.75</v>
      </c>
      <c r="AU372" s="1" t="str">
        <f t="shared" si="194"/>
        <v/>
      </c>
      <c r="AV372" s="1" t="str">
        <f t="shared" si="195"/>
        <v/>
      </c>
      <c r="AW372" s="1" t="str">
        <f t="shared" si="196"/>
        <v/>
      </c>
      <c r="AX372" s="1" t="str">
        <f t="shared" si="197"/>
        <v/>
      </c>
      <c r="AY372" s="1" t="str">
        <f t="shared" si="198"/>
        <v/>
      </c>
      <c r="AZ372" s="1" t="str">
        <f t="shared" si="199"/>
        <v/>
      </c>
      <c r="BA372" s="1" t="str">
        <f t="shared" si="200"/>
        <v/>
      </c>
      <c r="BB372" s="1" t="str">
        <f t="shared" si="201"/>
        <v/>
      </c>
      <c r="BC372" s="1">
        <f t="shared" si="202"/>
        <v>4</v>
      </c>
      <c r="BD372" s="1">
        <f t="shared" si="203"/>
        <v>3</v>
      </c>
      <c r="BE372" s="1">
        <f t="shared" si="204"/>
        <v>4</v>
      </c>
      <c r="BF372" s="1">
        <f t="shared" si="205"/>
        <v>5</v>
      </c>
      <c r="BG372" s="1">
        <f t="shared" si="206"/>
        <v>5</v>
      </c>
      <c r="BH372" s="1">
        <f t="shared" si="207"/>
        <v>5</v>
      </c>
      <c r="BI372" s="1">
        <f t="shared" si="208"/>
        <v>1</v>
      </c>
      <c r="BJ372" s="1">
        <f t="shared" si="209"/>
        <v>5</v>
      </c>
    </row>
    <row r="373" ht="14.25" customHeight="1" spans="1:62">
      <c r="A373" s="10">
        <v>369</v>
      </c>
      <c r="B373" s="36" t="s">
        <v>1276</v>
      </c>
      <c r="C373" s="10">
        <v>2000</v>
      </c>
      <c r="D373" s="10">
        <f t="shared" si="211"/>
        <v>2000</v>
      </c>
      <c r="E373" s="10" t="s">
        <v>136</v>
      </c>
      <c r="F373" s="35" t="s">
        <v>1277</v>
      </c>
      <c r="G373" s="10" t="s">
        <v>1278</v>
      </c>
      <c r="H373" s="10" t="s">
        <v>140</v>
      </c>
      <c r="I373" s="10" t="s">
        <v>140</v>
      </c>
      <c r="J373" s="10" t="s">
        <v>1264</v>
      </c>
      <c r="K373" s="10">
        <v>5</v>
      </c>
      <c r="L373" s="10">
        <v>5</v>
      </c>
      <c r="M373" s="10">
        <v>4</v>
      </c>
      <c r="N373" s="10">
        <v>5</v>
      </c>
      <c r="O373" s="10">
        <v>5</v>
      </c>
      <c r="P373" s="10">
        <v>5</v>
      </c>
      <c r="Q373" s="10">
        <v>3</v>
      </c>
      <c r="R373" s="10">
        <v>5</v>
      </c>
      <c r="S373" s="10">
        <f t="shared" si="176"/>
        <v>1</v>
      </c>
      <c r="T373" s="10">
        <f t="shared" si="177"/>
        <v>1</v>
      </c>
      <c r="U373" s="10">
        <f t="shared" si="178"/>
        <v>0.75</v>
      </c>
      <c r="V373" s="10">
        <f t="shared" si="179"/>
        <v>1</v>
      </c>
      <c r="W373" s="10">
        <f t="shared" si="180"/>
        <v>1</v>
      </c>
      <c r="X373" s="10">
        <f t="shared" si="181"/>
        <v>1</v>
      </c>
      <c r="Y373" s="10">
        <f t="shared" si="182"/>
        <v>0.5</v>
      </c>
      <c r="Z373" s="10">
        <f t="shared" si="183"/>
        <v>1</v>
      </c>
      <c r="AA373" s="10" t="str">
        <f t="shared" si="184"/>
        <v/>
      </c>
      <c r="AB373" s="10" t="str">
        <f t="shared" si="185"/>
        <v/>
      </c>
      <c r="AC373" s="10" t="str">
        <f t="shared" si="186"/>
        <v/>
      </c>
      <c r="AD373" s="10" t="str">
        <f t="shared" si="187"/>
        <v/>
      </c>
      <c r="AE373" s="10" t="str">
        <f t="shared" si="188"/>
        <v/>
      </c>
      <c r="AF373" s="10" t="str">
        <f t="shared" si="189"/>
        <v/>
      </c>
      <c r="AG373" s="10" t="str">
        <f t="shared" si="190"/>
        <v/>
      </c>
      <c r="AH373" s="10" t="str">
        <f t="shared" si="191"/>
        <v/>
      </c>
      <c r="AI373" s="10">
        <f>IF(OR(S373="",'4_BENCHMARK'!$C$4=""),"",ABS(S373-'4_BENCHMARK'!$C$4))</f>
        <v>0</v>
      </c>
      <c r="AJ373" s="10">
        <f>IF(OR(T373="",'4_BENCHMARK'!$C$5=""),"",ABS(T373-'4_BENCHMARK'!$C$5))</f>
        <v>0</v>
      </c>
      <c r="AK373" s="10">
        <f>IF(OR(U373="",'4_BENCHMARK'!$C$6=""),"",ABS(U373-'4_BENCHMARK'!$C$6))</f>
        <v>0.25</v>
      </c>
      <c r="AL373" s="10">
        <f>IF(OR(V373="",'4_BENCHMARK'!$C$7=""),"",ABS(V373-'4_BENCHMARK'!$C$7))</f>
        <v>0</v>
      </c>
      <c r="AM373" s="10">
        <f>IF(OR(W373="",'4_BENCHMARK'!$C$8=""),"",ABS(W373-'4_BENCHMARK'!$C$8))</f>
        <v>1</v>
      </c>
      <c r="AN373" s="10">
        <f>IF(OR(X373="",'4_BENCHMARK'!$C$9=""),"",ABS(X373-'4_BENCHMARK'!$C$9))</f>
        <v>1</v>
      </c>
      <c r="AO373" s="10">
        <f>IF(OR(Y373="",'4_BENCHMARK'!$C$10=""),"",ABS(Y373-'4_BENCHMARK'!$C$10))</f>
        <v>0</v>
      </c>
      <c r="AP373" s="10">
        <f>IF(OR(Z373="",'4_BENCHMARK'!$C$11=""),"",ABS(Z373-'4_BENCHMARK'!$C$11))</f>
        <v>0</v>
      </c>
      <c r="AQ373" s="13">
        <f t="shared" si="192"/>
        <v>0.71875</v>
      </c>
      <c r="AR373" s="10"/>
      <c r="AS373" s="36" t="s">
        <v>141</v>
      </c>
      <c r="AT373" s="13">
        <f t="shared" si="193"/>
        <v>0.958333333333333</v>
      </c>
      <c r="AU373" s="1" t="str">
        <f t="shared" si="194"/>
        <v/>
      </c>
      <c r="AV373" s="1" t="str">
        <f t="shared" si="195"/>
        <v/>
      </c>
      <c r="AW373" s="1" t="str">
        <f t="shared" si="196"/>
        <v/>
      </c>
      <c r="AX373" s="1" t="str">
        <f t="shared" si="197"/>
        <v/>
      </c>
      <c r="AY373" s="1" t="str">
        <f t="shared" si="198"/>
        <v/>
      </c>
      <c r="AZ373" s="1" t="str">
        <f t="shared" si="199"/>
        <v/>
      </c>
      <c r="BA373" s="1" t="str">
        <f t="shared" si="200"/>
        <v/>
      </c>
      <c r="BB373" s="1" t="str">
        <f t="shared" si="201"/>
        <v/>
      </c>
      <c r="BC373" s="1">
        <f t="shared" si="202"/>
        <v>5</v>
      </c>
      <c r="BD373" s="1">
        <f t="shared" si="203"/>
        <v>5</v>
      </c>
      <c r="BE373" s="1">
        <f t="shared" si="204"/>
        <v>4</v>
      </c>
      <c r="BF373" s="1">
        <f t="shared" si="205"/>
        <v>5</v>
      </c>
      <c r="BG373" s="1">
        <f t="shared" si="206"/>
        <v>5</v>
      </c>
      <c r="BH373" s="1">
        <f t="shared" si="207"/>
        <v>5</v>
      </c>
      <c r="BI373" s="1">
        <f t="shared" si="208"/>
        <v>3</v>
      </c>
      <c r="BJ373" s="1">
        <f t="shared" si="209"/>
        <v>5</v>
      </c>
    </row>
    <row r="374" ht="14.25" customHeight="1" spans="1:62">
      <c r="A374" s="10">
        <v>370</v>
      </c>
      <c r="B374" s="36" t="s">
        <v>1279</v>
      </c>
      <c r="C374" s="10">
        <v>2000</v>
      </c>
      <c r="D374" s="10">
        <f t="shared" si="211"/>
        <v>2000</v>
      </c>
      <c r="E374" s="10" t="s">
        <v>136</v>
      </c>
      <c r="F374" s="35" t="s">
        <v>1280</v>
      </c>
      <c r="G374" s="10" t="s">
        <v>1281</v>
      </c>
      <c r="H374" s="10" t="s">
        <v>140</v>
      </c>
      <c r="I374" s="10" t="s">
        <v>140</v>
      </c>
      <c r="J374" s="10" t="s">
        <v>1264</v>
      </c>
      <c r="K374" s="10">
        <v>4</v>
      </c>
      <c r="L374" s="10">
        <v>3</v>
      </c>
      <c r="M374" s="10">
        <v>4</v>
      </c>
      <c r="N374" s="10">
        <v>4</v>
      </c>
      <c r="O374" s="10">
        <v>5</v>
      </c>
      <c r="P374" s="10">
        <v>5</v>
      </c>
      <c r="Q374" s="10">
        <v>1</v>
      </c>
      <c r="R374" s="10">
        <v>5</v>
      </c>
      <c r="S374" s="10">
        <f t="shared" si="176"/>
        <v>0.75</v>
      </c>
      <c r="T374" s="10">
        <f t="shared" si="177"/>
        <v>0.5</v>
      </c>
      <c r="U374" s="10">
        <f t="shared" si="178"/>
        <v>0.75</v>
      </c>
      <c r="V374" s="10">
        <f t="shared" si="179"/>
        <v>0.75</v>
      </c>
      <c r="W374" s="10">
        <f t="shared" si="180"/>
        <v>1</v>
      </c>
      <c r="X374" s="10">
        <f t="shared" si="181"/>
        <v>1</v>
      </c>
      <c r="Y374" s="10">
        <f t="shared" si="182"/>
        <v>0</v>
      </c>
      <c r="Z374" s="10">
        <f t="shared" si="183"/>
        <v>1</v>
      </c>
      <c r="AA374" s="10" t="str">
        <f t="shared" si="184"/>
        <v/>
      </c>
      <c r="AB374" s="10" t="str">
        <f t="shared" si="185"/>
        <v/>
      </c>
      <c r="AC374" s="10" t="str">
        <f t="shared" si="186"/>
        <v/>
      </c>
      <c r="AD374" s="10" t="str">
        <f t="shared" si="187"/>
        <v/>
      </c>
      <c r="AE374" s="10" t="str">
        <f t="shared" si="188"/>
        <v/>
      </c>
      <c r="AF374" s="10" t="str">
        <f t="shared" si="189"/>
        <v/>
      </c>
      <c r="AG374" s="10" t="str">
        <f t="shared" si="190"/>
        <v/>
      </c>
      <c r="AH374" s="10" t="str">
        <f t="shared" si="191"/>
        <v/>
      </c>
      <c r="AI374" s="10">
        <f>IF(OR(S374="",'4_BENCHMARK'!$C$4=""),"",ABS(S374-'4_BENCHMARK'!$C$4))</f>
        <v>0.25</v>
      </c>
      <c r="AJ374" s="10">
        <f>IF(OR(T374="",'4_BENCHMARK'!$C$5=""),"",ABS(T374-'4_BENCHMARK'!$C$5))</f>
        <v>0.5</v>
      </c>
      <c r="AK374" s="10">
        <f>IF(OR(U374="",'4_BENCHMARK'!$C$6=""),"",ABS(U374-'4_BENCHMARK'!$C$6))</f>
        <v>0.25</v>
      </c>
      <c r="AL374" s="10">
        <f>IF(OR(V374="",'4_BENCHMARK'!$C$7=""),"",ABS(V374-'4_BENCHMARK'!$C$7))</f>
        <v>0.25</v>
      </c>
      <c r="AM374" s="10">
        <f>IF(OR(W374="",'4_BENCHMARK'!$C$8=""),"",ABS(W374-'4_BENCHMARK'!$C$8))</f>
        <v>1</v>
      </c>
      <c r="AN374" s="10">
        <f>IF(OR(X374="",'4_BENCHMARK'!$C$9=""),"",ABS(X374-'4_BENCHMARK'!$C$9))</f>
        <v>1</v>
      </c>
      <c r="AO374" s="10">
        <f>IF(OR(Y374="",'4_BENCHMARK'!$C$10=""),"",ABS(Y374-'4_BENCHMARK'!$C$10))</f>
        <v>0.5</v>
      </c>
      <c r="AP374" s="10">
        <f>IF(OR(Z374="",'4_BENCHMARK'!$C$11=""),"",ABS(Z374-'4_BENCHMARK'!$C$11))</f>
        <v>0</v>
      </c>
      <c r="AQ374" s="13">
        <f t="shared" si="192"/>
        <v>0.53125</v>
      </c>
      <c r="AR374" s="10"/>
      <c r="AS374" s="36" t="s">
        <v>230</v>
      </c>
      <c r="AT374" s="13">
        <f t="shared" si="193"/>
        <v>0.708333333333333</v>
      </c>
      <c r="AU374" s="1" t="str">
        <f t="shared" si="194"/>
        <v/>
      </c>
      <c r="AV374" s="1" t="str">
        <f t="shared" si="195"/>
        <v/>
      </c>
      <c r="AW374" s="1" t="str">
        <f t="shared" si="196"/>
        <v/>
      </c>
      <c r="AX374" s="1" t="str">
        <f t="shared" si="197"/>
        <v/>
      </c>
      <c r="AY374" s="1" t="str">
        <f t="shared" si="198"/>
        <v/>
      </c>
      <c r="AZ374" s="1" t="str">
        <f t="shared" si="199"/>
        <v/>
      </c>
      <c r="BA374" s="1" t="str">
        <f t="shared" si="200"/>
        <v/>
      </c>
      <c r="BB374" s="1" t="str">
        <f t="shared" si="201"/>
        <v/>
      </c>
      <c r="BC374" s="1">
        <f t="shared" si="202"/>
        <v>4</v>
      </c>
      <c r="BD374" s="1">
        <f t="shared" si="203"/>
        <v>3</v>
      </c>
      <c r="BE374" s="1">
        <f t="shared" si="204"/>
        <v>4</v>
      </c>
      <c r="BF374" s="1">
        <f t="shared" si="205"/>
        <v>4</v>
      </c>
      <c r="BG374" s="1">
        <f t="shared" si="206"/>
        <v>5</v>
      </c>
      <c r="BH374" s="1">
        <f t="shared" si="207"/>
        <v>5</v>
      </c>
      <c r="BI374" s="1">
        <f t="shared" si="208"/>
        <v>1</v>
      </c>
      <c r="BJ374" s="1">
        <f t="shared" si="209"/>
        <v>5</v>
      </c>
    </row>
    <row r="375" ht="14.25" customHeight="1" spans="1:62">
      <c r="A375" s="10">
        <v>371</v>
      </c>
      <c r="B375" s="36" t="s">
        <v>1282</v>
      </c>
      <c r="C375" s="10">
        <v>2020</v>
      </c>
      <c r="D375" s="10">
        <f t="shared" si="211"/>
        <v>2020</v>
      </c>
      <c r="E375" s="36" t="s">
        <v>136</v>
      </c>
      <c r="F375" s="35" t="s">
        <v>1283</v>
      </c>
      <c r="G375" s="36" t="s">
        <v>1284</v>
      </c>
      <c r="H375" s="10" t="s">
        <v>140</v>
      </c>
      <c r="I375" s="10" t="s">
        <v>140</v>
      </c>
      <c r="J375" s="36"/>
      <c r="K375" s="10">
        <v>4</v>
      </c>
      <c r="L375" s="10">
        <v>5</v>
      </c>
      <c r="M375" s="10">
        <v>5</v>
      </c>
      <c r="N375" s="10">
        <v>5</v>
      </c>
      <c r="O375" s="10">
        <v>5</v>
      </c>
      <c r="P375" s="10">
        <v>5</v>
      </c>
      <c r="Q375" s="10">
        <v>2</v>
      </c>
      <c r="R375" s="10">
        <v>5</v>
      </c>
      <c r="S375" s="10">
        <f t="shared" si="176"/>
        <v>0.75</v>
      </c>
      <c r="T375" s="10">
        <f t="shared" si="177"/>
        <v>1</v>
      </c>
      <c r="U375" s="10">
        <f t="shared" si="178"/>
        <v>1</v>
      </c>
      <c r="V375" s="10">
        <f t="shared" si="179"/>
        <v>1</v>
      </c>
      <c r="W375" s="10">
        <f t="shared" si="180"/>
        <v>1</v>
      </c>
      <c r="X375" s="10">
        <f t="shared" si="181"/>
        <v>1</v>
      </c>
      <c r="Y375" s="10">
        <f t="shared" si="182"/>
        <v>0.25</v>
      </c>
      <c r="Z375" s="10">
        <f t="shared" si="183"/>
        <v>1</v>
      </c>
      <c r="AA375" s="10" t="str">
        <f t="shared" si="184"/>
        <v/>
      </c>
      <c r="AB375" s="10" t="str">
        <f t="shared" si="185"/>
        <v/>
      </c>
      <c r="AC375" s="10" t="str">
        <f t="shared" si="186"/>
        <v/>
      </c>
      <c r="AD375" s="10" t="str">
        <f t="shared" si="187"/>
        <v/>
      </c>
      <c r="AE375" s="10" t="str">
        <f t="shared" si="188"/>
        <v/>
      </c>
      <c r="AF375" s="10" t="str">
        <f t="shared" si="189"/>
        <v/>
      </c>
      <c r="AG375" s="10" t="str">
        <f t="shared" si="190"/>
        <v/>
      </c>
      <c r="AH375" s="10" t="str">
        <f t="shared" si="191"/>
        <v/>
      </c>
      <c r="AI375" s="10">
        <f>IF(OR(S375="",'4_BENCHMARK'!$C$4=""),"",ABS(S375-'4_BENCHMARK'!$C$4))</f>
        <v>0.25</v>
      </c>
      <c r="AJ375" s="10">
        <f>IF(OR(T375="",'4_BENCHMARK'!$C$5=""),"",ABS(T375-'4_BENCHMARK'!$C$5))</f>
        <v>0</v>
      </c>
      <c r="AK375" s="10">
        <f>IF(OR(U375="",'4_BENCHMARK'!$C$6=""),"",ABS(U375-'4_BENCHMARK'!$C$6))</f>
        <v>0</v>
      </c>
      <c r="AL375" s="10">
        <f>IF(OR(V375="",'4_BENCHMARK'!$C$7=""),"",ABS(V375-'4_BENCHMARK'!$C$7))</f>
        <v>0</v>
      </c>
      <c r="AM375" s="10">
        <f>IF(OR(W375="",'4_BENCHMARK'!$C$8=""),"",ABS(W375-'4_BENCHMARK'!$C$8))</f>
        <v>1</v>
      </c>
      <c r="AN375" s="10">
        <f>IF(OR(X375="",'4_BENCHMARK'!$C$9=""),"",ABS(X375-'4_BENCHMARK'!$C$9))</f>
        <v>1</v>
      </c>
      <c r="AO375" s="10">
        <f>IF(OR(Y375="",'4_BENCHMARK'!$C$10=""),"",ABS(Y375-'4_BENCHMARK'!$C$10))</f>
        <v>0.25</v>
      </c>
      <c r="AP375" s="10">
        <f>IF(OR(Z375="",'4_BENCHMARK'!$C$11=""),"",ABS(Z375-'4_BENCHMARK'!$C$11))</f>
        <v>0</v>
      </c>
      <c r="AQ375" s="13">
        <f t="shared" si="192"/>
        <v>0.6875</v>
      </c>
      <c r="AR375" s="10" t="s">
        <v>140</v>
      </c>
      <c r="AS375" s="36" t="s">
        <v>145</v>
      </c>
      <c r="AT375" s="13">
        <f t="shared" si="193"/>
        <v>0.916666666666667</v>
      </c>
      <c r="AU375" s="1" t="str">
        <f t="shared" si="194"/>
        <v/>
      </c>
      <c r="AV375" s="1" t="str">
        <f t="shared" si="195"/>
        <v/>
      </c>
      <c r="AW375" s="1" t="str">
        <f t="shared" si="196"/>
        <v/>
      </c>
      <c r="AX375" s="1" t="str">
        <f t="shared" si="197"/>
        <v/>
      </c>
      <c r="AY375" s="1" t="str">
        <f t="shared" si="198"/>
        <v/>
      </c>
      <c r="AZ375" s="1" t="str">
        <f t="shared" si="199"/>
        <v/>
      </c>
      <c r="BA375" s="1" t="str">
        <f t="shared" si="200"/>
        <v/>
      </c>
      <c r="BB375" s="1" t="str">
        <f t="shared" si="201"/>
        <v/>
      </c>
      <c r="BC375" s="1">
        <f t="shared" si="202"/>
        <v>4</v>
      </c>
      <c r="BD375" s="1">
        <f t="shared" si="203"/>
        <v>5</v>
      </c>
      <c r="BE375" s="1">
        <f t="shared" si="204"/>
        <v>5</v>
      </c>
      <c r="BF375" s="1">
        <f t="shared" si="205"/>
        <v>5</v>
      </c>
      <c r="BG375" s="1">
        <f t="shared" si="206"/>
        <v>5</v>
      </c>
      <c r="BH375" s="1">
        <f t="shared" si="207"/>
        <v>5</v>
      </c>
      <c r="BI375" s="1">
        <f t="shared" si="208"/>
        <v>2</v>
      </c>
      <c r="BJ375" s="1">
        <f t="shared" si="209"/>
        <v>5</v>
      </c>
    </row>
    <row r="376" ht="14.25" customHeight="1" spans="1:62">
      <c r="A376" s="10">
        <v>372</v>
      </c>
      <c r="B376" s="36" t="s">
        <v>536</v>
      </c>
      <c r="C376" s="10">
        <v>2020</v>
      </c>
      <c r="D376" s="10">
        <f t="shared" si="211"/>
        <v>2020</v>
      </c>
      <c r="E376" s="36" t="s">
        <v>136</v>
      </c>
      <c r="F376" s="35" t="s">
        <v>537</v>
      </c>
      <c r="G376" s="36" t="s">
        <v>1285</v>
      </c>
      <c r="H376" s="10" t="s">
        <v>140</v>
      </c>
      <c r="I376" s="10" t="s">
        <v>140</v>
      </c>
      <c r="J376" s="10"/>
      <c r="K376" s="10">
        <v>5</v>
      </c>
      <c r="L376" s="10">
        <v>5</v>
      </c>
      <c r="M376" s="10">
        <v>5</v>
      </c>
      <c r="N376" s="10">
        <v>5</v>
      </c>
      <c r="O376" s="10">
        <v>5</v>
      </c>
      <c r="P376" s="10">
        <v>5</v>
      </c>
      <c r="Q376" s="10">
        <v>2</v>
      </c>
      <c r="R376" s="10">
        <v>5</v>
      </c>
      <c r="S376" s="10">
        <f t="shared" si="176"/>
        <v>1</v>
      </c>
      <c r="T376" s="10">
        <f t="shared" si="177"/>
        <v>1</v>
      </c>
      <c r="U376" s="10">
        <f t="shared" si="178"/>
        <v>1</v>
      </c>
      <c r="V376" s="10">
        <f t="shared" si="179"/>
        <v>1</v>
      </c>
      <c r="W376" s="10">
        <f t="shared" si="180"/>
        <v>1</v>
      </c>
      <c r="X376" s="10">
        <f t="shared" si="181"/>
        <v>1</v>
      </c>
      <c r="Y376" s="10">
        <f t="shared" si="182"/>
        <v>0.25</v>
      </c>
      <c r="Z376" s="10">
        <f t="shared" si="183"/>
        <v>1</v>
      </c>
      <c r="AA376" s="10" t="str">
        <f t="shared" si="184"/>
        <v/>
      </c>
      <c r="AB376" s="10" t="str">
        <f t="shared" si="185"/>
        <v/>
      </c>
      <c r="AC376" s="10" t="str">
        <f t="shared" si="186"/>
        <v/>
      </c>
      <c r="AD376" s="10" t="str">
        <f t="shared" si="187"/>
        <v/>
      </c>
      <c r="AE376" s="10" t="str">
        <f t="shared" si="188"/>
        <v/>
      </c>
      <c r="AF376" s="10" t="str">
        <f t="shared" si="189"/>
        <v/>
      </c>
      <c r="AG376" s="10" t="str">
        <f t="shared" si="190"/>
        <v/>
      </c>
      <c r="AH376" s="10" t="str">
        <f t="shared" si="191"/>
        <v/>
      </c>
      <c r="AI376" s="10">
        <f>IF(OR(S376="",'4_BENCHMARK'!$C$4=""),"",ABS(S376-'4_BENCHMARK'!$C$4))</f>
        <v>0</v>
      </c>
      <c r="AJ376" s="10">
        <f>IF(OR(T376="",'4_BENCHMARK'!$C$5=""),"",ABS(T376-'4_BENCHMARK'!$C$5))</f>
        <v>0</v>
      </c>
      <c r="AK376" s="10">
        <f>IF(OR(U376="",'4_BENCHMARK'!$C$6=""),"",ABS(U376-'4_BENCHMARK'!$C$6))</f>
        <v>0</v>
      </c>
      <c r="AL376" s="10">
        <f>IF(OR(V376="",'4_BENCHMARK'!$C$7=""),"",ABS(V376-'4_BENCHMARK'!$C$7))</f>
        <v>0</v>
      </c>
      <c r="AM376" s="10">
        <f>IF(OR(W376="",'4_BENCHMARK'!$C$8=""),"",ABS(W376-'4_BENCHMARK'!$C$8))</f>
        <v>1</v>
      </c>
      <c r="AN376" s="10">
        <f>IF(OR(X376="",'4_BENCHMARK'!$C$9=""),"",ABS(X376-'4_BENCHMARK'!$C$9))</f>
        <v>1</v>
      </c>
      <c r="AO376" s="10">
        <f>IF(OR(Y376="",'4_BENCHMARK'!$C$10=""),"",ABS(Y376-'4_BENCHMARK'!$C$10))</f>
        <v>0.25</v>
      </c>
      <c r="AP376" s="10">
        <f>IF(OR(Z376="",'4_BENCHMARK'!$C$11=""),"",ABS(Z376-'4_BENCHMARK'!$C$11))</f>
        <v>0</v>
      </c>
      <c r="AQ376" s="13">
        <f t="shared" si="192"/>
        <v>0.71875</v>
      </c>
      <c r="AR376" s="10"/>
      <c r="AS376" s="36" t="s">
        <v>141</v>
      </c>
      <c r="AT376" s="13">
        <f t="shared" si="193"/>
        <v>0.958333333333333</v>
      </c>
      <c r="AU376" s="1" t="str">
        <f t="shared" si="194"/>
        <v/>
      </c>
      <c r="AV376" s="1" t="str">
        <f t="shared" si="195"/>
        <v/>
      </c>
      <c r="AW376" s="1" t="str">
        <f t="shared" si="196"/>
        <v/>
      </c>
      <c r="AX376" s="1" t="str">
        <f t="shared" si="197"/>
        <v/>
      </c>
      <c r="AY376" s="1" t="str">
        <f t="shared" si="198"/>
        <v/>
      </c>
      <c r="AZ376" s="1" t="str">
        <f t="shared" si="199"/>
        <v/>
      </c>
      <c r="BA376" s="1" t="str">
        <f t="shared" si="200"/>
        <v/>
      </c>
      <c r="BB376" s="1" t="str">
        <f t="shared" si="201"/>
        <v/>
      </c>
      <c r="BC376" s="1">
        <f t="shared" si="202"/>
        <v>5</v>
      </c>
      <c r="BD376" s="1">
        <f t="shared" si="203"/>
        <v>5</v>
      </c>
      <c r="BE376" s="1">
        <f t="shared" si="204"/>
        <v>5</v>
      </c>
      <c r="BF376" s="1">
        <f t="shared" si="205"/>
        <v>5</v>
      </c>
      <c r="BG376" s="1">
        <f t="shared" si="206"/>
        <v>5</v>
      </c>
      <c r="BH376" s="1">
        <f t="shared" si="207"/>
        <v>5</v>
      </c>
      <c r="BI376" s="1">
        <f t="shared" si="208"/>
        <v>2</v>
      </c>
      <c r="BJ376" s="1">
        <f t="shared" si="209"/>
        <v>5</v>
      </c>
    </row>
    <row r="377" ht="14.25" customHeight="1" spans="1:62">
      <c r="A377" s="10">
        <v>373</v>
      </c>
      <c r="B377" s="36" t="s">
        <v>1286</v>
      </c>
      <c r="C377" s="10">
        <v>2022</v>
      </c>
      <c r="D377" s="10">
        <f t="shared" si="211"/>
        <v>2020</v>
      </c>
      <c r="E377" s="36" t="s">
        <v>136</v>
      </c>
      <c r="F377" s="35" t="s">
        <v>1287</v>
      </c>
      <c r="G377" s="36" t="s">
        <v>1288</v>
      </c>
      <c r="H377" s="10" t="s">
        <v>140</v>
      </c>
      <c r="I377" s="10" t="s">
        <v>140</v>
      </c>
      <c r="J377" s="36" t="s">
        <v>1289</v>
      </c>
      <c r="K377" s="10">
        <v>5</v>
      </c>
      <c r="L377" s="10">
        <v>5</v>
      </c>
      <c r="M377" s="10">
        <v>5</v>
      </c>
      <c r="N377" s="10">
        <v>4</v>
      </c>
      <c r="O377" s="10">
        <v>5</v>
      </c>
      <c r="P377" s="10">
        <v>3</v>
      </c>
      <c r="Q377" s="10">
        <v>2</v>
      </c>
      <c r="R377" s="10">
        <v>5</v>
      </c>
      <c r="S377" s="10">
        <f t="shared" si="176"/>
        <v>1</v>
      </c>
      <c r="T377" s="10">
        <f t="shared" si="177"/>
        <v>1</v>
      </c>
      <c r="U377" s="10">
        <f t="shared" si="178"/>
        <v>1</v>
      </c>
      <c r="V377" s="10">
        <f t="shared" si="179"/>
        <v>0.75</v>
      </c>
      <c r="W377" s="10">
        <f t="shared" si="180"/>
        <v>1</v>
      </c>
      <c r="X377" s="10">
        <f t="shared" si="181"/>
        <v>0.5</v>
      </c>
      <c r="Y377" s="10">
        <f t="shared" si="182"/>
        <v>0.25</v>
      </c>
      <c r="Z377" s="10">
        <f t="shared" si="183"/>
        <v>1</v>
      </c>
      <c r="AA377" s="10" t="str">
        <f t="shared" si="184"/>
        <v/>
      </c>
      <c r="AB377" s="10" t="str">
        <f t="shared" si="185"/>
        <v/>
      </c>
      <c r="AC377" s="10" t="str">
        <f t="shared" si="186"/>
        <v/>
      </c>
      <c r="AD377" s="10" t="str">
        <f t="shared" si="187"/>
        <v/>
      </c>
      <c r="AE377" s="10" t="str">
        <f t="shared" si="188"/>
        <v/>
      </c>
      <c r="AF377" s="10" t="str">
        <f t="shared" si="189"/>
        <v/>
      </c>
      <c r="AG377" s="10" t="str">
        <f t="shared" si="190"/>
        <v/>
      </c>
      <c r="AH377" s="10" t="str">
        <f t="shared" si="191"/>
        <v/>
      </c>
      <c r="AI377" s="10">
        <f>IF(OR(S377="",'4_BENCHMARK'!$C$4=""),"",ABS(S377-'4_BENCHMARK'!$C$4))</f>
        <v>0</v>
      </c>
      <c r="AJ377" s="10">
        <f>IF(OR(T377="",'4_BENCHMARK'!$C$5=""),"",ABS(T377-'4_BENCHMARK'!$C$5))</f>
        <v>0</v>
      </c>
      <c r="AK377" s="10">
        <f>IF(OR(U377="",'4_BENCHMARK'!$C$6=""),"",ABS(U377-'4_BENCHMARK'!$C$6))</f>
        <v>0</v>
      </c>
      <c r="AL377" s="10">
        <f>IF(OR(V377="",'4_BENCHMARK'!$C$7=""),"",ABS(V377-'4_BENCHMARK'!$C$7))</f>
        <v>0.25</v>
      </c>
      <c r="AM377" s="10">
        <f>IF(OR(W377="",'4_BENCHMARK'!$C$8=""),"",ABS(W377-'4_BENCHMARK'!$C$8))</f>
        <v>1</v>
      </c>
      <c r="AN377" s="10">
        <f>IF(OR(X377="",'4_BENCHMARK'!$C$9=""),"",ABS(X377-'4_BENCHMARK'!$C$9))</f>
        <v>0.5</v>
      </c>
      <c r="AO377" s="10">
        <f>IF(OR(Y377="",'4_BENCHMARK'!$C$10=""),"",ABS(Y377-'4_BENCHMARK'!$C$10))</f>
        <v>0.25</v>
      </c>
      <c r="AP377" s="10">
        <f>IF(OR(Z377="",'4_BENCHMARK'!$C$11=""),"",ABS(Z377-'4_BENCHMARK'!$C$11))</f>
        <v>0</v>
      </c>
      <c r="AQ377" s="13">
        <f t="shared" si="192"/>
        <v>0.75</v>
      </c>
      <c r="AR377" s="10"/>
      <c r="AS377" s="36" t="s">
        <v>149</v>
      </c>
      <c r="AT377" s="13">
        <f t="shared" si="193"/>
        <v>0.916666666666667</v>
      </c>
      <c r="AU377" s="1" t="str">
        <f t="shared" si="194"/>
        <v/>
      </c>
      <c r="AV377" s="1" t="str">
        <f t="shared" si="195"/>
        <v/>
      </c>
      <c r="AW377" s="1" t="str">
        <f t="shared" si="196"/>
        <v/>
      </c>
      <c r="AX377" s="1" t="str">
        <f t="shared" si="197"/>
        <v/>
      </c>
      <c r="AY377" s="1" t="str">
        <f t="shared" si="198"/>
        <v/>
      </c>
      <c r="AZ377" s="1" t="str">
        <f t="shared" si="199"/>
        <v/>
      </c>
      <c r="BA377" s="1" t="str">
        <f t="shared" si="200"/>
        <v/>
      </c>
      <c r="BB377" s="1" t="str">
        <f t="shared" si="201"/>
        <v/>
      </c>
      <c r="BC377" s="1">
        <f t="shared" si="202"/>
        <v>5</v>
      </c>
      <c r="BD377" s="1">
        <f t="shared" si="203"/>
        <v>5</v>
      </c>
      <c r="BE377" s="1">
        <f t="shared" si="204"/>
        <v>5</v>
      </c>
      <c r="BF377" s="1">
        <f t="shared" si="205"/>
        <v>4</v>
      </c>
      <c r="BG377" s="1">
        <f t="shared" si="206"/>
        <v>5</v>
      </c>
      <c r="BH377" s="1">
        <f t="shared" si="207"/>
        <v>3</v>
      </c>
      <c r="BI377" s="1">
        <f t="shared" si="208"/>
        <v>2</v>
      </c>
      <c r="BJ377" s="1">
        <f t="shared" si="209"/>
        <v>5</v>
      </c>
    </row>
    <row r="378" ht="14.25" customHeight="1" spans="1:62">
      <c r="A378" s="10">
        <v>374</v>
      </c>
      <c r="B378" s="36" t="s">
        <v>1290</v>
      </c>
      <c r="C378" s="10">
        <v>2020</v>
      </c>
      <c r="D378" s="10">
        <f t="shared" si="211"/>
        <v>2020</v>
      </c>
      <c r="E378" s="36" t="s">
        <v>848</v>
      </c>
      <c r="F378" s="35" t="s">
        <v>1291</v>
      </c>
      <c r="G378" s="36" t="s">
        <v>1292</v>
      </c>
      <c r="H378" s="10" t="s">
        <v>140</v>
      </c>
      <c r="I378" s="10" t="s">
        <v>140</v>
      </c>
      <c r="J378" s="36" t="s">
        <v>1293</v>
      </c>
      <c r="K378" s="10">
        <v>5</v>
      </c>
      <c r="L378" s="10">
        <v>5</v>
      </c>
      <c r="M378" s="10">
        <v>5</v>
      </c>
      <c r="N378" s="10">
        <v>5</v>
      </c>
      <c r="O378" s="10">
        <v>5</v>
      </c>
      <c r="P378" s="10">
        <v>5</v>
      </c>
      <c r="Q378" s="10">
        <v>2</v>
      </c>
      <c r="R378" s="10">
        <v>5</v>
      </c>
      <c r="S378" s="10">
        <f t="shared" si="176"/>
        <v>1</v>
      </c>
      <c r="T378" s="10">
        <f t="shared" si="177"/>
        <v>1</v>
      </c>
      <c r="U378" s="10">
        <f t="shared" si="178"/>
        <v>1</v>
      </c>
      <c r="V378" s="10">
        <f t="shared" si="179"/>
        <v>1</v>
      </c>
      <c r="W378" s="10">
        <f t="shared" si="180"/>
        <v>1</v>
      </c>
      <c r="X378" s="10">
        <f t="shared" si="181"/>
        <v>1</v>
      </c>
      <c r="Y378" s="10">
        <f t="shared" si="182"/>
        <v>0.25</v>
      </c>
      <c r="Z378" s="10">
        <f t="shared" si="183"/>
        <v>1</v>
      </c>
      <c r="AA378" s="10" t="str">
        <f t="shared" si="184"/>
        <v/>
      </c>
      <c r="AB378" s="10" t="str">
        <f t="shared" si="185"/>
        <v/>
      </c>
      <c r="AC378" s="10" t="str">
        <f t="shared" si="186"/>
        <v/>
      </c>
      <c r="AD378" s="10" t="str">
        <f t="shared" si="187"/>
        <v/>
      </c>
      <c r="AE378" s="10" t="str">
        <f t="shared" si="188"/>
        <v/>
      </c>
      <c r="AF378" s="10" t="str">
        <f t="shared" si="189"/>
        <v/>
      </c>
      <c r="AG378" s="10" t="str">
        <f t="shared" si="190"/>
        <v/>
      </c>
      <c r="AH378" s="10" t="str">
        <f t="shared" si="191"/>
        <v/>
      </c>
      <c r="AI378" s="10">
        <f>IF(OR(S378="",'4_BENCHMARK'!$C$4=""),"",ABS(S378-'4_BENCHMARK'!$C$4))</f>
        <v>0</v>
      </c>
      <c r="AJ378" s="10">
        <f>IF(OR(T378="",'4_BENCHMARK'!$C$5=""),"",ABS(T378-'4_BENCHMARK'!$C$5))</f>
        <v>0</v>
      </c>
      <c r="AK378" s="10">
        <f>IF(OR(U378="",'4_BENCHMARK'!$C$6=""),"",ABS(U378-'4_BENCHMARK'!$C$6))</f>
        <v>0</v>
      </c>
      <c r="AL378" s="10">
        <f>IF(OR(V378="",'4_BENCHMARK'!$C$7=""),"",ABS(V378-'4_BENCHMARK'!$C$7))</f>
        <v>0</v>
      </c>
      <c r="AM378" s="10">
        <f>IF(OR(W378="",'4_BENCHMARK'!$C$8=""),"",ABS(W378-'4_BENCHMARK'!$C$8))</f>
        <v>1</v>
      </c>
      <c r="AN378" s="10">
        <f>IF(OR(X378="",'4_BENCHMARK'!$C$9=""),"",ABS(X378-'4_BENCHMARK'!$C$9))</f>
        <v>1</v>
      </c>
      <c r="AO378" s="10">
        <f>IF(OR(Y378="",'4_BENCHMARK'!$C$10=""),"",ABS(Y378-'4_BENCHMARK'!$C$10))</f>
        <v>0.25</v>
      </c>
      <c r="AP378" s="10">
        <f>IF(OR(Z378="",'4_BENCHMARK'!$C$11=""),"",ABS(Z378-'4_BENCHMARK'!$C$11))</f>
        <v>0</v>
      </c>
      <c r="AQ378" s="13">
        <f t="shared" si="192"/>
        <v>0.71875</v>
      </c>
      <c r="AR378" s="10"/>
      <c r="AS378" s="36" t="s">
        <v>141</v>
      </c>
      <c r="AT378" s="13">
        <f t="shared" si="193"/>
        <v>0.958333333333333</v>
      </c>
      <c r="AU378" s="1" t="str">
        <f t="shared" si="194"/>
        <v/>
      </c>
      <c r="AV378" s="1" t="str">
        <f t="shared" si="195"/>
        <v/>
      </c>
      <c r="AW378" s="1" t="str">
        <f t="shared" si="196"/>
        <v/>
      </c>
      <c r="AX378" s="1" t="str">
        <f t="shared" si="197"/>
        <v/>
      </c>
      <c r="AY378" s="1" t="str">
        <f t="shared" si="198"/>
        <v/>
      </c>
      <c r="AZ378" s="1" t="str">
        <f t="shared" si="199"/>
        <v/>
      </c>
      <c r="BA378" s="1" t="str">
        <f t="shared" si="200"/>
        <v/>
      </c>
      <c r="BB378" s="1" t="str">
        <f t="shared" si="201"/>
        <v/>
      </c>
      <c r="BC378" s="1">
        <f t="shared" si="202"/>
        <v>5</v>
      </c>
      <c r="BD378" s="1">
        <f t="shared" si="203"/>
        <v>5</v>
      </c>
      <c r="BE378" s="1">
        <f t="shared" si="204"/>
        <v>5</v>
      </c>
      <c r="BF378" s="1">
        <f t="shared" si="205"/>
        <v>5</v>
      </c>
      <c r="BG378" s="1">
        <f t="shared" si="206"/>
        <v>5</v>
      </c>
      <c r="BH378" s="1">
        <f t="shared" si="207"/>
        <v>5</v>
      </c>
      <c r="BI378" s="1">
        <f t="shared" si="208"/>
        <v>2</v>
      </c>
      <c r="BJ378" s="1">
        <f t="shared" si="209"/>
        <v>5</v>
      </c>
    </row>
    <row r="379" ht="14.25" customHeight="1" spans="1:62">
      <c r="A379" s="10">
        <v>375</v>
      </c>
      <c r="B379" s="36" t="s">
        <v>1294</v>
      </c>
      <c r="C379" s="10">
        <v>2024</v>
      </c>
      <c r="D379" s="10">
        <f t="shared" si="211"/>
        <v>2020</v>
      </c>
      <c r="E379" s="36" t="s">
        <v>848</v>
      </c>
      <c r="F379" s="35" t="s">
        <v>1295</v>
      </c>
      <c r="G379" s="36" t="s">
        <v>1296</v>
      </c>
      <c r="H379" s="10" t="s">
        <v>140</v>
      </c>
      <c r="I379" s="10" t="s">
        <v>140</v>
      </c>
      <c r="J379" s="10"/>
      <c r="K379" s="10">
        <v>5</v>
      </c>
      <c r="L379" s="10">
        <v>5</v>
      </c>
      <c r="M379" s="10">
        <v>5</v>
      </c>
      <c r="N379" s="10">
        <v>5</v>
      </c>
      <c r="O379" s="10">
        <v>5</v>
      </c>
      <c r="P379" s="10">
        <v>5</v>
      </c>
      <c r="Q379" s="10">
        <v>3</v>
      </c>
      <c r="R379" s="10">
        <v>5</v>
      </c>
      <c r="S379" s="10">
        <f t="shared" si="176"/>
        <v>1</v>
      </c>
      <c r="T379" s="10">
        <f t="shared" si="177"/>
        <v>1</v>
      </c>
      <c r="U379" s="10">
        <f t="shared" si="178"/>
        <v>1</v>
      </c>
      <c r="V379" s="10">
        <f t="shared" si="179"/>
        <v>1</v>
      </c>
      <c r="W379" s="10">
        <f t="shared" si="180"/>
        <v>1</v>
      </c>
      <c r="X379" s="10">
        <f t="shared" si="181"/>
        <v>1</v>
      </c>
      <c r="Y379" s="10">
        <f t="shared" si="182"/>
        <v>0.5</v>
      </c>
      <c r="Z379" s="10">
        <f t="shared" si="183"/>
        <v>1</v>
      </c>
      <c r="AA379" s="10" t="str">
        <f t="shared" si="184"/>
        <v/>
      </c>
      <c r="AB379" s="10" t="str">
        <f t="shared" si="185"/>
        <v/>
      </c>
      <c r="AC379" s="10" t="str">
        <f t="shared" si="186"/>
        <v/>
      </c>
      <c r="AD379" s="10" t="str">
        <f t="shared" si="187"/>
        <v/>
      </c>
      <c r="AE379" s="10" t="str">
        <f t="shared" si="188"/>
        <v/>
      </c>
      <c r="AF379" s="10" t="str">
        <f t="shared" si="189"/>
        <v/>
      </c>
      <c r="AG379" s="10" t="str">
        <f t="shared" si="190"/>
        <v/>
      </c>
      <c r="AH379" s="10" t="str">
        <f t="shared" si="191"/>
        <v/>
      </c>
      <c r="AI379" s="10">
        <f>IF(OR(S379="",'4_BENCHMARK'!$C$4=""),"",ABS(S379-'4_BENCHMARK'!$C$4))</f>
        <v>0</v>
      </c>
      <c r="AJ379" s="10">
        <f>IF(OR(T379="",'4_BENCHMARK'!$C$5=""),"",ABS(T379-'4_BENCHMARK'!$C$5))</f>
        <v>0</v>
      </c>
      <c r="AK379" s="10">
        <f>IF(OR(U379="",'4_BENCHMARK'!$C$6=""),"",ABS(U379-'4_BENCHMARK'!$C$6))</f>
        <v>0</v>
      </c>
      <c r="AL379" s="10">
        <f>IF(OR(V379="",'4_BENCHMARK'!$C$7=""),"",ABS(V379-'4_BENCHMARK'!$C$7))</f>
        <v>0</v>
      </c>
      <c r="AM379" s="10">
        <f>IF(OR(W379="",'4_BENCHMARK'!$C$8=""),"",ABS(W379-'4_BENCHMARK'!$C$8))</f>
        <v>1</v>
      </c>
      <c r="AN379" s="10">
        <f>IF(OR(X379="",'4_BENCHMARK'!$C$9=""),"",ABS(X379-'4_BENCHMARK'!$C$9))</f>
        <v>1</v>
      </c>
      <c r="AO379" s="10">
        <f>IF(OR(Y379="",'4_BENCHMARK'!$C$10=""),"",ABS(Y379-'4_BENCHMARK'!$C$10))</f>
        <v>0</v>
      </c>
      <c r="AP379" s="10">
        <f>IF(OR(Z379="",'4_BENCHMARK'!$C$11=""),"",ABS(Z379-'4_BENCHMARK'!$C$11))</f>
        <v>0</v>
      </c>
      <c r="AQ379" s="13">
        <f t="shared" si="192"/>
        <v>0.75</v>
      </c>
      <c r="AR379" s="10"/>
      <c r="AS379" s="36" t="s">
        <v>141</v>
      </c>
      <c r="AT379" s="13">
        <f t="shared" si="193"/>
        <v>1</v>
      </c>
      <c r="AU379" s="1" t="str">
        <f t="shared" si="194"/>
        <v/>
      </c>
      <c r="AV379" s="1" t="str">
        <f t="shared" si="195"/>
        <v/>
      </c>
      <c r="AW379" s="1" t="str">
        <f t="shared" si="196"/>
        <v/>
      </c>
      <c r="AX379" s="1" t="str">
        <f t="shared" si="197"/>
        <v/>
      </c>
      <c r="AY379" s="1" t="str">
        <f t="shared" si="198"/>
        <v/>
      </c>
      <c r="AZ379" s="1" t="str">
        <f t="shared" si="199"/>
        <v/>
      </c>
      <c r="BA379" s="1" t="str">
        <f t="shared" si="200"/>
        <v/>
      </c>
      <c r="BB379" s="1" t="str">
        <f t="shared" si="201"/>
        <v/>
      </c>
      <c r="BC379" s="1">
        <f t="shared" si="202"/>
        <v>5</v>
      </c>
      <c r="BD379" s="1">
        <f t="shared" si="203"/>
        <v>5</v>
      </c>
      <c r="BE379" s="1">
        <f t="shared" si="204"/>
        <v>5</v>
      </c>
      <c r="BF379" s="1">
        <f t="shared" si="205"/>
        <v>5</v>
      </c>
      <c r="BG379" s="1">
        <f t="shared" si="206"/>
        <v>5</v>
      </c>
      <c r="BH379" s="1">
        <f t="shared" si="207"/>
        <v>5</v>
      </c>
      <c r="BI379" s="1">
        <f t="shared" si="208"/>
        <v>3</v>
      </c>
      <c r="BJ379" s="1">
        <f t="shared" si="209"/>
        <v>5</v>
      </c>
    </row>
    <row r="380" ht="14.25" customHeight="1" spans="1:62">
      <c r="A380" s="10">
        <v>376</v>
      </c>
      <c r="B380" s="36" t="s">
        <v>1297</v>
      </c>
      <c r="C380" s="10">
        <v>2024</v>
      </c>
      <c r="D380" s="10">
        <f t="shared" si="211"/>
        <v>2020</v>
      </c>
      <c r="E380" s="36" t="s">
        <v>848</v>
      </c>
      <c r="F380" s="35" t="s">
        <v>1298</v>
      </c>
      <c r="G380" s="36" t="s">
        <v>1299</v>
      </c>
      <c r="H380" s="10" t="s">
        <v>140</v>
      </c>
      <c r="I380" s="10" t="s">
        <v>140</v>
      </c>
      <c r="J380" s="10"/>
      <c r="K380" s="10">
        <v>5</v>
      </c>
      <c r="L380" s="10">
        <v>5</v>
      </c>
      <c r="M380" s="10">
        <v>4</v>
      </c>
      <c r="N380" s="10">
        <v>4</v>
      </c>
      <c r="O380" s="10">
        <v>5</v>
      </c>
      <c r="P380" s="10">
        <v>5</v>
      </c>
      <c r="Q380" s="10">
        <v>3</v>
      </c>
      <c r="R380" s="10">
        <v>5</v>
      </c>
      <c r="S380" s="10">
        <f t="shared" si="176"/>
        <v>1</v>
      </c>
      <c r="T380" s="10">
        <f t="shared" si="177"/>
        <v>1</v>
      </c>
      <c r="U380" s="10">
        <f t="shared" si="178"/>
        <v>0.75</v>
      </c>
      <c r="V380" s="10">
        <f t="shared" si="179"/>
        <v>0.75</v>
      </c>
      <c r="W380" s="10">
        <f t="shared" si="180"/>
        <v>1</v>
      </c>
      <c r="X380" s="10">
        <f t="shared" si="181"/>
        <v>1</v>
      </c>
      <c r="Y380" s="10">
        <f t="shared" si="182"/>
        <v>0.5</v>
      </c>
      <c r="Z380" s="10">
        <f t="shared" si="183"/>
        <v>1</v>
      </c>
      <c r="AA380" s="10" t="str">
        <f t="shared" si="184"/>
        <v/>
      </c>
      <c r="AB380" s="10" t="str">
        <f t="shared" si="185"/>
        <v/>
      </c>
      <c r="AC380" s="10" t="str">
        <f t="shared" si="186"/>
        <v/>
      </c>
      <c r="AD380" s="10" t="str">
        <f t="shared" si="187"/>
        <v/>
      </c>
      <c r="AE380" s="10" t="str">
        <f t="shared" si="188"/>
        <v/>
      </c>
      <c r="AF380" s="10" t="str">
        <f t="shared" si="189"/>
        <v/>
      </c>
      <c r="AG380" s="10" t="str">
        <f t="shared" si="190"/>
        <v/>
      </c>
      <c r="AH380" s="10" t="str">
        <f t="shared" si="191"/>
        <v/>
      </c>
      <c r="AI380" s="10">
        <f>IF(OR(S380="",'4_BENCHMARK'!$C$4=""),"",ABS(S380-'4_BENCHMARK'!$C$4))</f>
        <v>0</v>
      </c>
      <c r="AJ380" s="10">
        <f>IF(OR(T380="",'4_BENCHMARK'!$C$5=""),"",ABS(T380-'4_BENCHMARK'!$C$5))</f>
        <v>0</v>
      </c>
      <c r="AK380" s="10">
        <f>IF(OR(U380="",'4_BENCHMARK'!$C$6=""),"",ABS(U380-'4_BENCHMARK'!$C$6))</f>
        <v>0.25</v>
      </c>
      <c r="AL380" s="10">
        <f>IF(OR(V380="",'4_BENCHMARK'!$C$7=""),"",ABS(V380-'4_BENCHMARK'!$C$7))</f>
        <v>0.25</v>
      </c>
      <c r="AM380" s="10">
        <f>IF(OR(W380="",'4_BENCHMARK'!$C$8=""),"",ABS(W380-'4_BENCHMARK'!$C$8))</f>
        <v>1</v>
      </c>
      <c r="AN380" s="10">
        <f>IF(OR(X380="",'4_BENCHMARK'!$C$9=""),"",ABS(X380-'4_BENCHMARK'!$C$9))</f>
        <v>1</v>
      </c>
      <c r="AO380" s="10">
        <f>IF(OR(Y380="",'4_BENCHMARK'!$C$10=""),"",ABS(Y380-'4_BENCHMARK'!$C$10))</f>
        <v>0</v>
      </c>
      <c r="AP380" s="10">
        <f>IF(OR(Z380="",'4_BENCHMARK'!$C$11=""),"",ABS(Z380-'4_BENCHMARK'!$C$11))</f>
        <v>0</v>
      </c>
      <c r="AQ380" s="13">
        <f t="shared" si="192"/>
        <v>0.6875</v>
      </c>
      <c r="AR380" s="10"/>
      <c r="AS380" s="36" t="s">
        <v>141</v>
      </c>
      <c r="AT380" s="13">
        <f t="shared" si="193"/>
        <v>0.916666666666667</v>
      </c>
      <c r="AU380" s="1" t="str">
        <f t="shared" si="194"/>
        <v/>
      </c>
      <c r="AV380" s="1" t="str">
        <f t="shared" si="195"/>
        <v/>
      </c>
      <c r="AW380" s="1" t="str">
        <f t="shared" si="196"/>
        <v/>
      </c>
      <c r="AX380" s="1" t="str">
        <f t="shared" si="197"/>
        <v/>
      </c>
      <c r="AY380" s="1" t="str">
        <f t="shared" si="198"/>
        <v/>
      </c>
      <c r="AZ380" s="1" t="str">
        <f t="shared" si="199"/>
        <v/>
      </c>
      <c r="BA380" s="1" t="str">
        <f t="shared" si="200"/>
        <v/>
      </c>
      <c r="BB380" s="1" t="str">
        <f t="shared" si="201"/>
        <v/>
      </c>
      <c r="BC380" s="1">
        <f t="shared" si="202"/>
        <v>5</v>
      </c>
      <c r="BD380" s="1">
        <f t="shared" si="203"/>
        <v>5</v>
      </c>
      <c r="BE380" s="1">
        <f t="shared" si="204"/>
        <v>4</v>
      </c>
      <c r="BF380" s="1">
        <f t="shared" si="205"/>
        <v>4</v>
      </c>
      <c r="BG380" s="1">
        <f t="shared" si="206"/>
        <v>5</v>
      </c>
      <c r="BH380" s="1">
        <f t="shared" si="207"/>
        <v>5</v>
      </c>
      <c r="BI380" s="1">
        <f t="shared" si="208"/>
        <v>3</v>
      </c>
      <c r="BJ380" s="1">
        <f t="shared" si="209"/>
        <v>5</v>
      </c>
    </row>
    <row r="381" ht="14.25" customHeight="1" spans="1:62">
      <c r="A381" s="10">
        <v>377</v>
      </c>
      <c r="B381" s="36" t="s">
        <v>1300</v>
      </c>
      <c r="C381" s="10">
        <v>1970</v>
      </c>
      <c r="D381" s="10">
        <f t="shared" si="211"/>
        <v>1970</v>
      </c>
      <c r="E381" s="36" t="s">
        <v>1301</v>
      </c>
      <c r="F381" s="35" t="s">
        <v>1302</v>
      </c>
      <c r="G381" s="36" t="s">
        <v>1303</v>
      </c>
      <c r="H381" s="10" t="s">
        <v>140</v>
      </c>
      <c r="I381" s="10" t="s">
        <v>140</v>
      </c>
      <c r="J381" s="36" t="s">
        <v>807</v>
      </c>
      <c r="K381" s="10">
        <v>5</v>
      </c>
      <c r="L381" s="10">
        <v>5</v>
      </c>
      <c r="M381" s="10">
        <v>5</v>
      </c>
      <c r="N381" s="10">
        <v>5</v>
      </c>
      <c r="O381" s="10">
        <v>5</v>
      </c>
      <c r="P381" s="10">
        <v>5</v>
      </c>
      <c r="Q381" s="10">
        <v>2</v>
      </c>
      <c r="R381" s="10">
        <v>5</v>
      </c>
      <c r="S381" s="10">
        <f t="shared" si="176"/>
        <v>1</v>
      </c>
      <c r="T381" s="10">
        <f t="shared" si="177"/>
        <v>1</v>
      </c>
      <c r="U381" s="10">
        <f t="shared" si="178"/>
        <v>1</v>
      </c>
      <c r="V381" s="10">
        <f t="shared" si="179"/>
        <v>1</v>
      </c>
      <c r="W381" s="10">
        <f t="shared" si="180"/>
        <v>1</v>
      </c>
      <c r="X381" s="10">
        <f t="shared" si="181"/>
        <v>1</v>
      </c>
      <c r="Y381" s="10">
        <f t="shared" si="182"/>
        <v>0.25</v>
      </c>
      <c r="Z381" s="10">
        <f t="shared" si="183"/>
        <v>1</v>
      </c>
      <c r="AA381" s="10" t="str">
        <f t="shared" si="184"/>
        <v/>
      </c>
      <c r="AB381" s="10" t="str">
        <f t="shared" si="185"/>
        <v/>
      </c>
      <c r="AC381" s="10" t="str">
        <f t="shared" si="186"/>
        <v/>
      </c>
      <c r="AD381" s="10" t="str">
        <f t="shared" si="187"/>
        <v/>
      </c>
      <c r="AE381" s="10" t="str">
        <f t="shared" si="188"/>
        <v/>
      </c>
      <c r="AF381" s="10" t="str">
        <f t="shared" si="189"/>
        <v/>
      </c>
      <c r="AG381" s="10" t="str">
        <f t="shared" si="190"/>
        <v/>
      </c>
      <c r="AH381" s="10" t="str">
        <f t="shared" si="191"/>
        <v/>
      </c>
      <c r="AI381" s="10">
        <f>IF(OR(S381="",'4_BENCHMARK'!$C$4=""),"",ABS(S381-'4_BENCHMARK'!$C$4))</f>
        <v>0</v>
      </c>
      <c r="AJ381" s="10">
        <f>IF(OR(T381="",'4_BENCHMARK'!$C$5=""),"",ABS(T381-'4_BENCHMARK'!$C$5))</f>
        <v>0</v>
      </c>
      <c r="AK381" s="10">
        <f>IF(OR(U381="",'4_BENCHMARK'!$C$6=""),"",ABS(U381-'4_BENCHMARK'!$C$6))</f>
        <v>0</v>
      </c>
      <c r="AL381" s="10">
        <f>IF(OR(V381="",'4_BENCHMARK'!$C$7=""),"",ABS(V381-'4_BENCHMARK'!$C$7))</f>
        <v>0</v>
      </c>
      <c r="AM381" s="10">
        <f>IF(OR(W381="",'4_BENCHMARK'!$C$8=""),"",ABS(W381-'4_BENCHMARK'!$C$8))</f>
        <v>1</v>
      </c>
      <c r="AN381" s="10">
        <f>IF(OR(X381="",'4_BENCHMARK'!$C$9=""),"",ABS(X381-'4_BENCHMARK'!$C$9))</f>
        <v>1</v>
      </c>
      <c r="AO381" s="10">
        <f>IF(OR(Y381="",'4_BENCHMARK'!$C$10=""),"",ABS(Y381-'4_BENCHMARK'!$C$10))</f>
        <v>0.25</v>
      </c>
      <c r="AP381" s="10">
        <f>IF(OR(Z381="",'4_BENCHMARK'!$C$11=""),"",ABS(Z381-'4_BENCHMARK'!$C$11))</f>
        <v>0</v>
      </c>
      <c r="AQ381" s="13">
        <f t="shared" si="192"/>
        <v>0.71875</v>
      </c>
      <c r="AR381" s="10" t="s">
        <v>140</v>
      </c>
      <c r="AS381" s="36" t="s">
        <v>145</v>
      </c>
      <c r="AT381" s="13">
        <f t="shared" si="193"/>
        <v>0.958333333333333</v>
      </c>
      <c r="AU381" s="1" t="str">
        <f t="shared" si="194"/>
        <v/>
      </c>
      <c r="AV381" s="1" t="str">
        <f t="shared" si="195"/>
        <v/>
      </c>
      <c r="AW381" s="1" t="str">
        <f t="shared" si="196"/>
        <v/>
      </c>
      <c r="AX381" s="1" t="str">
        <f t="shared" si="197"/>
        <v/>
      </c>
      <c r="AY381" s="1" t="str">
        <f t="shared" si="198"/>
        <v/>
      </c>
      <c r="AZ381" s="1" t="str">
        <f t="shared" si="199"/>
        <v/>
      </c>
      <c r="BA381" s="1" t="str">
        <f t="shared" si="200"/>
        <v/>
      </c>
      <c r="BB381" s="1" t="str">
        <f t="shared" si="201"/>
        <v/>
      </c>
      <c r="BC381" s="1" t="str">
        <f t="shared" si="202"/>
        <v/>
      </c>
      <c r="BD381" s="1" t="str">
        <f t="shared" si="203"/>
        <v/>
      </c>
      <c r="BE381" s="1" t="str">
        <f t="shared" si="204"/>
        <v/>
      </c>
      <c r="BF381" s="1" t="str">
        <f t="shared" si="205"/>
        <v/>
      </c>
      <c r="BG381" s="1" t="str">
        <f t="shared" si="206"/>
        <v/>
      </c>
      <c r="BH381" s="1" t="str">
        <f t="shared" si="207"/>
        <v/>
      </c>
      <c r="BI381" s="1" t="str">
        <f t="shared" si="208"/>
        <v/>
      </c>
      <c r="BJ381" s="1" t="str">
        <f t="shared" si="209"/>
        <v/>
      </c>
    </row>
    <row r="382" ht="14.25" customHeight="1" spans="1:62">
      <c r="A382" s="10">
        <v>378</v>
      </c>
      <c r="B382" s="36" t="s">
        <v>1304</v>
      </c>
      <c r="C382" s="10">
        <v>1978</v>
      </c>
      <c r="D382" s="10">
        <f t="shared" si="211"/>
        <v>1970</v>
      </c>
      <c r="E382" s="36" t="s">
        <v>782</v>
      </c>
      <c r="F382" s="35" t="s">
        <v>1305</v>
      </c>
      <c r="G382" s="36" t="s">
        <v>1306</v>
      </c>
      <c r="H382" s="10" t="s">
        <v>139</v>
      </c>
      <c r="I382" s="10" t="s">
        <v>140</v>
      </c>
      <c r="J382" s="10"/>
      <c r="K382" s="10">
        <v>5</v>
      </c>
      <c r="L382" s="10">
        <v>5</v>
      </c>
      <c r="M382" s="10">
        <v>5</v>
      </c>
      <c r="N382" s="10">
        <v>5</v>
      </c>
      <c r="O382" s="10">
        <v>5</v>
      </c>
      <c r="P382" s="10">
        <v>5</v>
      </c>
      <c r="Q382" s="10">
        <v>3</v>
      </c>
      <c r="R382" s="10">
        <v>5</v>
      </c>
      <c r="S382" s="10">
        <f t="shared" si="176"/>
        <v>1</v>
      </c>
      <c r="T382" s="10">
        <f t="shared" si="177"/>
        <v>1</v>
      </c>
      <c r="U382" s="10">
        <f t="shared" si="178"/>
        <v>1</v>
      </c>
      <c r="V382" s="10">
        <f t="shared" si="179"/>
        <v>1</v>
      </c>
      <c r="W382" s="10">
        <f t="shared" si="180"/>
        <v>1</v>
      </c>
      <c r="X382" s="10">
        <f t="shared" si="181"/>
        <v>1</v>
      </c>
      <c r="Y382" s="10">
        <f t="shared" si="182"/>
        <v>0.5</v>
      </c>
      <c r="Z382" s="10">
        <f t="shared" si="183"/>
        <v>1</v>
      </c>
      <c r="AA382" s="10" t="str">
        <f t="shared" si="184"/>
        <v/>
      </c>
      <c r="AB382" s="10" t="str">
        <f t="shared" si="185"/>
        <v/>
      </c>
      <c r="AC382" s="10" t="str">
        <f t="shared" si="186"/>
        <v/>
      </c>
      <c r="AD382" s="10" t="str">
        <f t="shared" si="187"/>
        <v/>
      </c>
      <c r="AE382" s="10" t="str">
        <f t="shared" si="188"/>
        <v/>
      </c>
      <c r="AF382" s="10" t="str">
        <f t="shared" si="189"/>
        <v/>
      </c>
      <c r="AG382" s="10" t="str">
        <f t="shared" si="190"/>
        <v/>
      </c>
      <c r="AH382" s="10" t="str">
        <f t="shared" si="191"/>
        <v/>
      </c>
      <c r="AI382" s="10">
        <f>IF(OR(S382="",'4_BENCHMARK'!$C$4=""),"",ABS(S382-'4_BENCHMARK'!$C$4))</f>
        <v>0</v>
      </c>
      <c r="AJ382" s="10">
        <f>IF(OR(T382="",'4_BENCHMARK'!$C$5=""),"",ABS(T382-'4_BENCHMARK'!$C$5))</f>
        <v>0</v>
      </c>
      <c r="AK382" s="10">
        <f>IF(OR(U382="",'4_BENCHMARK'!$C$6=""),"",ABS(U382-'4_BENCHMARK'!$C$6))</f>
        <v>0</v>
      </c>
      <c r="AL382" s="10">
        <f>IF(OR(V382="",'4_BENCHMARK'!$C$7=""),"",ABS(V382-'4_BENCHMARK'!$C$7))</f>
        <v>0</v>
      </c>
      <c r="AM382" s="10">
        <f>IF(OR(W382="",'4_BENCHMARK'!$C$8=""),"",ABS(W382-'4_BENCHMARK'!$C$8))</f>
        <v>1</v>
      </c>
      <c r="AN382" s="10">
        <f>IF(OR(X382="",'4_BENCHMARK'!$C$9=""),"",ABS(X382-'4_BENCHMARK'!$C$9))</f>
        <v>1</v>
      </c>
      <c r="AO382" s="10">
        <f>IF(OR(Y382="",'4_BENCHMARK'!$C$10=""),"",ABS(Y382-'4_BENCHMARK'!$C$10))</f>
        <v>0</v>
      </c>
      <c r="AP382" s="10">
        <f>IF(OR(Z382="",'4_BENCHMARK'!$C$11=""),"",ABS(Z382-'4_BENCHMARK'!$C$11))</f>
        <v>0</v>
      </c>
      <c r="AQ382" s="13">
        <f t="shared" si="192"/>
        <v>0.75</v>
      </c>
      <c r="AR382" s="10"/>
      <c r="AS382" s="36" t="s">
        <v>141</v>
      </c>
      <c r="AT382" s="13">
        <f t="shared" si="193"/>
        <v>1</v>
      </c>
      <c r="AU382" s="1" t="str">
        <f t="shared" si="194"/>
        <v/>
      </c>
      <c r="AV382" s="1" t="str">
        <f t="shared" si="195"/>
        <v/>
      </c>
      <c r="AW382" s="1" t="str">
        <f t="shared" si="196"/>
        <v/>
      </c>
      <c r="AX382" s="1" t="str">
        <f t="shared" si="197"/>
        <v/>
      </c>
      <c r="AY382" s="1" t="str">
        <f t="shared" si="198"/>
        <v/>
      </c>
      <c r="AZ382" s="1" t="str">
        <f t="shared" si="199"/>
        <v/>
      </c>
      <c r="BA382" s="1" t="str">
        <f t="shared" si="200"/>
        <v/>
      </c>
      <c r="BB382" s="1" t="str">
        <f t="shared" si="201"/>
        <v/>
      </c>
      <c r="BC382" s="1" t="str">
        <f t="shared" si="202"/>
        <v/>
      </c>
      <c r="BD382" s="1" t="str">
        <f t="shared" si="203"/>
        <v/>
      </c>
      <c r="BE382" s="1" t="str">
        <f t="shared" si="204"/>
        <v/>
      </c>
      <c r="BF382" s="1" t="str">
        <f t="shared" si="205"/>
        <v/>
      </c>
      <c r="BG382" s="1" t="str">
        <f t="shared" si="206"/>
        <v/>
      </c>
      <c r="BH382" s="1" t="str">
        <f t="shared" si="207"/>
        <v/>
      </c>
      <c r="BI382" s="1" t="str">
        <f t="shared" si="208"/>
        <v/>
      </c>
      <c r="BJ382" s="1" t="str">
        <f t="shared" si="209"/>
        <v/>
      </c>
    </row>
    <row r="383" ht="14.25" customHeight="1" spans="1:62">
      <c r="A383" s="10">
        <v>379</v>
      </c>
      <c r="B383" s="36" t="s">
        <v>1307</v>
      </c>
      <c r="C383" s="10">
        <v>1970</v>
      </c>
      <c r="D383" s="10">
        <f t="shared" si="211"/>
        <v>1970</v>
      </c>
      <c r="E383" s="36" t="s">
        <v>801</v>
      </c>
      <c r="F383" s="35" t="s">
        <v>1308</v>
      </c>
      <c r="G383" s="36" t="s">
        <v>1309</v>
      </c>
      <c r="H383" s="10" t="s">
        <v>139</v>
      </c>
      <c r="I383" s="10" t="s">
        <v>140</v>
      </c>
      <c r="J383" s="36" t="s">
        <v>470</v>
      </c>
      <c r="K383" s="10">
        <v>5</v>
      </c>
      <c r="L383" s="10">
        <v>5</v>
      </c>
      <c r="M383" s="10">
        <v>5</v>
      </c>
      <c r="N383" s="10">
        <v>5</v>
      </c>
      <c r="O383" s="10">
        <v>5</v>
      </c>
      <c r="P383" s="10">
        <v>5</v>
      </c>
      <c r="Q383" s="10">
        <v>2</v>
      </c>
      <c r="R383" s="10">
        <v>5</v>
      </c>
      <c r="S383" s="10">
        <f t="shared" si="176"/>
        <v>1</v>
      </c>
      <c r="T383" s="10">
        <f t="shared" si="177"/>
        <v>1</v>
      </c>
      <c r="U383" s="10">
        <f t="shared" si="178"/>
        <v>1</v>
      </c>
      <c r="V383" s="10">
        <f t="shared" si="179"/>
        <v>1</v>
      </c>
      <c r="W383" s="10">
        <f t="shared" si="180"/>
        <v>1</v>
      </c>
      <c r="X383" s="10">
        <f t="shared" si="181"/>
        <v>1</v>
      </c>
      <c r="Y383" s="10">
        <f t="shared" si="182"/>
        <v>0.25</v>
      </c>
      <c r="Z383" s="10">
        <f t="shared" si="183"/>
        <v>1</v>
      </c>
      <c r="AA383" s="10" t="str">
        <f t="shared" si="184"/>
        <v/>
      </c>
      <c r="AB383" s="10" t="str">
        <f t="shared" si="185"/>
        <v/>
      </c>
      <c r="AC383" s="10" t="str">
        <f t="shared" si="186"/>
        <v/>
      </c>
      <c r="AD383" s="10" t="str">
        <f t="shared" si="187"/>
        <v/>
      </c>
      <c r="AE383" s="10" t="str">
        <f t="shared" si="188"/>
        <v/>
      </c>
      <c r="AF383" s="10" t="str">
        <f t="shared" si="189"/>
        <v/>
      </c>
      <c r="AG383" s="10" t="str">
        <f t="shared" si="190"/>
        <v/>
      </c>
      <c r="AH383" s="10" t="str">
        <f t="shared" si="191"/>
        <v/>
      </c>
      <c r="AI383" s="10">
        <f>IF(OR(S383="",'4_BENCHMARK'!$C$4=""),"",ABS(S383-'4_BENCHMARK'!$C$4))</f>
        <v>0</v>
      </c>
      <c r="AJ383" s="10">
        <f>IF(OR(T383="",'4_BENCHMARK'!$C$5=""),"",ABS(T383-'4_BENCHMARK'!$C$5))</f>
        <v>0</v>
      </c>
      <c r="AK383" s="10">
        <f>IF(OR(U383="",'4_BENCHMARK'!$C$6=""),"",ABS(U383-'4_BENCHMARK'!$C$6))</f>
        <v>0</v>
      </c>
      <c r="AL383" s="10">
        <f>IF(OR(V383="",'4_BENCHMARK'!$C$7=""),"",ABS(V383-'4_BENCHMARK'!$C$7))</f>
        <v>0</v>
      </c>
      <c r="AM383" s="10">
        <f>IF(OR(W383="",'4_BENCHMARK'!$C$8=""),"",ABS(W383-'4_BENCHMARK'!$C$8))</f>
        <v>1</v>
      </c>
      <c r="AN383" s="10">
        <f>IF(OR(X383="",'4_BENCHMARK'!$C$9=""),"",ABS(X383-'4_BENCHMARK'!$C$9))</f>
        <v>1</v>
      </c>
      <c r="AO383" s="10">
        <f>IF(OR(Y383="",'4_BENCHMARK'!$C$10=""),"",ABS(Y383-'4_BENCHMARK'!$C$10))</f>
        <v>0.25</v>
      </c>
      <c r="AP383" s="10">
        <f>IF(OR(Z383="",'4_BENCHMARK'!$C$11=""),"",ABS(Z383-'4_BENCHMARK'!$C$11))</f>
        <v>0</v>
      </c>
      <c r="AQ383" s="13">
        <f t="shared" si="192"/>
        <v>0.71875</v>
      </c>
      <c r="AR383" s="10"/>
      <c r="AS383" s="36" t="s">
        <v>141</v>
      </c>
      <c r="AT383" s="13">
        <f t="shared" si="193"/>
        <v>0.958333333333333</v>
      </c>
      <c r="AU383" s="1" t="str">
        <f t="shared" si="194"/>
        <v/>
      </c>
      <c r="AV383" s="1" t="str">
        <f t="shared" si="195"/>
        <v/>
      </c>
      <c r="AW383" s="1" t="str">
        <f t="shared" si="196"/>
        <v/>
      </c>
      <c r="AX383" s="1" t="str">
        <f t="shared" si="197"/>
        <v/>
      </c>
      <c r="AY383" s="1" t="str">
        <f t="shared" si="198"/>
        <v/>
      </c>
      <c r="AZ383" s="1" t="str">
        <f t="shared" si="199"/>
        <v/>
      </c>
      <c r="BA383" s="1" t="str">
        <f t="shared" si="200"/>
        <v/>
      </c>
      <c r="BB383" s="1" t="str">
        <f t="shared" si="201"/>
        <v/>
      </c>
      <c r="BC383" s="1" t="str">
        <f t="shared" si="202"/>
        <v/>
      </c>
      <c r="BD383" s="1" t="str">
        <f t="shared" si="203"/>
        <v/>
      </c>
      <c r="BE383" s="1" t="str">
        <f t="shared" si="204"/>
        <v/>
      </c>
      <c r="BF383" s="1" t="str">
        <f t="shared" si="205"/>
        <v/>
      </c>
      <c r="BG383" s="1" t="str">
        <f t="shared" si="206"/>
        <v/>
      </c>
      <c r="BH383" s="1" t="str">
        <f t="shared" si="207"/>
        <v/>
      </c>
      <c r="BI383" s="1" t="str">
        <f t="shared" si="208"/>
        <v/>
      </c>
      <c r="BJ383" s="1" t="str">
        <f t="shared" si="209"/>
        <v/>
      </c>
    </row>
    <row r="384" ht="14.25" customHeight="1" spans="1:62">
      <c r="A384" s="10">
        <v>380</v>
      </c>
      <c r="B384" s="36" t="s">
        <v>1310</v>
      </c>
      <c r="C384" s="10">
        <v>1970</v>
      </c>
      <c r="D384" s="10">
        <f t="shared" si="211"/>
        <v>1970</v>
      </c>
      <c r="E384" s="36" t="s">
        <v>801</v>
      </c>
      <c r="F384" s="35" t="s">
        <v>1311</v>
      </c>
      <c r="G384" s="36" t="s">
        <v>1312</v>
      </c>
      <c r="H384" s="10" t="s">
        <v>140</v>
      </c>
      <c r="I384" s="10" t="s">
        <v>140</v>
      </c>
      <c r="J384" s="36" t="s">
        <v>807</v>
      </c>
      <c r="K384" s="10">
        <v>4</v>
      </c>
      <c r="L384" s="10">
        <v>4</v>
      </c>
      <c r="M384" s="10">
        <v>4</v>
      </c>
      <c r="N384" s="10">
        <v>5</v>
      </c>
      <c r="O384" s="10">
        <v>5</v>
      </c>
      <c r="P384" s="10">
        <v>5</v>
      </c>
      <c r="Q384" s="10">
        <v>2</v>
      </c>
      <c r="R384" s="10">
        <v>5</v>
      </c>
      <c r="S384" s="10">
        <f t="shared" si="176"/>
        <v>0.75</v>
      </c>
      <c r="T384" s="10">
        <f t="shared" si="177"/>
        <v>0.75</v>
      </c>
      <c r="U384" s="10">
        <f t="shared" si="178"/>
        <v>0.75</v>
      </c>
      <c r="V384" s="10">
        <f t="shared" si="179"/>
        <v>1</v>
      </c>
      <c r="W384" s="10">
        <f t="shared" si="180"/>
        <v>1</v>
      </c>
      <c r="X384" s="10">
        <f t="shared" si="181"/>
        <v>1</v>
      </c>
      <c r="Y384" s="10">
        <f t="shared" si="182"/>
        <v>0.25</v>
      </c>
      <c r="Z384" s="10">
        <f t="shared" si="183"/>
        <v>1</v>
      </c>
      <c r="AA384" s="10" t="str">
        <f t="shared" si="184"/>
        <v/>
      </c>
      <c r="AB384" s="10" t="str">
        <f t="shared" si="185"/>
        <v/>
      </c>
      <c r="AC384" s="10" t="str">
        <f t="shared" si="186"/>
        <v/>
      </c>
      <c r="AD384" s="10" t="str">
        <f t="shared" si="187"/>
        <v/>
      </c>
      <c r="AE384" s="10" t="str">
        <f t="shared" si="188"/>
        <v/>
      </c>
      <c r="AF384" s="10" t="str">
        <f t="shared" si="189"/>
        <v/>
      </c>
      <c r="AG384" s="10" t="str">
        <f t="shared" si="190"/>
        <v/>
      </c>
      <c r="AH384" s="10" t="str">
        <f t="shared" si="191"/>
        <v/>
      </c>
      <c r="AI384" s="10">
        <f>IF(OR(S384="",'4_BENCHMARK'!$C$4=""),"",ABS(S384-'4_BENCHMARK'!$C$4))</f>
        <v>0.25</v>
      </c>
      <c r="AJ384" s="10">
        <f>IF(OR(T384="",'4_BENCHMARK'!$C$5=""),"",ABS(T384-'4_BENCHMARK'!$C$5))</f>
        <v>0.25</v>
      </c>
      <c r="AK384" s="10">
        <f>IF(OR(U384="",'4_BENCHMARK'!$C$6=""),"",ABS(U384-'4_BENCHMARK'!$C$6))</f>
        <v>0.25</v>
      </c>
      <c r="AL384" s="10">
        <f>IF(OR(V384="",'4_BENCHMARK'!$C$7=""),"",ABS(V384-'4_BENCHMARK'!$C$7))</f>
        <v>0</v>
      </c>
      <c r="AM384" s="10">
        <f>IF(OR(W384="",'4_BENCHMARK'!$C$8=""),"",ABS(W384-'4_BENCHMARK'!$C$8))</f>
        <v>1</v>
      </c>
      <c r="AN384" s="10">
        <f>IF(OR(X384="",'4_BENCHMARK'!$C$9=""),"",ABS(X384-'4_BENCHMARK'!$C$9))</f>
        <v>1</v>
      </c>
      <c r="AO384" s="10">
        <f>IF(OR(Y384="",'4_BENCHMARK'!$C$10=""),"",ABS(Y384-'4_BENCHMARK'!$C$10))</f>
        <v>0.25</v>
      </c>
      <c r="AP384" s="10">
        <f>IF(OR(Z384="",'4_BENCHMARK'!$C$11=""),"",ABS(Z384-'4_BENCHMARK'!$C$11))</f>
        <v>0</v>
      </c>
      <c r="AQ384" s="13">
        <f t="shared" si="192"/>
        <v>0.625</v>
      </c>
      <c r="AR384" s="10"/>
      <c r="AS384" s="36" t="s">
        <v>141</v>
      </c>
      <c r="AT384" s="13">
        <f t="shared" si="193"/>
        <v>0.833333333333333</v>
      </c>
      <c r="AU384" s="1" t="str">
        <f t="shared" si="194"/>
        <v/>
      </c>
      <c r="AV384" s="1" t="str">
        <f t="shared" si="195"/>
        <v/>
      </c>
      <c r="AW384" s="1" t="str">
        <f t="shared" si="196"/>
        <v/>
      </c>
      <c r="AX384" s="1" t="str">
        <f t="shared" si="197"/>
        <v/>
      </c>
      <c r="AY384" s="1" t="str">
        <f t="shared" si="198"/>
        <v/>
      </c>
      <c r="AZ384" s="1" t="str">
        <f t="shared" si="199"/>
        <v/>
      </c>
      <c r="BA384" s="1" t="str">
        <f t="shared" si="200"/>
        <v/>
      </c>
      <c r="BB384" s="1" t="str">
        <f t="shared" si="201"/>
        <v/>
      </c>
      <c r="BC384" s="1" t="str">
        <f t="shared" si="202"/>
        <v/>
      </c>
      <c r="BD384" s="1" t="str">
        <f t="shared" si="203"/>
        <v/>
      </c>
      <c r="BE384" s="1" t="str">
        <f t="shared" si="204"/>
        <v/>
      </c>
      <c r="BF384" s="1" t="str">
        <f t="shared" si="205"/>
        <v/>
      </c>
      <c r="BG384" s="1" t="str">
        <f t="shared" si="206"/>
        <v/>
      </c>
      <c r="BH384" s="1" t="str">
        <f t="shared" si="207"/>
        <v/>
      </c>
      <c r="BI384" s="1" t="str">
        <f t="shared" si="208"/>
        <v/>
      </c>
      <c r="BJ384" s="1" t="str">
        <f t="shared" si="209"/>
        <v/>
      </c>
    </row>
    <row r="385" ht="14.25" customHeight="1" spans="1:62">
      <c r="A385" s="10">
        <v>381</v>
      </c>
      <c r="B385" s="36" t="s">
        <v>1313</v>
      </c>
      <c r="C385" s="10">
        <v>1990</v>
      </c>
      <c r="D385" s="10">
        <f t="shared" si="211"/>
        <v>1990</v>
      </c>
      <c r="E385" s="36" t="s">
        <v>1314</v>
      </c>
      <c r="F385" s="35" t="s">
        <v>1315</v>
      </c>
      <c r="G385" s="36" t="s">
        <v>1316</v>
      </c>
      <c r="H385" s="10" t="s">
        <v>139</v>
      </c>
      <c r="I385" s="10" t="s">
        <v>140</v>
      </c>
      <c r="J385" s="36" t="s">
        <v>1249</v>
      </c>
      <c r="K385" s="10">
        <v>5</v>
      </c>
      <c r="L385" s="10">
        <v>5</v>
      </c>
      <c r="M385" s="10">
        <v>5</v>
      </c>
      <c r="N385" s="10">
        <v>5</v>
      </c>
      <c r="O385" s="10">
        <v>5</v>
      </c>
      <c r="P385" s="10">
        <v>5</v>
      </c>
      <c r="Q385" s="10">
        <v>3</v>
      </c>
      <c r="R385" s="10">
        <v>5</v>
      </c>
      <c r="S385" s="10">
        <f t="shared" si="176"/>
        <v>1</v>
      </c>
      <c r="T385" s="10">
        <f t="shared" si="177"/>
        <v>1</v>
      </c>
      <c r="U385" s="10">
        <f t="shared" si="178"/>
        <v>1</v>
      </c>
      <c r="V385" s="10">
        <f t="shared" si="179"/>
        <v>1</v>
      </c>
      <c r="W385" s="10">
        <f t="shared" si="180"/>
        <v>1</v>
      </c>
      <c r="X385" s="10">
        <f t="shared" si="181"/>
        <v>1</v>
      </c>
      <c r="Y385" s="10">
        <f t="shared" si="182"/>
        <v>0.5</v>
      </c>
      <c r="Z385" s="10">
        <f t="shared" si="183"/>
        <v>1</v>
      </c>
      <c r="AA385" s="10" t="str">
        <f t="shared" si="184"/>
        <v/>
      </c>
      <c r="AB385" s="10" t="str">
        <f t="shared" si="185"/>
        <v/>
      </c>
      <c r="AC385" s="10" t="str">
        <f t="shared" si="186"/>
        <v/>
      </c>
      <c r="AD385" s="10" t="str">
        <f t="shared" si="187"/>
        <v/>
      </c>
      <c r="AE385" s="10" t="str">
        <f t="shared" si="188"/>
        <v/>
      </c>
      <c r="AF385" s="10" t="str">
        <f t="shared" si="189"/>
        <v/>
      </c>
      <c r="AG385" s="10" t="str">
        <f t="shared" si="190"/>
        <v/>
      </c>
      <c r="AH385" s="10" t="str">
        <f t="shared" si="191"/>
        <v/>
      </c>
      <c r="AI385" s="10">
        <f>IF(OR(S385="",'4_BENCHMARK'!$C$4=""),"",ABS(S385-'4_BENCHMARK'!$C$4))</f>
        <v>0</v>
      </c>
      <c r="AJ385" s="10">
        <f>IF(OR(T385="",'4_BENCHMARK'!$C$5=""),"",ABS(T385-'4_BENCHMARK'!$C$5))</f>
        <v>0</v>
      </c>
      <c r="AK385" s="10">
        <f>IF(OR(U385="",'4_BENCHMARK'!$C$6=""),"",ABS(U385-'4_BENCHMARK'!$C$6))</f>
        <v>0</v>
      </c>
      <c r="AL385" s="10">
        <f>IF(OR(V385="",'4_BENCHMARK'!$C$7=""),"",ABS(V385-'4_BENCHMARK'!$C$7))</f>
        <v>0</v>
      </c>
      <c r="AM385" s="10">
        <f>IF(OR(W385="",'4_BENCHMARK'!$C$8=""),"",ABS(W385-'4_BENCHMARK'!$C$8))</f>
        <v>1</v>
      </c>
      <c r="AN385" s="10">
        <f>IF(OR(X385="",'4_BENCHMARK'!$C$9=""),"",ABS(X385-'4_BENCHMARK'!$C$9))</f>
        <v>1</v>
      </c>
      <c r="AO385" s="10">
        <f>IF(OR(Y385="",'4_BENCHMARK'!$C$10=""),"",ABS(Y385-'4_BENCHMARK'!$C$10))</f>
        <v>0</v>
      </c>
      <c r="AP385" s="10">
        <f>IF(OR(Z385="",'4_BENCHMARK'!$C$11=""),"",ABS(Z385-'4_BENCHMARK'!$C$11))</f>
        <v>0</v>
      </c>
      <c r="AQ385" s="13">
        <f t="shared" si="192"/>
        <v>0.75</v>
      </c>
      <c r="AR385" s="10"/>
      <c r="AS385" s="36" t="s">
        <v>141</v>
      </c>
      <c r="AT385" s="13">
        <f t="shared" si="193"/>
        <v>1</v>
      </c>
      <c r="AU385" s="1" t="str">
        <f t="shared" si="194"/>
        <v/>
      </c>
      <c r="AV385" s="1" t="str">
        <f t="shared" si="195"/>
        <v/>
      </c>
      <c r="AW385" s="1" t="str">
        <f t="shared" si="196"/>
        <v/>
      </c>
      <c r="AX385" s="1" t="str">
        <f t="shared" si="197"/>
        <v/>
      </c>
      <c r="AY385" s="1" t="str">
        <f t="shared" si="198"/>
        <v/>
      </c>
      <c r="AZ385" s="1" t="str">
        <f t="shared" si="199"/>
        <v/>
      </c>
      <c r="BA385" s="1" t="str">
        <f t="shared" si="200"/>
        <v/>
      </c>
      <c r="BB385" s="1" t="str">
        <f t="shared" si="201"/>
        <v/>
      </c>
      <c r="BC385" s="1" t="str">
        <f t="shared" si="202"/>
        <v/>
      </c>
      <c r="BD385" s="1" t="str">
        <f t="shared" si="203"/>
        <v/>
      </c>
      <c r="BE385" s="1" t="str">
        <f t="shared" si="204"/>
        <v/>
      </c>
      <c r="BF385" s="1" t="str">
        <f t="shared" si="205"/>
        <v/>
      </c>
      <c r="BG385" s="1" t="str">
        <f t="shared" si="206"/>
        <v/>
      </c>
      <c r="BH385" s="1" t="str">
        <f t="shared" si="207"/>
        <v/>
      </c>
      <c r="BI385" s="1" t="str">
        <f t="shared" si="208"/>
        <v/>
      </c>
      <c r="BJ385" s="1" t="str">
        <f t="shared" si="209"/>
        <v/>
      </c>
    </row>
    <row r="386" ht="14.25" customHeight="1" spans="1:62">
      <c r="A386" s="10">
        <v>382</v>
      </c>
      <c r="B386" s="36" t="s">
        <v>1317</v>
      </c>
      <c r="C386" s="10">
        <v>1930</v>
      </c>
      <c r="D386" s="10">
        <f t="shared" si="211"/>
        <v>1930</v>
      </c>
      <c r="E386" s="36" t="s">
        <v>1314</v>
      </c>
      <c r="F386" s="35" t="s">
        <v>1318</v>
      </c>
      <c r="G386" s="36" t="s">
        <v>1319</v>
      </c>
      <c r="H386" s="10" t="s">
        <v>139</v>
      </c>
      <c r="I386" s="10" t="s">
        <v>140</v>
      </c>
      <c r="J386" s="36" t="s">
        <v>1320</v>
      </c>
      <c r="K386" s="10">
        <v>5</v>
      </c>
      <c r="L386" s="10">
        <v>5</v>
      </c>
      <c r="M386" s="10">
        <v>5</v>
      </c>
      <c r="N386" s="10">
        <v>5</v>
      </c>
      <c r="O386" s="10">
        <v>1</v>
      </c>
      <c r="P386" s="10">
        <v>1</v>
      </c>
      <c r="Q386" s="10">
        <v>2</v>
      </c>
      <c r="R386" s="10">
        <v>5</v>
      </c>
      <c r="S386" s="10">
        <f t="shared" si="176"/>
        <v>1</v>
      </c>
      <c r="T386" s="10">
        <f t="shared" si="177"/>
        <v>1</v>
      </c>
      <c r="U386" s="10">
        <f t="shared" si="178"/>
        <v>1</v>
      </c>
      <c r="V386" s="10">
        <f t="shared" si="179"/>
        <v>1</v>
      </c>
      <c r="W386" s="10">
        <f t="shared" si="180"/>
        <v>0</v>
      </c>
      <c r="X386" s="10">
        <f t="shared" si="181"/>
        <v>0</v>
      </c>
      <c r="Y386" s="10">
        <f t="shared" si="182"/>
        <v>0.25</v>
      </c>
      <c r="Z386" s="10">
        <f t="shared" si="183"/>
        <v>1</v>
      </c>
      <c r="AA386" s="10">
        <f t="shared" si="184"/>
        <v>1</v>
      </c>
      <c r="AB386" s="10">
        <f t="shared" si="185"/>
        <v>1</v>
      </c>
      <c r="AC386" s="10">
        <f t="shared" si="186"/>
        <v>1</v>
      </c>
      <c r="AD386" s="10">
        <f t="shared" si="187"/>
        <v>1</v>
      </c>
      <c r="AE386" s="10">
        <f t="shared" si="188"/>
        <v>0</v>
      </c>
      <c r="AF386" s="10">
        <f t="shared" si="189"/>
        <v>0</v>
      </c>
      <c r="AG386" s="10">
        <f t="shared" si="190"/>
        <v>0.25</v>
      </c>
      <c r="AH386" s="10">
        <f t="shared" si="191"/>
        <v>1</v>
      </c>
      <c r="AI386" s="10">
        <f>IF(OR(S386="",'4_BENCHMARK'!$C$4=""),"",ABS(S386-'4_BENCHMARK'!$C$4))</f>
        <v>0</v>
      </c>
      <c r="AJ386" s="10">
        <f>IF(OR(T386="",'4_BENCHMARK'!$C$5=""),"",ABS(T386-'4_BENCHMARK'!$C$5))</f>
        <v>0</v>
      </c>
      <c r="AK386" s="10">
        <f>IF(OR(U386="",'4_BENCHMARK'!$C$6=""),"",ABS(U386-'4_BENCHMARK'!$C$6))</f>
        <v>0</v>
      </c>
      <c r="AL386" s="10">
        <f>IF(OR(V386="",'4_BENCHMARK'!$C$7=""),"",ABS(V386-'4_BENCHMARK'!$C$7))</f>
        <v>0</v>
      </c>
      <c r="AM386" s="10">
        <f>IF(OR(W386="",'4_BENCHMARK'!$C$8=""),"",ABS(W386-'4_BENCHMARK'!$C$8))</f>
        <v>0</v>
      </c>
      <c r="AN386" s="10">
        <f>IF(OR(X386="",'4_BENCHMARK'!$C$9=""),"",ABS(X386-'4_BENCHMARK'!$C$9))</f>
        <v>0</v>
      </c>
      <c r="AO386" s="10">
        <f>IF(OR(Y386="",'4_BENCHMARK'!$C$10=""),"",ABS(Y386-'4_BENCHMARK'!$C$10))</f>
        <v>0.25</v>
      </c>
      <c r="AP386" s="10">
        <f>IF(OR(Z386="",'4_BENCHMARK'!$C$11=""),"",ABS(Z386-'4_BENCHMARK'!$C$11))</f>
        <v>0</v>
      </c>
      <c r="AQ386" s="13">
        <f t="shared" si="192"/>
        <v>0.96875</v>
      </c>
      <c r="AR386" s="10"/>
      <c r="AS386" s="36" t="s">
        <v>141</v>
      </c>
      <c r="AT386" s="13">
        <f t="shared" si="193"/>
        <v>0.958333333333333</v>
      </c>
      <c r="AU386" s="1">
        <f t="shared" si="194"/>
        <v>5</v>
      </c>
      <c r="AV386" s="1">
        <f t="shared" si="195"/>
        <v>5</v>
      </c>
      <c r="AW386" s="1">
        <f t="shared" si="196"/>
        <v>5</v>
      </c>
      <c r="AX386" s="1">
        <f t="shared" si="197"/>
        <v>5</v>
      </c>
      <c r="AY386" s="1">
        <f t="shared" si="198"/>
        <v>1</v>
      </c>
      <c r="AZ386" s="1">
        <f t="shared" si="199"/>
        <v>1</v>
      </c>
      <c r="BA386" s="1">
        <f t="shared" si="200"/>
        <v>2</v>
      </c>
      <c r="BB386" s="1">
        <f t="shared" si="201"/>
        <v>5</v>
      </c>
      <c r="BC386" s="1" t="str">
        <f t="shared" si="202"/>
        <v/>
      </c>
      <c r="BD386" s="1" t="str">
        <f t="shared" si="203"/>
        <v/>
      </c>
      <c r="BE386" s="1" t="str">
        <f t="shared" si="204"/>
        <v/>
      </c>
      <c r="BF386" s="1" t="str">
        <f t="shared" si="205"/>
        <v/>
      </c>
      <c r="BG386" s="1" t="str">
        <f t="shared" si="206"/>
        <v/>
      </c>
      <c r="BH386" s="1" t="str">
        <f t="shared" si="207"/>
        <v/>
      </c>
      <c r="BI386" s="1" t="str">
        <f t="shared" si="208"/>
        <v/>
      </c>
      <c r="BJ386" s="1" t="str">
        <f t="shared" si="209"/>
        <v/>
      </c>
    </row>
    <row r="387" ht="14.25" customHeight="1" spans="1:62">
      <c r="A387" s="10">
        <v>383</v>
      </c>
      <c r="B387" s="36" t="s">
        <v>1321</v>
      </c>
      <c r="C387" s="10">
        <v>2005</v>
      </c>
      <c r="D387" s="10">
        <f t="shared" si="211"/>
        <v>2000</v>
      </c>
      <c r="E387" s="36" t="s">
        <v>1314</v>
      </c>
      <c r="F387" s="35" t="s">
        <v>1322</v>
      </c>
      <c r="G387" s="36" t="s">
        <v>1323</v>
      </c>
      <c r="H387" s="10" t="s">
        <v>139</v>
      </c>
      <c r="I387" s="10" t="s">
        <v>140</v>
      </c>
      <c r="J387" s="36" t="s">
        <v>1324</v>
      </c>
      <c r="K387" s="10">
        <v>5</v>
      </c>
      <c r="L387" s="10">
        <v>5</v>
      </c>
      <c r="M387" s="10">
        <v>5</v>
      </c>
      <c r="N387" s="10">
        <v>5</v>
      </c>
      <c r="O387" s="10">
        <v>5</v>
      </c>
      <c r="P387" s="10">
        <v>5</v>
      </c>
      <c r="Q387" s="10">
        <v>2</v>
      </c>
      <c r="R387" s="10">
        <v>5</v>
      </c>
      <c r="S387" s="10">
        <f t="shared" si="176"/>
        <v>1</v>
      </c>
      <c r="T387" s="10">
        <f t="shared" si="177"/>
        <v>1</v>
      </c>
      <c r="U387" s="10">
        <f t="shared" si="178"/>
        <v>1</v>
      </c>
      <c r="V387" s="10">
        <f t="shared" si="179"/>
        <v>1</v>
      </c>
      <c r="W387" s="10">
        <f t="shared" si="180"/>
        <v>1</v>
      </c>
      <c r="X387" s="10">
        <f t="shared" si="181"/>
        <v>1</v>
      </c>
      <c r="Y387" s="10">
        <f t="shared" si="182"/>
        <v>0.25</v>
      </c>
      <c r="Z387" s="10">
        <f t="shared" si="183"/>
        <v>1</v>
      </c>
      <c r="AA387" s="10" t="str">
        <f t="shared" si="184"/>
        <v/>
      </c>
      <c r="AB387" s="10" t="str">
        <f t="shared" si="185"/>
        <v/>
      </c>
      <c r="AC387" s="10" t="str">
        <f t="shared" si="186"/>
        <v/>
      </c>
      <c r="AD387" s="10" t="str">
        <f t="shared" si="187"/>
        <v/>
      </c>
      <c r="AE387" s="10" t="str">
        <f t="shared" si="188"/>
        <v/>
      </c>
      <c r="AF387" s="10" t="str">
        <f t="shared" si="189"/>
        <v/>
      </c>
      <c r="AG387" s="10" t="str">
        <f t="shared" si="190"/>
        <v/>
      </c>
      <c r="AH387" s="10" t="str">
        <f t="shared" si="191"/>
        <v/>
      </c>
      <c r="AI387" s="10">
        <f>IF(OR(S387="",'4_BENCHMARK'!$C$4=""),"",ABS(S387-'4_BENCHMARK'!$C$4))</f>
        <v>0</v>
      </c>
      <c r="AJ387" s="10">
        <f>IF(OR(T387="",'4_BENCHMARK'!$C$5=""),"",ABS(T387-'4_BENCHMARK'!$C$5))</f>
        <v>0</v>
      </c>
      <c r="AK387" s="10">
        <f>IF(OR(U387="",'4_BENCHMARK'!$C$6=""),"",ABS(U387-'4_BENCHMARK'!$C$6))</f>
        <v>0</v>
      </c>
      <c r="AL387" s="10">
        <f>IF(OR(V387="",'4_BENCHMARK'!$C$7=""),"",ABS(V387-'4_BENCHMARK'!$C$7))</f>
        <v>0</v>
      </c>
      <c r="AM387" s="10">
        <f>IF(OR(W387="",'4_BENCHMARK'!$C$8=""),"",ABS(W387-'4_BENCHMARK'!$C$8))</f>
        <v>1</v>
      </c>
      <c r="AN387" s="10">
        <f>IF(OR(X387="",'4_BENCHMARK'!$C$9=""),"",ABS(X387-'4_BENCHMARK'!$C$9))</f>
        <v>1</v>
      </c>
      <c r="AO387" s="10">
        <f>IF(OR(Y387="",'4_BENCHMARK'!$C$10=""),"",ABS(Y387-'4_BENCHMARK'!$C$10))</f>
        <v>0.25</v>
      </c>
      <c r="AP387" s="10">
        <f>IF(OR(Z387="",'4_BENCHMARK'!$C$11=""),"",ABS(Z387-'4_BENCHMARK'!$C$11))</f>
        <v>0</v>
      </c>
      <c r="AQ387" s="13">
        <f t="shared" si="192"/>
        <v>0.71875</v>
      </c>
      <c r="AR387" s="10"/>
      <c r="AS387" s="36" t="s">
        <v>141</v>
      </c>
      <c r="AT387" s="13">
        <f t="shared" si="193"/>
        <v>0.958333333333333</v>
      </c>
      <c r="AU387" s="1" t="str">
        <f t="shared" si="194"/>
        <v/>
      </c>
      <c r="AV387" s="1" t="str">
        <f t="shared" si="195"/>
        <v/>
      </c>
      <c r="AW387" s="1" t="str">
        <f t="shared" si="196"/>
        <v/>
      </c>
      <c r="AX387" s="1" t="str">
        <f t="shared" si="197"/>
        <v/>
      </c>
      <c r="AY387" s="1" t="str">
        <f t="shared" si="198"/>
        <v/>
      </c>
      <c r="AZ387" s="1" t="str">
        <f t="shared" si="199"/>
        <v/>
      </c>
      <c r="BA387" s="1" t="str">
        <f t="shared" si="200"/>
        <v/>
      </c>
      <c r="BB387" s="1" t="str">
        <f t="shared" si="201"/>
        <v/>
      </c>
      <c r="BC387" s="1">
        <f t="shared" si="202"/>
        <v>5</v>
      </c>
      <c r="BD387" s="1">
        <f t="shared" si="203"/>
        <v>5</v>
      </c>
      <c r="BE387" s="1">
        <f t="shared" si="204"/>
        <v>5</v>
      </c>
      <c r="BF387" s="1">
        <f t="shared" si="205"/>
        <v>5</v>
      </c>
      <c r="BG387" s="1">
        <f t="shared" si="206"/>
        <v>5</v>
      </c>
      <c r="BH387" s="1">
        <f t="shared" si="207"/>
        <v>5</v>
      </c>
      <c r="BI387" s="1">
        <f t="shared" si="208"/>
        <v>2</v>
      </c>
      <c r="BJ387" s="1">
        <f t="shared" si="209"/>
        <v>5</v>
      </c>
    </row>
    <row r="388" ht="14.25" customHeight="1" spans="1:62">
      <c r="A388" s="10">
        <v>384</v>
      </c>
      <c r="B388" s="36" t="s">
        <v>1325</v>
      </c>
      <c r="C388" s="10">
        <v>1980</v>
      </c>
      <c r="D388" s="10">
        <f t="shared" si="211"/>
        <v>1980</v>
      </c>
      <c r="E388" s="36" t="s">
        <v>801</v>
      </c>
      <c r="F388" s="35" t="s">
        <v>1326</v>
      </c>
      <c r="G388" s="36" t="s">
        <v>1327</v>
      </c>
      <c r="H388" s="10" t="s">
        <v>140</v>
      </c>
      <c r="I388" s="10" t="s">
        <v>140</v>
      </c>
      <c r="J388" s="36" t="s">
        <v>1146</v>
      </c>
      <c r="K388" s="10">
        <v>3</v>
      </c>
      <c r="L388" s="10">
        <v>4</v>
      </c>
      <c r="M388" s="10">
        <v>4</v>
      </c>
      <c r="N388" s="10">
        <v>5</v>
      </c>
      <c r="O388" s="10">
        <v>4</v>
      </c>
      <c r="P388" s="10">
        <v>5</v>
      </c>
      <c r="Q388" s="10">
        <v>1</v>
      </c>
      <c r="R388" s="10">
        <v>5</v>
      </c>
      <c r="S388" s="10">
        <f t="shared" si="176"/>
        <v>0.5</v>
      </c>
      <c r="T388" s="10">
        <f t="shared" si="177"/>
        <v>0.75</v>
      </c>
      <c r="U388" s="10">
        <f t="shared" si="178"/>
        <v>0.75</v>
      </c>
      <c r="V388" s="10">
        <f t="shared" si="179"/>
        <v>1</v>
      </c>
      <c r="W388" s="10">
        <f t="shared" si="180"/>
        <v>0.75</v>
      </c>
      <c r="X388" s="10">
        <f t="shared" si="181"/>
        <v>1</v>
      </c>
      <c r="Y388" s="10">
        <f t="shared" si="182"/>
        <v>0</v>
      </c>
      <c r="Z388" s="10">
        <f t="shared" si="183"/>
        <v>1</v>
      </c>
      <c r="AA388" s="10" t="str">
        <f t="shared" si="184"/>
        <v/>
      </c>
      <c r="AB388" s="10" t="str">
        <f t="shared" si="185"/>
        <v/>
      </c>
      <c r="AC388" s="10" t="str">
        <f t="shared" si="186"/>
        <v/>
      </c>
      <c r="AD388" s="10" t="str">
        <f t="shared" si="187"/>
        <v/>
      </c>
      <c r="AE388" s="10" t="str">
        <f t="shared" si="188"/>
        <v/>
      </c>
      <c r="AF388" s="10" t="str">
        <f t="shared" si="189"/>
        <v/>
      </c>
      <c r="AG388" s="10" t="str">
        <f t="shared" si="190"/>
        <v/>
      </c>
      <c r="AH388" s="10" t="str">
        <f t="shared" si="191"/>
        <v/>
      </c>
      <c r="AI388" s="10">
        <f>IF(OR(S388="",'4_BENCHMARK'!$C$4=""),"",ABS(S388-'4_BENCHMARK'!$C$4))</f>
        <v>0.5</v>
      </c>
      <c r="AJ388" s="10">
        <f>IF(OR(T388="",'4_BENCHMARK'!$C$5=""),"",ABS(T388-'4_BENCHMARK'!$C$5))</f>
        <v>0.25</v>
      </c>
      <c r="AK388" s="10">
        <f>IF(OR(U388="",'4_BENCHMARK'!$C$6=""),"",ABS(U388-'4_BENCHMARK'!$C$6))</f>
        <v>0.25</v>
      </c>
      <c r="AL388" s="10">
        <f>IF(OR(V388="",'4_BENCHMARK'!$C$7=""),"",ABS(V388-'4_BENCHMARK'!$C$7))</f>
        <v>0</v>
      </c>
      <c r="AM388" s="10">
        <f>IF(OR(W388="",'4_BENCHMARK'!$C$8=""),"",ABS(W388-'4_BENCHMARK'!$C$8))</f>
        <v>0.75</v>
      </c>
      <c r="AN388" s="10">
        <f>IF(OR(X388="",'4_BENCHMARK'!$C$9=""),"",ABS(X388-'4_BENCHMARK'!$C$9))</f>
        <v>1</v>
      </c>
      <c r="AO388" s="10">
        <f>IF(OR(Y388="",'4_BENCHMARK'!$C$10=""),"",ABS(Y388-'4_BENCHMARK'!$C$10))</f>
        <v>0.5</v>
      </c>
      <c r="AP388" s="10">
        <f>IF(OR(Z388="",'4_BENCHMARK'!$C$11=""),"",ABS(Z388-'4_BENCHMARK'!$C$11))</f>
        <v>0</v>
      </c>
      <c r="AQ388" s="13">
        <f t="shared" si="192"/>
        <v>0.59375</v>
      </c>
      <c r="AR388" s="10"/>
      <c r="AS388" s="36" t="s">
        <v>145</v>
      </c>
      <c r="AT388" s="13">
        <f t="shared" si="193"/>
        <v>0.75</v>
      </c>
      <c r="AU388" s="1" t="str">
        <f t="shared" si="194"/>
        <v/>
      </c>
      <c r="AV388" s="1" t="str">
        <f t="shared" si="195"/>
        <v/>
      </c>
      <c r="AW388" s="1" t="str">
        <f t="shared" si="196"/>
        <v/>
      </c>
      <c r="AX388" s="1" t="str">
        <f t="shared" si="197"/>
        <v/>
      </c>
      <c r="AY388" s="1" t="str">
        <f t="shared" si="198"/>
        <v/>
      </c>
      <c r="AZ388" s="1" t="str">
        <f t="shared" si="199"/>
        <v/>
      </c>
      <c r="BA388" s="1" t="str">
        <f t="shared" si="200"/>
        <v/>
      </c>
      <c r="BB388" s="1" t="str">
        <f t="shared" si="201"/>
        <v/>
      </c>
      <c r="BC388" s="1" t="str">
        <f t="shared" si="202"/>
        <v/>
      </c>
      <c r="BD388" s="1" t="str">
        <f t="shared" si="203"/>
        <v/>
      </c>
      <c r="BE388" s="1" t="str">
        <f t="shared" si="204"/>
        <v/>
      </c>
      <c r="BF388" s="1" t="str">
        <f t="shared" si="205"/>
        <v/>
      </c>
      <c r="BG388" s="1" t="str">
        <f t="shared" si="206"/>
        <v/>
      </c>
      <c r="BH388" s="1" t="str">
        <f t="shared" si="207"/>
        <v/>
      </c>
      <c r="BI388" s="1" t="str">
        <f t="shared" si="208"/>
        <v/>
      </c>
      <c r="BJ388" s="1" t="str">
        <f t="shared" si="209"/>
        <v/>
      </c>
    </row>
    <row r="389" ht="14.25" customHeight="1" spans="1:62">
      <c r="A389" s="10">
        <v>385</v>
      </c>
      <c r="B389" s="36" t="s">
        <v>1328</v>
      </c>
      <c r="C389" s="10">
        <v>1990</v>
      </c>
      <c r="D389" s="10">
        <f t="shared" si="211"/>
        <v>1990</v>
      </c>
      <c r="E389" s="36" t="s">
        <v>801</v>
      </c>
      <c r="F389" s="35" t="s">
        <v>1329</v>
      </c>
      <c r="G389" s="36" t="s">
        <v>1330</v>
      </c>
      <c r="H389" s="10" t="s">
        <v>140</v>
      </c>
      <c r="I389" s="10" t="s">
        <v>140</v>
      </c>
      <c r="J389" s="36" t="s">
        <v>762</v>
      </c>
      <c r="K389" s="10">
        <v>3</v>
      </c>
      <c r="L389" s="10">
        <v>4</v>
      </c>
      <c r="M389" s="10">
        <v>4</v>
      </c>
      <c r="N389" s="10">
        <v>5</v>
      </c>
      <c r="O389" s="10">
        <v>1</v>
      </c>
      <c r="P389" s="10">
        <v>1</v>
      </c>
      <c r="Q389" s="10">
        <v>2</v>
      </c>
      <c r="R389" s="10">
        <v>4</v>
      </c>
      <c r="S389" s="10">
        <f t="shared" ref="S389:S452" si="212">IF(K389="","",(K389-1)/4)</f>
        <v>0.5</v>
      </c>
      <c r="T389" s="10">
        <f t="shared" ref="T389:T452" si="213">IF(L389="","",(L389-1)/4)</f>
        <v>0.75</v>
      </c>
      <c r="U389" s="10">
        <f t="shared" ref="U389:U452" si="214">IF(M389="","",(M389-1)/4)</f>
        <v>0.75</v>
      </c>
      <c r="V389" s="10">
        <f t="shared" ref="V389:V452" si="215">IF(N389="","",(N389-1)/4)</f>
        <v>1</v>
      </c>
      <c r="W389" s="10">
        <f t="shared" ref="W389:W452" si="216">IF(O389="","",(O389-1)/4)</f>
        <v>0</v>
      </c>
      <c r="X389" s="10">
        <f t="shared" ref="X389:X452" si="217">IF(P389="","",(P389-1)/4)</f>
        <v>0</v>
      </c>
      <c r="Y389" s="10">
        <f t="shared" ref="Y389:Y452" si="218">IF(Q389="","",(Q389-1)/4)</f>
        <v>0.25</v>
      </c>
      <c r="Z389" s="10">
        <f t="shared" ref="Z389:Z452" si="219">IF(R389="","",(R389-1)/4)</f>
        <v>0.75</v>
      </c>
      <c r="AA389" s="10" t="str">
        <f t="shared" ref="AA389:AA452" si="220">IF(AND(S389&lt;&gt;"",C389&lt;=1949,I389="yes"),S389,"")</f>
        <v/>
      </c>
      <c r="AB389" s="10" t="str">
        <f t="shared" ref="AB389:AB452" si="221">IF(AND(T389&lt;&gt;"",C389&lt;=1949,I389="yes"),T389,"")</f>
        <v/>
      </c>
      <c r="AC389" s="10" t="str">
        <f t="shared" ref="AC389:AC452" si="222">IF(AND(U389&lt;&gt;"",C389&lt;=1949,I389="yes"),U389,"")</f>
        <v/>
      </c>
      <c r="AD389" s="10" t="str">
        <f t="shared" ref="AD389:AD452" si="223">IF(AND(V389&lt;&gt;"",C389&lt;=1949,I389="yes"),V389,"")</f>
        <v/>
      </c>
      <c r="AE389" s="10" t="str">
        <f t="shared" ref="AE389:AE452" si="224">IF(AND(W389&lt;&gt;"",C389&lt;=1949,I389="yes"),W389,"")</f>
        <v/>
      </c>
      <c r="AF389" s="10" t="str">
        <f t="shared" ref="AF389:AF452" si="225">IF(AND(X389&lt;&gt;"",C389&lt;=1949,I389="yes"),X389,"")</f>
        <v/>
      </c>
      <c r="AG389" s="10" t="str">
        <f t="shared" ref="AG389:AG452" si="226">IF(AND(Y389&lt;&gt;"",C389&lt;=1949,I389="yes"),Y389,"")</f>
        <v/>
      </c>
      <c r="AH389" s="10" t="str">
        <f t="shared" ref="AH389:AH452" si="227">IF(AND(Z389&lt;&gt;"",C389&lt;=1949,I389="yes"),Z389,"")</f>
        <v/>
      </c>
      <c r="AI389" s="10">
        <f>IF(OR(S389="",'4_BENCHMARK'!$C$4=""),"",ABS(S389-'4_BENCHMARK'!$C$4))</f>
        <v>0.5</v>
      </c>
      <c r="AJ389" s="10">
        <f>IF(OR(T389="",'4_BENCHMARK'!$C$5=""),"",ABS(T389-'4_BENCHMARK'!$C$5))</f>
        <v>0.25</v>
      </c>
      <c r="AK389" s="10">
        <f>IF(OR(U389="",'4_BENCHMARK'!$C$6=""),"",ABS(U389-'4_BENCHMARK'!$C$6))</f>
        <v>0.25</v>
      </c>
      <c r="AL389" s="10">
        <f>IF(OR(V389="",'4_BENCHMARK'!$C$7=""),"",ABS(V389-'4_BENCHMARK'!$C$7))</f>
        <v>0</v>
      </c>
      <c r="AM389" s="10">
        <f>IF(OR(W389="",'4_BENCHMARK'!$C$8=""),"",ABS(W389-'4_BENCHMARK'!$C$8))</f>
        <v>0</v>
      </c>
      <c r="AN389" s="10">
        <f>IF(OR(X389="",'4_BENCHMARK'!$C$9=""),"",ABS(X389-'4_BENCHMARK'!$C$9))</f>
        <v>0</v>
      </c>
      <c r="AO389" s="10">
        <f>IF(OR(Y389="",'4_BENCHMARK'!$C$10=""),"",ABS(Y389-'4_BENCHMARK'!$C$10))</f>
        <v>0.25</v>
      </c>
      <c r="AP389" s="10">
        <f>IF(OR(Z389="",'4_BENCHMARK'!$C$11=""),"",ABS(Z389-'4_BENCHMARK'!$C$11))</f>
        <v>0.25</v>
      </c>
      <c r="AQ389" s="13">
        <f t="shared" ref="AQ389:AQ452" si="228">IF(COUNT(AI389:AP389)&lt;8,"",1-AVERAGE(AI389:AP389))</f>
        <v>0.8125</v>
      </c>
      <c r="AR389" s="10"/>
      <c r="AS389" s="36" t="s">
        <v>145</v>
      </c>
      <c r="AT389" s="13">
        <f t="shared" ref="AT389:AT452" si="229">IF(COUNT(AI389:AL389,AO389:AP389)&lt;6,"",1-AVERAGE(AI389:AL389,AO389:AP389))</f>
        <v>0.75</v>
      </c>
      <c r="AU389" s="1" t="str">
        <f t="shared" ref="AU389:AU404" si="230">IF(AND($I389="yes",$C389&lt;=1949,K389&lt;&gt;""),K389,"")</f>
        <v/>
      </c>
      <c r="AV389" s="1" t="str">
        <f t="shared" ref="AV389:AV404" si="231">IF(AND($I389="yes",$C389&lt;=1949,L389&lt;&gt;""),L389,"")</f>
        <v/>
      </c>
      <c r="AW389" s="1" t="str">
        <f t="shared" ref="AW389:AW404" si="232">IF(AND($I389="yes",$C389&lt;=1949,M389&lt;&gt;""),M389,"")</f>
        <v/>
      </c>
      <c r="AX389" s="1" t="str">
        <f t="shared" ref="AX389:AX404" si="233">IF(AND($I389="yes",$C389&lt;=1949,N389&lt;&gt;""),N389,"")</f>
        <v/>
      </c>
      <c r="AY389" s="1" t="str">
        <f t="shared" ref="AY389:AY404" si="234">IF(AND($I389="yes",$C389&lt;=1949,O389&lt;&gt;""),O389,"")</f>
        <v/>
      </c>
      <c r="AZ389" s="1" t="str">
        <f t="shared" ref="AZ389:AZ404" si="235">IF(AND($I389="yes",$C389&lt;=1949,P389&lt;&gt;""),P389,"")</f>
        <v/>
      </c>
      <c r="BA389" s="1" t="str">
        <f t="shared" ref="BA389:BA404" si="236">IF(AND($I389="yes",$C389&lt;=1949,Q389&lt;&gt;""),Q389,"")</f>
        <v/>
      </c>
      <c r="BB389" s="1" t="str">
        <f t="shared" ref="BB389:BB404" si="237">IF(AND($I389="yes",$C389&lt;=1949,R389&lt;&gt;""),R389,"")</f>
        <v/>
      </c>
      <c r="BC389" s="1" t="str">
        <f t="shared" ref="BC389:BC404" si="238">IF(AND($I389="yes",$C389&gt;=2000,K389&lt;&gt;""),K389,"")</f>
        <v/>
      </c>
      <c r="BD389" s="1" t="str">
        <f t="shared" ref="BD389:BD404" si="239">IF(AND($I389="yes",$C389&gt;=2000,L389&lt;&gt;""),L389,"")</f>
        <v/>
      </c>
      <c r="BE389" s="1" t="str">
        <f t="shared" ref="BE389:BE404" si="240">IF(AND($I389="yes",$C389&gt;=2000,M389&lt;&gt;""),M389,"")</f>
        <v/>
      </c>
      <c r="BF389" s="1" t="str">
        <f t="shared" ref="BF389:BF404" si="241">IF(AND($I389="yes",$C389&gt;=2000,N389&lt;&gt;""),N389,"")</f>
        <v/>
      </c>
      <c r="BG389" s="1" t="str">
        <f t="shared" ref="BG389:BG404" si="242">IF(AND($I389="yes",$C389&gt;=2000,O389&lt;&gt;""),O389,"")</f>
        <v/>
      </c>
      <c r="BH389" s="1" t="str">
        <f t="shared" ref="BH389:BH404" si="243">IF(AND($I389="yes",$C389&gt;=2000,P389&lt;&gt;""),P389,"")</f>
        <v/>
      </c>
      <c r="BI389" s="1" t="str">
        <f t="shared" ref="BI389:BI404" si="244">IF(AND($I389="yes",$C389&gt;=2000,Q389&lt;&gt;""),Q389,"")</f>
        <v/>
      </c>
      <c r="BJ389" s="1" t="str">
        <f t="shared" ref="BJ389:BJ404" si="245">IF(AND($I389="yes",$C389&gt;=2000,R389&lt;&gt;""),R389,"")</f>
        <v/>
      </c>
    </row>
    <row r="390" ht="14.25" customHeight="1" spans="1:62">
      <c r="A390" s="10">
        <v>386</v>
      </c>
      <c r="B390" s="36" t="s">
        <v>1331</v>
      </c>
      <c r="C390" s="10">
        <v>1999</v>
      </c>
      <c r="D390" s="10">
        <f t="shared" si="211"/>
        <v>1990</v>
      </c>
      <c r="E390" s="36" t="s">
        <v>801</v>
      </c>
      <c r="F390" s="35" t="s">
        <v>1332</v>
      </c>
      <c r="G390" s="36" t="s">
        <v>1333</v>
      </c>
      <c r="H390" s="10" t="s">
        <v>140</v>
      </c>
      <c r="I390" s="10" t="s">
        <v>140</v>
      </c>
      <c r="J390" s="10"/>
      <c r="K390" s="10">
        <v>4</v>
      </c>
      <c r="L390" s="10">
        <v>4</v>
      </c>
      <c r="M390" s="10">
        <v>5</v>
      </c>
      <c r="N390" s="10">
        <v>5</v>
      </c>
      <c r="O390" s="10">
        <v>5</v>
      </c>
      <c r="P390" s="10">
        <v>5</v>
      </c>
      <c r="Q390" s="10">
        <v>1</v>
      </c>
      <c r="R390" s="10">
        <v>5</v>
      </c>
      <c r="S390" s="10">
        <f t="shared" si="212"/>
        <v>0.75</v>
      </c>
      <c r="T390" s="10">
        <f t="shared" si="213"/>
        <v>0.75</v>
      </c>
      <c r="U390" s="10">
        <f t="shared" si="214"/>
        <v>1</v>
      </c>
      <c r="V390" s="10">
        <f t="shared" si="215"/>
        <v>1</v>
      </c>
      <c r="W390" s="10">
        <f t="shared" si="216"/>
        <v>1</v>
      </c>
      <c r="X390" s="10">
        <f t="shared" si="217"/>
        <v>1</v>
      </c>
      <c r="Y390" s="10">
        <f t="shared" si="218"/>
        <v>0</v>
      </c>
      <c r="Z390" s="10">
        <f t="shared" si="219"/>
        <v>1</v>
      </c>
      <c r="AA390" s="10" t="str">
        <f t="shared" si="220"/>
        <v/>
      </c>
      <c r="AB390" s="10" t="str">
        <f t="shared" si="221"/>
        <v/>
      </c>
      <c r="AC390" s="10" t="str">
        <f t="shared" si="222"/>
        <v/>
      </c>
      <c r="AD390" s="10" t="str">
        <f t="shared" si="223"/>
        <v/>
      </c>
      <c r="AE390" s="10" t="str">
        <f t="shared" si="224"/>
        <v/>
      </c>
      <c r="AF390" s="10" t="str">
        <f t="shared" si="225"/>
        <v/>
      </c>
      <c r="AG390" s="10" t="str">
        <f t="shared" si="226"/>
        <v/>
      </c>
      <c r="AH390" s="10" t="str">
        <f t="shared" si="227"/>
        <v/>
      </c>
      <c r="AI390" s="10">
        <f>IF(OR(S390="",'4_BENCHMARK'!$C$4=""),"",ABS(S390-'4_BENCHMARK'!$C$4))</f>
        <v>0.25</v>
      </c>
      <c r="AJ390" s="10">
        <f>IF(OR(T390="",'4_BENCHMARK'!$C$5=""),"",ABS(T390-'4_BENCHMARK'!$C$5))</f>
        <v>0.25</v>
      </c>
      <c r="AK390" s="10">
        <f>IF(OR(U390="",'4_BENCHMARK'!$C$6=""),"",ABS(U390-'4_BENCHMARK'!$C$6))</f>
        <v>0</v>
      </c>
      <c r="AL390" s="10">
        <f>IF(OR(V390="",'4_BENCHMARK'!$C$7=""),"",ABS(V390-'4_BENCHMARK'!$C$7))</f>
        <v>0</v>
      </c>
      <c r="AM390" s="10">
        <f>IF(OR(W390="",'4_BENCHMARK'!$C$8=""),"",ABS(W390-'4_BENCHMARK'!$C$8))</f>
        <v>1</v>
      </c>
      <c r="AN390" s="10">
        <f>IF(OR(X390="",'4_BENCHMARK'!$C$9=""),"",ABS(X390-'4_BENCHMARK'!$C$9))</f>
        <v>1</v>
      </c>
      <c r="AO390" s="10">
        <f>IF(OR(Y390="",'4_BENCHMARK'!$C$10=""),"",ABS(Y390-'4_BENCHMARK'!$C$10))</f>
        <v>0.5</v>
      </c>
      <c r="AP390" s="10">
        <f>IF(OR(Z390="",'4_BENCHMARK'!$C$11=""),"",ABS(Z390-'4_BENCHMARK'!$C$11))</f>
        <v>0</v>
      </c>
      <c r="AQ390" s="13">
        <f t="shared" si="228"/>
        <v>0.625</v>
      </c>
      <c r="AR390" s="10"/>
      <c r="AS390" s="36" t="s">
        <v>145</v>
      </c>
      <c r="AT390" s="13">
        <f t="shared" si="229"/>
        <v>0.833333333333333</v>
      </c>
      <c r="AU390" s="1" t="str">
        <f t="shared" si="230"/>
        <v/>
      </c>
      <c r="AV390" s="1" t="str">
        <f t="shared" si="231"/>
        <v/>
      </c>
      <c r="AW390" s="1" t="str">
        <f t="shared" si="232"/>
        <v/>
      </c>
      <c r="AX390" s="1" t="str">
        <f t="shared" si="233"/>
        <v/>
      </c>
      <c r="AY390" s="1" t="str">
        <f t="shared" si="234"/>
        <v/>
      </c>
      <c r="AZ390" s="1" t="str">
        <f t="shared" si="235"/>
        <v/>
      </c>
      <c r="BA390" s="1" t="str">
        <f t="shared" si="236"/>
        <v/>
      </c>
      <c r="BB390" s="1" t="str">
        <f t="shared" si="237"/>
        <v/>
      </c>
      <c r="BC390" s="1" t="str">
        <f t="shared" si="238"/>
        <v/>
      </c>
      <c r="BD390" s="1" t="str">
        <f t="shared" si="239"/>
        <v/>
      </c>
      <c r="BE390" s="1" t="str">
        <f t="shared" si="240"/>
        <v/>
      </c>
      <c r="BF390" s="1" t="str">
        <f t="shared" si="241"/>
        <v/>
      </c>
      <c r="BG390" s="1" t="str">
        <f t="shared" si="242"/>
        <v/>
      </c>
      <c r="BH390" s="1" t="str">
        <f t="shared" si="243"/>
        <v/>
      </c>
      <c r="BI390" s="1" t="str">
        <f t="shared" si="244"/>
        <v/>
      </c>
      <c r="BJ390" s="1" t="str">
        <f t="shared" si="245"/>
        <v/>
      </c>
    </row>
    <row r="391" ht="14.25" customHeight="1" spans="1:62">
      <c r="A391" s="10">
        <v>387</v>
      </c>
      <c r="B391" s="36" t="s">
        <v>1334</v>
      </c>
      <c r="C391" s="10">
        <v>2000</v>
      </c>
      <c r="D391" s="10">
        <f t="shared" si="211"/>
        <v>2000</v>
      </c>
      <c r="E391" s="36" t="s">
        <v>801</v>
      </c>
      <c r="F391" s="35" t="s">
        <v>1335</v>
      </c>
      <c r="G391" s="36" t="s">
        <v>1336</v>
      </c>
      <c r="H391" s="10" t="s">
        <v>140</v>
      </c>
      <c r="I391" s="10" t="s">
        <v>140</v>
      </c>
      <c r="J391" s="36" t="s">
        <v>1264</v>
      </c>
      <c r="K391" s="10">
        <v>4</v>
      </c>
      <c r="L391" s="10">
        <v>4</v>
      </c>
      <c r="M391" s="10">
        <v>4</v>
      </c>
      <c r="N391" s="10">
        <v>5</v>
      </c>
      <c r="O391" s="10">
        <v>5</v>
      </c>
      <c r="P391" s="10">
        <v>5</v>
      </c>
      <c r="Q391" s="10">
        <v>2</v>
      </c>
      <c r="R391" s="10">
        <v>5</v>
      </c>
      <c r="S391" s="10">
        <f t="shared" si="212"/>
        <v>0.75</v>
      </c>
      <c r="T391" s="10">
        <f t="shared" si="213"/>
        <v>0.75</v>
      </c>
      <c r="U391" s="10">
        <f t="shared" si="214"/>
        <v>0.75</v>
      </c>
      <c r="V391" s="10">
        <f t="shared" si="215"/>
        <v>1</v>
      </c>
      <c r="W391" s="10">
        <f t="shared" si="216"/>
        <v>1</v>
      </c>
      <c r="X391" s="10">
        <f t="shared" si="217"/>
        <v>1</v>
      </c>
      <c r="Y391" s="10">
        <f t="shared" si="218"/>
        <v>0.25</v>
      </c>
      <c r="Z391" s="10">
        <f t="shared" si="219"/>
        <v>1</v>
      </c>
      <c r="AA391" s="10" t="str">
        <f t="shared" si="220"/>
        <v/>
      </c>
      <c r="AB391" s="10" t="str">
        <f t="shared" si="221"/>
        <v/>
      </c>
      <c r="AC391" s="10" t="str">
        <f t="shared" si="222"/>
        <v/>
      </c>
      <c r="AD391" s="10" t="str">
        <f t="shared" si="223"/>
        <v/>
      </c>
      <c r="AE391" s="10" t="str">
        <f t="shared" si="224"/>
        <v/>
      </c>
      <c r="AF391" s="10" t="str">
        <f t="shared" si="225"/>
        <v/>
      </c>
      <c r="AG391" s="10" t="str">
        <f t="shared" si="226"/>
        <v/>
      </c>
      <c r="AH391" s="10" t="str">
        <f t="shared" si="227"/>
        <v/>
      </c>
      <c r="AI391" s="10">
        <f>IF(OR(S391="",'4_BENCHMARK'!$C$4=""),"",ABS(S391-'4_BENCHMARK'!$C$4))</f>
        <v>0.25</v>
      </c>
      <c r="AJ391" s="10">
        <f>IF(OR(T391="",'4_BENCHMARK'!$C$5=""),"",ABS(T391-'4_BENCHMARK'!$C$5))</f>
        <v>0.25</v>
      </c>
      <c r="AK391" s="10">
        <f>IF(OR(U391="",'4_BENCHMARK'!$C$6=""),"",ABS(U391-'4_BENCHMARK'!$C$6))</f>
        <v>0.25</v>
      </c>
      <c r="AL391" s="10">
        <f>IF(OR(V391="",'4_BENCHMARK'!$C$7=""),"",ABS(V391-'4_BENCHMARK'!$C$7))</f>
        <v>0</v>
      </c>
      <c r="AM391" s="10">
        <f>IF(OR(W391="",'4_BENCHMARK'!$C$8=""),"",ABS(W391-'4_BENCHMARK'!$C$8))</f>
        <v>1</v>
      </c>
      <c r="AN391" s="10">
        <f>IF(OR(X391="",'4_BENCHMARK'!$C$9=""),"",ABS(X391-'4_BENCHMARK'!$C$9))</f>
        <v>1</v>
      </c>
      <c r="AO391" s="10">
        <f>IF(OR(Y391="",'4_BENCHMARK'!$C$10=""),"",ABS(Y391-'4_BENCHMARK'!$C$10))</f>
        <v>0.25</v>
      </c>
      <c r="AP391" s="10">
        <f>IF(OR(Z391="",'4_BENCHMARK'!$C$11=""),"",ABS(Z391-'4_BENCHMARK'!$C$11))</f>
        <v>0</v>
      </c>
      <c r="AQ391" s="13">
        <f t="shared" si="228"/>
        <v>0.625</v>
      </c>
      <c r="AR391" s="10"/>
      <c r="AS391" s="36" t="s">
        <v>145</v>
      </c>
      <c r="AT391" s="13">
        <f t="shared" si="229"/>
        <v>0.833333333333333</v>
      </c>
      <c r="AU391" s="1" t="str">
        <f t="shared" si="230"/>
        <v/>
      </c>
      <c r="AV391" s="1" t="str">
        <f t="shared" si="231"/>
        <v/>
      </c>
      <c r="AW391" s="1" t="str">
        <f t="shared" si="232"/>
        <v/>
      </c>
      <c r="AX391" s="1" t="str">
        <f t="shared" si="233"/>
        <v/>
      </c>
      <c r="AY391" s="1" t="str">
        <f t="shared" si="234"/>
        <v/>
      </c>
      <c r="AZ391" s="1" t="str">
        <f t="shared" si="235"/>
        <v/>
      </c>
      <c r="BA391" s="1" t="str">
        <f t="shared" si="236"/>
        <v/>
      </c>
      <c r="BB391" s="1" t="str">
        <f t="shared" si="237"/>
        <v/>
      </c>
      <c r="BC391" s="1">
        <f t="shared" si="238"/>
        <v>4</v>
      </c>
      <c r="BD391" s="1">
        <f t="shared" si="239"/>
        <v>4</v>
      </c>
      <c r="BE391" s="1">
        <f t="shared" si="240"/>
        <v>4</v>
      </c>
      <c r="BF391" s="1">
        <f t="shared" si="241"/>
        <v>5</v>
      </c>
      <c r="BG391" s="1">
        <f t="shared" si="242"/>
        <v>5</v>
      </c>
      <c r="BH391" s="1">
        <f t="shared" si="243"/>
        <v>5</v>
      </c>
      <c r="BI391" s="1">
        <f t="shared" si="244"/>
        <v>2</v>
      </c>
      <c r="BJ391" s="1">
        <f t="shared" si="245"/>
        <v>5</v>
      </c>
    </row>
    <row r="392" ht="14.25" customHeight="1" spans="1:62">
      <c r="A392" s="10">
        <v>388</v>
      </c>
      <c r="B392" s="36" t="s">
        <v>1337</v>
      </c>
      <c r="C392" s="10">
        <v>1990</v>
      </c>
      <c r="D392" s="10">
        <f t="shared" si="211"/>
        <v>1990</v>
      </c>
      <c r="E392" s="36" t="s">
        <v>801</v>
      </c>
      <c r="F392" s="35" t="s">
        <v>1338</v>
      </c>
      <c r="G392" s="36" t="s">
        <v>1339</v>
      </c>
      <c r="H392" s="10" t="s">
        <v>140</v>
      </c>
      <c r="I392" s="10" t="s">
        <v>140</v>
      </c>
      <c r="J392" s="36" t="s">
        <v>762</v>
      </c>
      <c r="K392" s="10">
        <v>4</v>
      </c>
      <c r="L392" s="10">
        <v>4</v>
      </c>
      <c r="M392" s="10">
        <v>4</v>
      </c>
      <c r="N392" s="10">
        <v>5</v>
      </c>
      <c r="O392" s="10">
        <v>5</v>
      </c>
      <c r="P392" s="10">
        <v>5</v>
      </c>
      <c r="Q392" s="10">
        <v>2</v>
      </c>
      <c r="R392" s="10">
        <v>5</v>
      </c>
      <c r="S392" s="10">
        <f t="shared" si="212"/>
        <v>0.75</v>
      </c>
      <c r="T392" s="10">
        <f t="shared" si="213"/>
        <v>0.75</v>
      </c>
      <c r="U392" s="10">
        <f t="shared" si="214"/>
        <v>0.75</v>
      </c>
      <c r="V392" s="10">
        <f t="shared" si="215"/>
        <v>1</v>
      </c>
      <c r="W392" s="10">
        <f t="shared" si="216"/>
        <v>1</v>
      </c>
      <c r="X392" s="10">
        <f t="shared" si="217"/>
        <v>1</v>
      </c>
      <c r="Y392" s="10">
        <f t="shared" si="218"/>
        <v>0.25</v>
      </c>
      <c r="Z392" s="10">
        <f t="shared" si="219"/>
        <v>1</v>
      </c>
      <c r="AA392" s="10" t="str">
        <f t="shared" si="220"/>
        <v/>
      </c>
      <c r="AB392" s="10" t="str">
        <f t="shared" si="221"/>
        <v/>
      </c>
      <c r="AC392" s="10" t="str">
        <f t="shared" si="222"/>
        <v/>
      </c>
      <c r="AD392" s="10" t="str">
        <f t="shared" si="223"/>
        <v/>
      </c>
      <c r="AE392" s="10" t="str">
        <f t="shared" si="224"/>
        <v/>
      </c>
      <c r="AF392" s="10" t="str">
        <f t="shared" si="225"/>
        <v/>
      </c>
      <c r="AG392" s="10" t="str">
        <f t="shared" si="226"/>
        <v/>
      </c>
      <c r="AH392" s="10" t="str">
        <f t="shared" si="227"/>
        <v/>
      </c>
      <c r="AI392" s="10">
        <f>IF(OR(S392="",'4_BENCHMARK'!$C$4=""),"",ABS(S392-'4_BENCHMARK'!$C$4))</f>
        <v>0.25</v>
      </c>
      <c r="AJ392" s="10">
        <f>IF(OR(T392="",'4_BENCHMARK'!$C$5=""),"",ABS(T392-'4_BENCHMARK'!$C$5))</f>
        <v>0.25</v>
      </c>
      <c r="AK392" s="10">
        <f>IF(OR(U392="",'4_BENCHMARK'!$C$6=""),"",ABS(U392-'4_BENCHMARK'!$C$6))</f>
        <v>0.25</v>
      </c>
      <c r="AL392" s="10">
        <f>IF(OR(V392="",'4_BENCHMARK'!$C$7=""),"",ABS(V392-'4_BENCHMARK'!$C$7))</f>
        <v>0</v>
      </c>
      <c r="AM392" s="10">
        <f>IF(OR(W392="",'4_BENCHMARK'!$C$8=""),"",ABS(W392-'4_BENCHMARK'!$C$8))</f>
        <v>1</v>
      </c>
      <c r="AN392" s="10">
        <f>IF(OR(X392="",'4_BENCHMARK'!$C$9=""),"",ABS(X392-'4_BENCHMARK'!$C$9))</f>
        <v>1</v>
      </c>
      <c r="AO392" s="10">
        <f>IF(OR(Y392="",'4_BENCHMARK'!$C$10=""),"",ABS(Y392-'4_BENCHMARK'!$C$10))</f>
        <v>0.25</v>
      </c>
      <c r="AP392" s="10">
        <f>IF(OR(Z392="",'4_BENCHMARK'!$C$11=""),"",ABS(Z392-'4_BENCHMARK'!$C$11))</f>
        <v>0</v>
      </c>
      <c r="AQ392" s="13">
        <f t="shared" si="228"/>
        <v>0.625</v>
      </c>
      <c r="AR392" s="10"/>
      <c r="AS392" s="36" t="s">
        <v>145</v>
      </c>
      <c r="AT392" s="13">
        <f t="shared" si="229"/>
        <v>0.833333333333333</v>
      </c>
      <c r="AU392" s="1" t="str">
        <f t="shared" si="230"/>
        <v/>
      </c>
      <c r="AV392" s="1" t="str">
        <f t="shared" si="231"/>
        <v/>
      </c>
      <c r="AW392" s="1" t="str">
        <f t="shared" si="232"/>
        <v/>
      </c>
      <c r="AX392" s="1" t="str">
        <f t="shared" si="233"/>
        <v/>
      </c>
      <c r="AY392" s="1" t="str">
        <f t="shared" si="234"/>
        <v/>
      </c>
      <c r="AZ392" s="1" t="str">
        <f t="shared" si="235"/>
        <v/>
      </c>
      <c r="BA392" s="1" t="str">
        <f t="shared" si="236"/>
        <v/>
      </c>
      <c r="BB392" s="1" t="str">
        <f t="shared" si="237"/>
        <v/>
      </c>
      <c r="BC392" s="1" t="str">
        <f t="shared" si="238"/>
        <v/>
      </c>
      <c r="BD392" s="1" t="str">
        <f t="shared" si="239"/>
        <v/>
      </c>
      <c r="BE392" s="1" t="str">
        <f t="shared" si="240"/>
        <v/>
      </c>
      <c r="BF392" s="1" t="str">
        <f t="shared" si="241"/>
        <v/>
      </c>
      <c r="BG392" s="1" t="str">
        <f t="shared" si="242"/>
        <v/>
      </c>
      <c r="BH392" s="1" t="str">
        <f t="shared" si="243"/>
        <v/>
      </c>
      <c r="BI392" s="1" t="str">
        <f t="shared" si="244"/>
        <v/>
      </c>
      <c r="BJ392" s="1" t="str">
        <f t="shared" si="245"/>
        <v/>
      </c>
    </row>
    <row r="393" ht="14.25" customHeight="1" spans="1:62">
      <c r="A393" s="10">
        <v>389</v>
      </c>
      <c r="B393" s="36" t="s">
        <v>1340</v>
      </c>
      <c r="C393" s="10">
        <v>1995</v>
      </c>
      <c r="D393" s="10">
        <f t="shared" ref="D393:D424" si="246">IF(C393="","",FLOOR(C393,10))</f>
        <v>1990</v>
      </c>
      <c r="E393" s="36" t="s">
        <v>801</v>
      </c>
      <c r="F393" s="35" t="s">
        <v>1341</v>
      </c>
      <c r="G393" s="36" t="s">
        <v>1342</v>
      </c>
      <c r="H393" s="10" t="s">
        <v>140</v>
      </c>
      <c r="I393" s="10" t="s">
        <v>140</v>
      </c>
      <c r="J393" s="10"/>
      <c r="K393" s="10">
        <v>3</v>
      </c>
      <c r="L393" s="10">
        <v>3</v>
      </c>
      <c r="M393" s="10">
        <v>4</v>
      </c>
      <c r="N393" s="10">
        <v>5</v>
      </c>
      <c r="O393" s="10">
        <v>4</v>
      </c>
      <c r="P393" s="10">
        <v>5</v>
      </c>
      <c r="Q393" s="10">
        <v>1</v>
      </c>
      <c r="R393" s="10">
        <v>4</v>
      </c>
      <c r="S393" s="10">
        <f t="shared" si="212"/>
        <v>0.5</v>
      </c>
      <c r="T393" s="10">
        <f t="shared" si="213"/>
        <v>0.5</v>
      </c>
      <c r="U393" s="10">
        <f t="shared" si="214"/>
        <v>0.75</v>
      </c>
      <c r="V393" s="10">
        <f t="shared" si="215"/>
        <v>1</v>
      </c>
      <c r="W393" s="10">
        <f t="shared" si="216"/>
        <v>0.75</v>
      </c>
      <c r="X393" s="10">
        <f t="shared" si="217"/>
        <v>1</v>
      </c>
      <c r="Y393" s="10">
        <f t="shared" si="218"/>
        <v>0</v>
      </c>
      <c r="Z393" s="10">
        <f t="shared" si="219"/>
        <v>0.75</v>
      </c>
      <c r="AA393" s="10" t="str">
        <f t="shared" si="220"/>
        <v/>
      </c>
      <c r="AB393" s="10" t="str">
        <f t="shared" si="221"/>
        <v/>
      </c>
      <c r="AC393" s="10" t="str">
        <f t="shared" si="222"/>
        <v/>
      </c>
      <c r="AD393" s="10" t="str">
        <f t="shared" si="223"/>
        <v/>
      </c>
      <c r="AE393" s="10" t="str">
        <f t="shared" si="224"/>
        <v/>
      </c>
      <c r="AF393" s="10" t="str">
        <f t="shared" si="225"/>
        <v/>
      </c>
      <c r="AG393" s="10" t="str">
        <f t="shared" si="226"/>
        <v/>
      </c>
      <c r="AH393" s="10" t="str">
        <f t="shared" si="227"/>
        <v/>
      </c>
      <c r="AI393" s="10">
        <f>IF(OR(S393="",'4_BENCHMARK'!$C$4=""),"",ABS(S393-'4_BENCHMARK'!$C$4))</f>
        <v>0.5</v>
      </c>
      <c r="AJ393" s="10">
        <f>IF(OR(T393="",'4_BENCHMARK'!$C$5=""),"",ABS(T393-'4_BENCHMARK'!$C$5))</f>
        <v>0.5</v>
      </c>
      <c r="AK393" s="10">
        <f>IF(OR(U393="",'4_BENCHMARK'!$C$6=""),"",ABS(U393-'4_BENCHMARK'!$C$6))</f>
        <v>0.25</v>
      </c>
      <c r="AL393" s="10">
        <f>IF(OR(V393="",'4_BENCHMARK'!$C$7=""),"",ABS(V393-'4_BENCHMARK'!$C$7))</f>
        <v>0</v>
      </c>
      <c r="AM393" s="10">
        <f>IF(OR(W393="",'4_BENCHMARK'!$C$8=""),"",ABS(W393-'4_BENCHMARK'!$C$8))</f>
        <v>0.75</v>
      </c>
      <c r="AN393" s="10">
        <f>IF(OR(X393="",'4_BENCHMARK'!$C$9=""),"",ABS(X393-'4_BENCHMARK'!$C$9))</f>
        <v>1</v>
      </c>
      <c r="AO393" s="10">
        <f>IF(OR(Y393="",'4_BENCHMARK'!$C$10=""),"",ABS(Y393-'4_BENCHMARK'!$C$10))</f>
        <v>0.5</v>
      </c>
      <c r="AP393" s="10">
        <f>IF(OR(Z393="",'4_BENCHMARK'!$C$11=""),"",ABS(Z393-'4_BENCHMARK'!$C$11))</f>
        <v>0.25</v>
      </c>
      <c r="AQ393" s="13">
        <f t="shared" si="228"/>
        <v>0.53125</v>
      </c>
      <c r="AR393" s="10"/>
      <c r="AS393" s="36" t="s">
        <v>145</v>
      </c>
      <c r="AT393" s="13">
        <f t="shared" si="229"/>
        <v>0.666666666666667</v>
      </c>
      <c r="AU393" s="1" t="str">
        <f t="shared" si="230"/>
        <v/>
      </c>
      <c r="AV393" s="1" t="str">
        <f t="shared" si="231"/>
        <v/>
      </c>
      <c r="AW393" s="1" t="str">
        <f t="shared" si="232"/>
        <v/>
      </c>
      <c r="AX393" s="1" t="str">
        <f t="shared" si="233"/>
        <v/>
      </c>
      <c r="AY393" s="1" t="str">
        <f t="shared" si="234"/>
        <v/>
      </c>
      <c r="AZ393" s="1" t="str">
        <f t="shared" si="235"/>
        <v/>
      </c>
      <c r="BA393" s="1" t="str">
        <f t="shared" si="236"/>
        <v/>
      </c>
      <c r="BB393" s="1" t="str">
        <f t="shared" si="237"/>
        <v/>
      </c>
      <c r="BC393" s="1" t="str">
        <f t="shared" si="238"/>
        <v/>
      </c>
      <c r="BD393" s="1" t="str">
        <f t="shared" si="239"/>
        <v/>
      </c>
      <c r="BE393" s="1" t="str">
        <f t="shared" si="240"/>
        <v/>
      </c>
      <c r="BF393" s="1" t="str">
        <f t="shared" si="241"/>
        <v/>
      </c>
      <c r="BG393" s="1" t="str">
        <f t="shared" si="242"/>
        <v/>
      </c>
      <c r="BH393" s="1" t="str">
        <f t="shared" si="243"/>
        <v/>
      </c>
      <c r="BI393" s="1" t="str">
        <f t="shared" si="244"/>
        <v/>
      </c>
      <c r="BJ393" s="1" t="str">
        <f t="shared" si="245"/>
        <v/>
      </c>
    </row>
    <row r="394" ht="14.25" customHeight="1" spans="1:62">
      <c r="A394" s="10">
        <v>390</v>
      </c>
      <c r="B394" s="36" t="s">
        <v>1343</v>
      </c>
      <c r="C394" s="10">
        <v>1995</v>
      </c>
      <c r="D394" s="10">
        <f t="shared" si="246"/>
        <v>1990</v>
      </c>
      <c r="E394" s="36" t="s">
        <v>801</v>
      </c>
      <c r="F394" s="35" t="s">
        <v>1344</v>
      </c>
      <c r="G394" s="36" t="s">
        <v>1345</v>
      </c>
      <c r="H394" s="10" t="s">
        <v>140</v>
      </c>
      <c r="I394" s="10" t="s">
        <v>140</v>
      </c>
      <c r="J394" s="10"/>
      <c r="K394" s="10">
        <v>3</v>
      </c>
      <c r="L394" s="10">
        <v>3</v>
      </c>
      <c r="M394" s="10">
        <v>3</v>
      </c>
      <c r="N394" s="10">
        <v>4</v>
      </c>
      <c r="O394" s="10">
        <v>1</v>
      </c>
      <c r="P394" s="10">
        <v>1</v>
      </c>
      <c r="Q394" s="10">
        <v>2</v>
      </c>
      <c r="R394" s="10">
        <v>4</v>
      </c>
      <c r="S394" s="10">
        <f t="shared" si="212"/>
        <v>0.5</v>
      </c>
      <c r="T394" s="10">
        <f t="shared" si="213"/>
        <v>0.5</v>
      </c>
      <c r="U394" s="10">
        <f t="shared" si="214"/>
        <v>0.5</v>
      </c>
      <c r="V394" s="10">
        <f t="shared" si="215"/>
        <v>0.75</v>
      </c>
      <c r="W394" s="10">
        <f t="shared" si="216"/>
        <v>0</v>
      </c>
      <c r="X394" s="10">
        <f t="shared" si="217"/>
        <v>0</v>
      </c>
      <c r="Y394" s="10">
        <f t="shared" si="218"/>
        <v>0.25</v>
      </c>
      <c r="Z394" s="10">
        <f t="shared" si="219"/>
        <v>0.75</v>
      </c>
      <c r="AA394" s="10" t="str">
        <f t="shared" si="220"/>
        <v/>
      </c>
      <c r="AB394" s="10" t="str">
        <f t="shared" si="221"/>
        <v/>
      </c>
      <c r="AC394" s="10" t="str">
        <f t="shared" si="222"/>
        <v/>
      </c>
      <c r="AD394" s="10" t="str">
        <f t="shared" si="223"/>
        <v/>
      </c>
      <c r="AE394" s="10" t="str">
        <f t="shared" si="224"/>
        <v/>
      </c>
      <c r="AF394" s="10" t="str">
        <f t="shared" si="225"/>
        <v/>
      </c>
      <c r="AG394" s="10" t="str">
        <f t="shared" si="226"/>
        <v/>
      </c>
      <c r="AH394" s="10" t="str">
        <f t="shared" si="227"/>
        <v/>
      </c>
      <c r="AI394" s="10">
        <f>IF(OR(S394="",'4_BENCHMARK'!$C$4=""),"",ABS(S394-'4_BENCHMARK'!$C$4))</f>
        <v>0.5</v>
      </c>
      <c r="AJ394" s="10">
        <f>IF(OR(T394="",'4_BENCHMARK'!$C$5=""),"",ABS(T394-'4_BENCHMARK'!$C$5))</f>
        <v>0.5</v>
      </c>
      <c r="AK394" s="10">
        <f>IF(OR(U394="",'4_BENCHMARK'!$C$6=""),"",ABS(U394-'4_BENCHMARK'!$C$6))</f>
        <v>0.5</v>
      </c>
      <c r="AL394" s="10">
        <f>IF(OR(V394="",'4_BENCHMARK'!$C$7=""),"",ABS(V394-'4_BENCHMARK'!$C$7))</f>
        <v>0.25</v>
      </c>
      <c r="AM394" s="10">
        <f>IF(OR(W394="",'4_BENCHMARK'!$C$8=""),"",ABS(W394-'4_BENCHMARK'!$C$8))</f>
        <v>0</v>
      </c>
      <c r="AN394" s="10">
        <f>IF(OR(X394="",'4_BENCHMARK'!$C$9=""),"",ABS(X394-'4_BENCHMARK'!$C$9))</f>
        <v>0</v>
      </c>
      <c r="AO394" s="10">
        <f>IF(OR(Y394="",'4_BENCHMARK'!$C$10=""),"",ABS(Y394-'4_BENCHMARK'!$C$10))</f>
        <v>0.25</v>
      </c>
      <c r="AP394" s="10">
        <f>IF(OR(Z394="",'4_BENCHMARK'!$C$11=""),"",ABS(Z394-'4_BENCHMARK'!$C$11))</f>
        <v>0.25</v>
      </c>
      <c r="AQ394" s="13">
        <f t="shared" si="228"/>
        <v>0.71875</v>
      </c>
      <c r="AR394" s="10"/>
      <c r="AS394" s="36" t="s">
        <v>145</v>
      </c>
      <c r="AT394" s="13">
        <f t="shared" si="229"/>
        <v>0.625</v>
      </c>
      <c r="AU394" s="1" t="str">
        <f t="shared" si="230"/>
        <v/>
      </c>
      <c r="AV394" s="1" t="str">
        <f t="shared" si="231"/>
        <v/>
      </c>
      <c r="AW394" s="1" t="str">
        <f t="shared" si="232"/>
        <v/>
      </c>
      <c r="AX394" s="1" t="str">
        <f t="shared" si="233"/>
        <v/>
      </c>
      <c r="AY394" s="1" t="str">
        <f t="shared" si="234"/>
        <v/>
      </c>
      <c r="AZ394" s="1" t="str">
        <f t="shared" si="235"/>
        <v/>
      </c>
      <c r="BA394" s="1" t="str">
        <f t="shared" si="236"/>
        <v/>
      </c>
      <c r="BB394" s="1" t="str">
        <f t="shared" si="237"/>
        <v/>
      </c>
      <c r="BC394" s="1" t="str">
        <f t="shared" si="238"/>
        <v/>
      </c>
      <c r="BD394" s="1" t="str">
        <f t="shared" si="239"/>
        <v/>
      </c>
      <c r="BE394" s="1" t="str">
        <f t="shared" si="240"/>
        <v/>
      </c>
      <c r="BF394" s="1" t="str">
        <f t="shared" si="241"/>
        <v/>
      </c>
      <c r="BG394" s="1" t="str">
        <f t="shared" si="242"/>
        <v/>
      </c>
      <c r="BH394" s="1" t="str">
        <f t="shared" si="243"/>
        <v/>
      </c>
      <c r="BI394" s="1" t="str">
        <f t="shared" si="244"/>
        <v/>
      </c>
      <c r="BJ394" s="1" t="str">
        <f t="shared" si="245"/>
        <v/>
      </c>
    </row>
    <row r="395" ht="14.25" customHeight="1" spans="1:62">
      <c r="A395" s="10">
        <v>391</v>
      </c>
      <c r="B395" s="36" t="s">
        <v>1346</v>
      </c>
      <c r="C395" s="10">
        <v>2000</v>
      </c>
      <c r="D395" s="10">
        <f t="shared" si="246"/>
        <v>2000</v>
      </c>
      <c r="E395" s="36" t="s">
        <v>801</v>
      </c>
      <c r="F395" s="35" t="s">
        <v>1347</v>
      </c>
      <c r="G395" s="36" t="s">
        <v>1348</v>
      </c>
      <c r="H395" s="10" t="s">
        <v>140</v>
      </c>
      <c r="I395" s="10" t="s">
        <v>140</v>
      </c>
      <c r="J395" s="10"/>
      <c r="K395" s="10">
        <v>3</v>
      </c>
      <c r="L395" s="10">
        <v>4</v>
      </c>
      <c r="M395" s="10">
        <v>4</v>
      </c>
      <c r="N395" s="10">
        <v>4</v>
      </c>
      <c r="O395" s="10">
        <v>1</v>
      </c>
      <c r="P395" s="10">
        <v>1</v>
      </c>
      <c r="Q395" s="10">
        <v>2</v>
      </c>
      <c r="R395" s="10">
        <v>5</v>
      </c>
      <c r="S395" s="10">
        <f t="shared" si="212"/>
        <v>0.5</v>
      </c>
      <c r="T395" s="10">
        <f t="shared" si="213"/>
        <v>0.75</v>
      </c>
      <c r="U395" s="10">
        <f t="shared" si="214"/>
        <v>0.75</v>
      </c>
      <c r="V395" s="10">
        <f t="shared" si="215"/>
        <v>0.75</v>
      </c>
      <c r="W395" s="10">
        <f t="shared" si="216"/>
        <v>0</v>
      </c>
      <c r="X395" s="10">
        <f t="shared" si="217"/>
        <v>0</v>
      </c>
      <c r="Y395" s="10">
        <f t="shared" si="218"/>
        <v>0.25</v>
      </c>
      <c r="Z395" s="10">
        <f t="shared" si="219"/>
        <v>1</v>
      </c>
      <c r="AA395" s="10" t="str">
        <f t="shared" si="220"/>
        <v/>
      </c>
      <c r="AB395" s="10" t="str">
        <f t="shared" si="221"/>
        <v/>
      </c>
      <c r="AC395" s="10" t="str">
        <f t="shared" si="222"/>
        <v/>
      </c>
      <c r="AD395" s="10" t="str">
        <f t="shared" si="223"/>
        <v/>
      </c>
      <c r="AE395" s="10" t="str">
        <f t="shared" si="224"/>
        <v/>
      </c>
      <c r="AF395" s="10" t="str">
        <f t="shared" si="225"/>
        <v/>
      </c>
      <c r="AG395" s="10" t="str">
        <f t="shared" si="226"/>
        <v/>
      </c>
      <c r="AH395" s="10" t="str">
        <f t="shared" si="227"/>
        <v/>
      </c>
      <c r="AI395" s="10">
        <f>IF(OR(S395="",'4_BENCHMARK'!$C$4=""),"",ABS(S395-'4_BENCHMARK'!$C$4))</f>
        <v>0.5</v>
      </c>
      <c r="AJ395" s="10">
        <f>IF(OR(T395="",'4_BENCHMARK'!$C$5=""),"",ABS(T395-'4_BENCHMARK'!$C$5))</f>
        <v>0.25</v>
      </c>
      <c r="AK395" s="10">
        <f>IF(OR(U395="",'4_BENCHMARK'!$C$6=""),"",ABS(U395-'4_BENCHMARK'!$C$6))</f>
        <v>0.25</v>
      </c>
      <c r="AL395" s="10">
        <f>IF(OR(V395="",'4_BENCHMARK'!$C$7=""),"",ABS(V395-'4_BENCHMARK'!$C$7))</f>
        <v>0.25</v>
      </c>
      <c r="AM395" s="10">
        <f>IF(OR(W395="",'4_BENCHMARK'!$C$8=""),"",ABS(W395-'4_BENCHMARK'!$C$8))</f>
        <v>0</v>
      </c>
      <c r="AN395" s="10">
        <f>IF(OR(X395="",'4_BENCHMARK'!$C$9=""),"",ABS(X395-'4_BENCHMARK'!$C$9))</f>
        <v>0</v>
      </c>
      <c r="AO395" s="10">
        <f>IF(OR(Y395="",'4_BENCHMARK'!$C$10=""),"",ABS(Y395-'4_BENCHMARK'!$C$10))</f>
        <v>0.25</v>
      </c>
      <c r="AP395" s="10">
        <f>IF(OR(Z395="",'4_BENCHMARK'!$C$11=""),"",ABS(Z395-'4_BENCHMARK'!$C$11))</f>
        <v>0</v>
      </c>
      <c r="AQ395" s="13">
        <f t="shared" si="228"/>
        <v>0.8125</v>
      </c>
      <c r="AR395" s="10"/>
      <c r="AS395" s="36" t="s">
        <v>145</v>
      </c>
      <c r="AT395" s="13">
        <f t="shared" si="229"/>
        <v>0.75</v>
      </c>
      <c r="AU395" s="1" t="str">
        <f t="shared" si="230"/>
        <v/>
      </c>
      <c r="AV395" s="1" t="str">
        <f t="shared" si="231"/>
        <v/>
      </c>
      <c r="AW395" s="1" t="str">
        <f t="shared" si="232"/>
        <v/>
      </c>
      <c r="AX395" s="1" t="str">
        <f t="shared" si="233"/>
        <v/>
      </c>
      <c r="AY395" s="1" t="str">
        <f t="shared" si="234"/>
        <v/>
      </c>
      <c r="AZ395" s="1" t="str">
        <f t="shared" si="235"/>
        <v/>
      </c>
      <c r="BA395" s="1" t="str">
        <f t="shared" si="236"/>
        <v/>
      </c>
      <c r="BB395" s="1" t="str">
        <f t="shared" si="237"/>
        <v/>
      </c>
      <c r="BC395" s="1">
        <f t="shared" si="238"/>
        <v>3</v>
      </c>
      <c r="BD395" s="1">
        <f t="shared" si="239"/>
        <v>4</v>
      </c>
      <c r="BE395" s="1">
        <f t="shared" si="240"/>
        <v>4</v>
      </c>
      <c r="BF395" s="1">
        <f t="shared" si="241"/>
        <v>4</v>
      </c>
      <c r="BG395" s="1">
        <f t="shared" si="242"/>
        <v>1</v>
      </c>
      <c r="BH395" s="1">
        <f t="shared" si="243"/>
        <v>1</v>
      </c>
      <c r="BI395" s="1">
        <f t="shared" si="244"/>
        <v>2</v>
      </c>
      <c r="BJ395" s="1">
        <f t="shared" si="245"/>
        <v>5</v>
      </c>
    </row>
    <row r="396" ht="14.25" customHeight="1" spans="1:62">
      <c r="A396" s="10">
        <v>392</v>
      </c>
      <c r="B396" s="36" t="s">
        <v>1349</v>
      </c>
      <c r="C396" s="10">
        <v>2000</v>
      </c>
      <c r="D396" s="10">
        <f t="shared" si="246"/>
        <v>2000</v>
      </c>
      <c r="E396" s="36" t="s">
        <v>801</v>
      </c>
      <c r="F396" s="35" t="s">
        <v>1350</v>
      </c>
      <c r="G396" s="36" t="s">
        <v>1351</v>
      </c>
      <c r="H396" s="10" t="s">
        <v>140</v>
      </c>
      <c r="I396" s="10" t="s">
        <v>140</v>
      </c>
      <c r="J396" s="36" t="s">
        <v>1264</v>
      </c>
      <c r="K396" s="10">
        <v>2</v>
      </c>
      <c r="L396" s="10">
        <v>3</v>
      </c>
      <c r="M396" s="10">
        <v>4</v>
      </c>
      <c r="N396" s="10">
        <v>4</v>
      </c>
      <c r="O396" s="10">
        <v>5</v>
      </c>
      <c r="P396" s="10">
        <v>5</v>
      </c>
      <c r="Q396" s="10">
        <v>2</v>
      </c>
      <c r="R396" s="10">
        <v>5</v>
      </c>
      <c r="S396" s="10">
        <f t="shared" si="212"/>
        <v>0.25</v>
      </c>
      <c r="T396" s="10">
        <f t="shared" si="213"/>
        <v>0.5</v>
      </c>
      <c r="U396" s="10">
        <f t="shared" si="214"/>
        <v>0.75</v>
      </c>
      <c r="V396" s="10">
        <f t="shared" si="215"/>
        <v>0.75</v>
      </c>
      <c r="W396" s="10">
        <f t="shared" si="216"/>
        <v>1</v>
      </c>
      <c r="X396" s="10">
        <f t="shared" si="217"/>
        <v>1</v>
      </c>
      <c r="Y396" s="10">
        <f t="shared" si="218"/>
        <v>0.25</v>
      </c>
      <c r="Z396" s="10">
        <f t="shared" si="219"/>
        <v>1</v>
      </c>
      <c r="AA396" s="10" t="str">
        <f t="shared" si="220"/>
        <v/>
      </c>
      <c r="AB396" s="10" t="str">
        <f t="shared" si="221"/>
        <v/>
      </c>
      <c r="AC396" s="10" t="str">
        <f t="shared" si="222"/>
        <v/>
      </c>
      <c r="AD396" s="10" t="str">
        <f t="shared" si="223"/>
        <v/>
      </c>
      <c r="AE396" s="10" t="str">
        <f t="shared" si="224"/>
        <v/>
      </c>
      <c r="AF396" s="10" t="str">
        <f t="shared" si="225"/>
        <v/>
      </c>
      <c r="AG396" s="10" t="str">
        <f t="shared" si="226"/>
        <v/>
      </c>
      <c r="AH396" s="10" t="str">
        <f t="shared" si="227"/>
        <v/>
      </c>
      <c r="AI396" s="10">
        <f>IF(OR(S396="",'4_BENCHMARK'!$C$4=""),"",ABS(S396-'4_BENCHMARK'!$C$4))</f>
        <v>0.75</v>
      </c>
      <c r="AJ396" s="10">
        <f>IF(OR(T396="",'4_BENCHMARK'!$C$5=""),"",ABS(T396-'4_BENCHMARK'!$C$5))</f>
        <v>0.5</v>
      </c>
      <c r="AK396" s="10">
        <f>IF(OR(U396="",'4_BENCHMARK'!$C$6=""),"",ABS(U396-'4_BENCHMARK'!$C$6))</f>
        <v>0.25</v>
      </c>
      <c r="AL396" s="10">
        <f>IF(OR(V396="",'4_BENCHMARK'!$C$7=""),"",ABS(V396-'4_BENCHMARK'!$C$7))</f>
        <v>0.25</v>
      </c>
      <c r="AM396" s="10">
        <f>IF(OR(W396="",'4_BENCHMARK'!$C$8=""),"",ABS(W396-'4_BENCHMARK'!$C$8))</f>
        <v>1</v>
      </c>
      <c r="AN396" s="10">
        <f>IF(OR(X396="",'4_BENCHMARK'!$C$9=""),"",ABS(X396-'4_BENCHMARK'!$C$9))</f>
        <v>1</v>
      </c>
      <c r="AO396" s="10">
        <f>IF(OR(Y396="",'4_BENCHMARK'!$C$10=""),"",ABS(Y396-'4_BENCHMARK'!$C$10))</f>
        <v>0.25</v>
      </c>
      <c r="AP396" s="10">
        <f>IF(OR(Z396="",'4_BENCHMARK'!$C$11=""),"",ABS(Z396-'4_BENCHMARK'!$C$11))</f>
        <v>0</v>
      </c>
      <c r="AQ396" s="13">
        <f t="shared" si="228"/>
        <v>0.5</v>
      </c>
      <c r="AR396" s="10"/>
      <c r="AS396" s="36" t="s">
        <v>145</v>
      </c>
      <c r="AT396" s="13">
        <f t="shared" si="229"/>
        <v>0.666666666666667</v>
      </c>
      <c r="AU396" s="1" t="str">
        <f t="shared" si="230"/>
        <v/>
      </c>
      <c r="AV396" s="1" t="str">
        <f t="shared" si="231"/>
        <v/>
      </c>
      <c r="AW396" s="1" t="str">
        <f t="shared" si="232"/>
        <v/>
      </c>
      <c r="AX396" s="1" t="str">
        <f t="shared" si="233"/>
        <v/>
      </c>
      <c r="AY396" s="1" t="str">
        <f t="shared" si="234"/>
        <v/>
      </c>
      <c r="AZ396" s="1" t="str">
        <f t="shared" si="235"/>
        <v/>
      </c>
      <c r="BA396" s="1" t="str">
        <f t="shared" si="236"/>
        <v/>
      </c>
      <c r="BB396" s="1" t="str">
        <f t="shared" si="237"/>
        <v/>
      </c>
      <c r="BC396" s="1">
        <f t="shared" si="238"/>
        <v>2</v>
      </c>
      <c r="BD396" s="1">
        <f t="shared" si="239"/>
        <v>3</v>
      </c>
      <c r="BE396" s="1">
        <f t="shared" si="240"/>
        <v>4</v>
      </c>
      <c r="BF396" s="1">
        <f t="shared" si="241"/>
        <v>4</v>
      </c>
      <c r="BG396" s="1">
        <f t="shared" si="242"/>
        <v>5</v>
      </c>
      <c r="BH396" s="1">
        <f t="shared" si="243"/>
        <v>5</v>
      </c>
      <c r="BI396" s="1">
        <f t="shared" si="244"/>
        <v>2</v>
      </c>
      <c r="BJ396" s="1">
        <f t="shared" si="245"/>
        <v>5</v>
      </c>
    </row>
    <row r="397" ht="14.25" customHeight="1" spans="1:62">
      <c r="A397" s="10">
        <v>393</v>
      </c>
      <c r="B397" s="36" t="s">
        <v>1352</v>
      </c>
      <c r="C397" s="10">
        <v>2000</v>
      </c>
      <c r="D397" s="10">
        <f t="shared" si="246"/>
        <v>2000</v>
      </c>
      <c r="E397" s="36" t="s">
        <v>801</v>
      </c>
      <c r="F397" s="35" t="s">
        <v>1353</v>
      </c>
      <c r="G397" s="36" t="s">
        <v>1354</v>
      </c>
      <c r="H397" s="10" t="s">
        <v>140</v>
      </c>
      <c r="I397" s="10" t="s">
        <v>140</v>
      </c>
      <c r="J397" s="36" t="s">
        <v>1264</v>
      </c>
      <c r="K397" s="10">
        <v>3</v>
      </c>
      <c r="L397" s="10">
        <v>4</v>
      </c>
      <c r="M397" s="10">
        <v>4</v>
      </c>
      <c r="N397" s="10">
        <v>4</v>
      </c>
      <c r="O397" s="10">
        <v>1</v>
      </c>
      <c r="P397" s="10">
        <v>1</v>
      </c>
      <c r="Q397" s="10">
        <v>1</v>
      </c>
      <c r="R397" s="10">
        <v>5</v>
      </c>
      <c r="S397" s="10">
        <f t="shared" si="212"/>
        <v>0.5</v>
      </c>
      <c r="T397" s="10">
        <f t="shared" si="213"/>
        <v>0.75</v>
      </c>
      <c r="U397" s="10">
        <f t="shared" si="214"/>
        <v>0.75</v>
      </c>
      <c r="V397" s="10">
        <f t="shared" si="215"/>
        <v>0.75</v>
      </c>
      <c r="W397" s="10">
        <f t="shared" si="216"/>
        <v>0</v>
      </c>
      <c r="X397" s="10">
        <f t="shared" si="217"/>
        <v>0</v>
      </c>
      <c r="Y397" s="10">
        <f t="shared" si="218"/>
        <v>0</v>
      </c>
      <c r="Z397" s="10">
        <f t="shared" si="219"/>
        <v>1</v>
      </c>
      <c r="AA397" s="10" t="str">
        <f t="shared" si="220"/>
        <v/>
      </c>
      <c r="AB397" s="10" t="str">
        <f t="shared" si="221"/>
        <v/>
      </c>
      <c r="AC397" s="10" t="str">
        <f t="shared" si="222"/>
        <v/>
      </c>
      <c r="AD397" s="10" t="str">
        <f t="shared" si="223"/>
        <v/>
      </c>
      <c r="AE397" s="10" t="str">
        <f t="shared" si="224"/>
        <v/>
      </c>
      <c r="AF397" s="10" t="str">
        <f t="shared" si="225"/>
        <v/>
      </c>
      <c r="AG397" s="10" t="str">
        <f t="shared" si="226"/>
        <v/>
      </c>
      <c r="AH397" s="10" t="str">
        <f t="shared" si="227"/>
        <v/>
      </c>
      <c r="AI397" s="10">
        <f>IF(OR(S397="",'4_BENCHMARK'!$C$4=""),"",ABS(S397-'4_BENCHMARK'!$C$4))</f>
        <v>0.5</v>
      </c>
      <c r="AJ397" s="10">
        <f>IF(OR(T397="",'4_BENCHMARK'!$C$5=""),"",ABS(T397-'4_BENCHMARK'!$C$5))</f>
        <v>0.25</v>
      </c>
      <c r="AK397" s="10">
        <f>IF(OR(U397="",'4_BENCHMARK'!$C$6=""),"",ABS(U397-'4_BENCHMARK'!$C$6))</f>
        <v>0.25</v>
      </c>
      <c r="AL397" s="10">
        <f>IF(OR(V397="",'4_BENCHMARK'!$C$7=""),"",ABS(V397-'4_BENCHMARK'!$C$7))</f>
        <v>0.25</v>
      </c>
      <c r="AM397" s="10">
        <f>IF(OR(W397="",'4_BENCHMARK'!$C$8=""),"",ABS(W397-'4_BENCHMARK'!$C$8))</f>
        <v>0</v>
      </c>
      <c r="AN397" s="10">
        <f>IF(OR(X397="",'4_BENCHMARK'!$C$9=""),"",ABS(X397-'4_BENCHMARK'!$C$9))</f>
        <v>0</v>
      </c>
      <c r="AO397" s="10">
        <f>IF(OR(Y397="",'4_BENCHMARK'!$C$10=""),"",ABS(Y397-'4_BENCHMARK'!$C$10))</f>
        <v>0.5</v>
      </c>
      <c r="AP397" s="10">
        <f>IF(OR(Z397="",'4_BENCHMARK'!$C$11=""),"",ABS(Z397-'4_BENCHMARK'!$C$11))</f>
        <v>0</v>
      </c>
      <c r="AQ397" s="13">
        <f t="shared" si="228"/>
        <v>0.78125</v>
      </c>
      <c r="AR397" s="10"/>
      <c r="AS397" s="36" t="s">
        <v>145</v>
      </c>
      <c r="AT397" s="13">
        <f t="shared" si="229"/>
        <v>0.708333333333333</v>
      </c>
      <c r="AU397" s="1" t="str">
        <f t="shared" si="230"/>
        <v/>
      </c>
      <c r="AV397" s="1" t="str">
        <f t="shared" si="231"/>
        <v/>
      </c>
      <c r="AW397" s="1" t="str">
        <f t="shared" si="232"/>
        <v/>
      </c>
      <c r="AX397" s="1" t="str">
        <f t="shared" si="233"/>
        <v/>
      </c>
      <c r="AY397" s="1" t="str">
        <f t="shared" si="234"/>
        <v/>
      </c>
      <c r="AZ397" s="1" t="str">
        <f t="shared" si="235"/>
        <v/>
      </c>
      <c r="BA397" s="1" t="str">
        <f t="shared" si="236"/>
        <v/>
      </c>
      <c r="BB397" s="1" t="str">
        <f t="shared" si="237"/>
        <v/>
      </c>
      <c r="BC397" s="1">
        <f t="shared" si="238"/>
        <v>3</v>
      </c>
      <c r="BD397" s="1">
        <f t="shared" si="239"/>
        <v>4</v>
      </c>
      <c r="BE397" s="1">
        <f t="shared" si="240"/>
        <v>4</v>
      </c>
      <c r="BF397" s="1">
        <f t="shared" si="241"/>
        <v>4</v>
      </c>
      <c r="BG397" s="1">
        <f t="shared" si="242"/>
        <v>1</v>
      </c>
      <c r="BH397" s="1">
        <f t="shared" si="243"/>
        <v>1</v>
      </c>
      <c r="BI397" s="1">
        <f t="shared" si="244"/>
        <v>1</v>
      </c>
      <c r="BJ397" s="1">
        <f t="shared" si="245"/>
        <v>5</v>
      </c>
    </row>
    <row r="398" ht="14.25" customHeight="1" spans="1:62">
      <c r="A398" s="10">
        <v>394</v>
      </c>
      <c r="B398" s="36" t="s">
        <v>1355</v>
      </c>
      <c r="C398" s="10">
        <v>2023</v>
      </c>
      <c r="D398" s="10">
        <f t="shared" si="246"/>
        <v>2020</v>
      </c>
      <c r="E398" s="36" t="s">
        <v>136</v>
      </c>
      <c r="F398" s="35" t="s">
        <v>1356</v>
      </c>
      <c r="G398" s="36" t="s">
        <v>1357</v>
      </c>
      <c r="H398" s="10" t="s">
        <v>139</v>
      </c>
      <c r="I398" s="10" t="s">
        <v>140</v>
      </c>
      <c r="J398" s="10"/>
      <c r="K398" s="10">
        <v>3</v>
      </c>
      <c r="L398" s="10">
        <v>2</v>
      </c>
      <c r="M398" s="10">
        <v>1</v>
      </c>
      <c r="N398" s="10">
        <v>2</v>
      </c>
      <c r="O398" s="10">
        <v>1</v>
      </c>
      <c r="P398" s="10">
        <v>1</v>
      </c>
      <c r="Q398" s="10">
        <v>2</v>
      </c>
      <c r="R398" s="10">
        <v>4</v>
      </c>
      <c r="S398" s="10">
        <f t="shared" si="212"/>
        <v>0.5</v>
      </c>
      <c r="T398" s="10">
        <f t="shared" si="213"/>
        <v>0.25</v>
      </c>
      <c r="U398" s="10">
        <f t="shared" si="214"/>
        <v>0</v>
      </c>
      <c r="V398" s="10">
        <f t="shared" si="215"/>
        <v>0.25</v>
      </c>
      <c r="W398" s="10">
        <f t="shared" si="216"/>
        <v>0</v>
      </c>
      <c r="X398" s="10">
        <f t="shared" si="217"/>
        <v>0</v>
      </c>
      <c r="Y398" s="10">
        <f t="shared" si="218"/>
        <v>0.25</v>
      </c>
      <c r="Z398" s="10">
        <f t="shared" si="219"/>
        <v>0.75</v>
      </c>
      <c r="AA398" s="10" t="str">
        <f t="shared" si="220"/>
        <v/>
      </c>
      <c r="AB398" s="10" t="str">
        <f t="shared" si="221"/>
        <v/>
      </c>
      <c r="AC398" s="10" t="str">
        <f t="shared" si="222"/>
        <v/>
      </c>
      <c r="AD398" s="10" t="str">
        <f t="shared" si="223"/>
        <v/>
      </c>
      <c r="AE398" s="10" t="str">
        <f t="shared" si="224"/>
        <v/>
      </c>
      <c r="AF398" s="10" t="str">
        <f t="shared" si="225"/>
        <v/>
      </c>
      <c r="AG398" s="10" t="str">
        <f t="shared" si="226"/>
        <v/>
      </c>
      <c r="AH398" s="10" t="str">
        <f t="shared" si="227"/>
        <v/>
      </c>
      <c r="AI398" s="10">
        <f>IF(OR(S398="",'4_BENCHMARK'!$C$4=""),"",ABS(S398-'4_BENCHMARK'!$C$4))</f>
        <v>0.5</v>
      </c>
      <c r="AJ398" s="10">
        <f>IF(OR(T398="",'4_BENCHMARK'!$C$5=""),"",ABS(T398-'4_BENCHMARK'!$C$5))</f>
        <v>0.75</v>
      </c>
      <c r="AK398" s="10">
        <f>IF(OR(U398="",'4_BENCHMARK'!$C$6=""),"",ABS(U398-'4_BENCHMARK'!$C$6))</f>
        <v>1</v>
      </c>
      <c r="AL398" s="10">
        <f>IF(OR(V398="",'4_BENCHMARK'!$C$7=""),"",ABS(V398-'4_BENCHMARK'!$C$7))</f>
        <v>0.75</v>
      </c>
      <c r="AM398" s="10">
        <f>IF(OR(W398="",'4_BENCHMARK'!$C$8=""),"",ABS(W398-'4_BENCHMARK'!$C$8))</f>
        <v>0</v>
      </c>
      <c r="AN398" s="10">
        <f>IF(OR(X398="",'4_BENCHMARK'!$C$9=""),"",ABS(X398-'4_BENCHMARK'!$C$9))</f>
        <v>0</v>
      </c>
      <c r="AO398" s="10">
        <f>IF(OR(Y398="",'4_BENCHMARK'!$C$10=""),"",ABS(Y398-'4_BENCHMARK'!$C$10))</f>
        <v>0.25</v>
      </c>
      <c r="AP398" s="10">
        <f>IF(OR(Z398="",'4_BENCHMARK'!$C$11=""),"",ABS(Z398-'4_BENCHMARK'!$C$11))</f>
        <v>0.25</v>
      </c>
      <c r="AQ398" s="13">
        <f t="shared" si="228"/>
        <v>0.5625</v>
      </c>
      <c r="AR398" s="10" t="s">
        <v>140</v>
      </c>
      <c r="AS398" s="36" t="s">
        <v>145</v>
      </c>
      <c r="AT398" s="13">
        <f t="shared" si="229"/>
        <v>0.416666666666667</v>
      </c>
      <c r="AU398" s="1" t="str">
        <f t="shared" si="230"/>
        <v/>
      </c>
      <c r="AV398" s="1" t="str">
        <f t="shared" si="231"/>
        <v/>
      </c>
      <c r="AW398" s="1" t="str">
        <f t="shared" si="232"/>
        <v/>
      </c>
      <c r="AX398" s="1" t="str">
        <f t="shared" si="233"/>
        <v/>
      </c>
      <c r="AY398" s="1" t="str">
        <f t="shared" si="234"/>
        <v/>
      </c>
      <c r="AZ398" s="1" t="str">
        <f t="shared" si="235"/>
        <v/>
      </c>
      <c r="BA398" s="1" t="str">
        <f t="shared" si="236"/>
        <v/>
      </c>
      <c r="BB398" s="1" t="str">
        <f t="shared" si="237"/>
        <v/>
      </c>
      <c r="BC398" s="1">
        <f t="shared" si="238"/>
        <v>3</v>
      </c>
      <c r="BD398" s="1">
        <f t="shared" si="239"/>
        <v>2</v>
      </c>
      <c r="BE398" s="1">
        <f t="shared" si="240"/>
        <v>1</v>
      </c>
      <c r="BF398" s="1">
        <f t="shared" si="241"/>
        <v>2</v>
      </c>
      <c r="BG398" s="1">
        <f t="shared" si="242"/>
        <v>1</v>
      </c>
      <c r="BH398" s="1">
        <f t="shared" si="243"/>
        <v>1</v>
      </c>
      <c r="BI398" s="1">
        <f t="shared" si="244"/>
        <v>2</v>
      </c>
      <c r="BJ398" s="1">
        <f t="shared" si="245"/>
        <v>4</v>
      </c>
    </row>
    <row r="399" ht="14.25" customHeight="1" spans="1:62">
      <c r="A399" s="10">
        <v>395</v>
      </c>
      <c r="B399" s="36" t="s">
        <v>1358</v>
      </c>
      <c r="C399" s="10">
        <v>2022</v>
      </c>
      <c r="D399" s="10">
        <f t="shared" si="246"/>
        <v>2020</v>
      </c>
      <c r="E399" s="36" t="s">
        <v>136</v>
      </c>
      <c r="F399" s="35" t="s">
        <v>1359</v>
      </c>
      <c r="G399" s="36" t="s">
        <v>1360</v>
      </c>
      <c r="H399" s="10" t="s">
        <v>140</v>
      </c>
      <c r="I399" s="10" t="s">
        <v>140</v>
      </c>
      <c r="J399" s="10"/>
      <c r="K399" s="10">
        <v>5</v>
      </c>
      <c r="L399" s="10">
        <v>4</v>
      </c>
      <c r="M399" s="10">
        <v>5</v>
      </c>
      <c r="N399" s="10">
        <v>4</v>
      </c>
      <c r="O399" s="10">
        <v>5</v>
      </c>
      <c r="P399" s="10">
        <v>4</v>
      </c>
      <c r="Q399" s="10">
        <v>2</v>
      </c>
      <c r="R399" s="10">
        <v>5</v>
      </c>
      <c r="S399" s="10">
        <f t="shared" si="212"/>
        <v>1</v>
      </c>
      <c r="T399" s="10">
        <f t="shared" si="213"/>
        <v>0.75</v>
      </c>
      <c r="U399" s="10">
        <f t="shared" si="214"/>
        <v>1</v>
      </c>
      <c r="V399" s="10">
        <f t="shared" si="215"/>
        <v>0.75</v>
      </c>
      <c r="W399" s="10">
        <f t="shared" si="216"/>
        <v>1</v>
      </c>
      <c r="X399" s="10">
        <f t="shared" si="217"/>
        <v>0.75</v>
      </c>
      <c r="Y399" s="10">
        <f t="shared" si="218"/>
        <v>0.25</v>
      </c>
      <c r="Z399" s="10">
        <f t="shared" si="219"/>
        <v>1</v>
      </c>
      <c r="AA399" s="10" t="str">
        <f t="shared" si="220"/>
        <v/>
      </c>
      <c r="AB399" s="10" t="str">
        <f t="shared" si="221"/>
        <v/>
      </c>
      <c r="AC399" s="10" t="str">
        <f t="shared" si="222"/>
        <v/>
      </c>
      <c r="AD399" s="10" t="str">
        <f t="shared" si="223"/>
        <v/>
      </c>
      <c r="AE399" s="10" t="str">
        <f t="shared" si="224"/>
        <v/>
      </c>
      <c r="AF399" s="10" t="str">
        <f t="shared" si="225"/>
        <v/>
      </c>
      <c r="AG399" s="10" t="str">
        <f t="shared" si="226"/>
        <v/>
      </c>
      <c r="AH399" s="10" t="str">
        <f t="shared" si="227"/>
        <v/>
      </c>
      <c r="AI399" s="10">
        <f>IF(OR(S399="",'4_BENCHMARK'!$C$4=""),"",ABS(S399-'4_BENCHMARK'!$C$4))</f>
        <v>0</v>
      </c>
      <c r="AJ399" s="10">
        <f>IF(OR(T399="",'4_BENCHMARK'!$C$5=""),"",ABS(T399-'4_BENCHMARK'!$C$5))</f>
        <v>0.25</v>
      </c>
      <c r="AK399" s="10">
        <f>IF(OR(U399="",'4_BENCHMARK'!$C$6=""),"",ABS(U399-'4_BENCHMARK'!$C$6))</f>
        <v>0</v>
      </c>
      <c r="AL399" s="10">
        <f>IF(OR(V399="",'4_BENCHMARK'!$C$7=""),"",ABS(V399-'4_BENCHMARK'!$C$7))</f>
        <v>0.25</v>
      </c>
      <c r="AM399" s="10">
        <f>IF(OR(W399="",'4_BENCHMARK'!$C$8=""),"",ABS(W399-'4_BENCHMARK'!$C$8))</f>
        <v>1</v>
      </c>
      <c r="AN399" s="10">
        <f>IF(OR(X399="",'4_BENCHMARK'!$C$9=""),"",ABS(X399-'4_BENCHMARK'!$C$9))</f>
        <v>0.75</v>
      </c>
      <c r="AO399" s="10">
        <f>IF(OR(Y399="",'4_BENCHMARK'!$C$10=""),"",ABS(Y399-'4_BENCHMARK'!$C$10))</f>
        <v>0.25</v>
      </c>
      <c r="AP399" s="10">
        <f>IF(OR(Z399="",'4_BENCHMARK'!$C$11=""),"",ABS(Z399-'4_BENCHMARK'!$C$11))</f>
        <v>0</v>
      </c>
      <c r="AQ399" s="13">
        <f t="shared" si="228"/>
        <v>0.6875</v>
      </c>
      <c r="AR399" s="10"/>
      <c r="AS399" s="36" t="s">
        <v>141</v>
      </c>
      <c r="AT399" s="13">
        <f t="shared" si="229"/>
        <v>0.875</v>
      </c>
      <c r="AU399" s="1" t="str">
        <f t="shared" si="230"/>
        <v/>
      </c>
      <c r="AV399" s="1" t="str">
        <f t="shared" si="231"/>
        <v/>
      </c>
      <c r="AW399" s="1" t="str">
        <f t="shared" si="232"/>
        <v/>
      </c>
      <c r="AX399" s="1" t="str">
        <f t="shared" si="233"/>
        <v/>
      </c>
      <c r="AY399" s="1" t="str">
        <f t="shared" si="234"/>
        <v/>
      </c>
      <c r="AZ399" s="1" t="str">
        <f t="shared" si="235"/>
        <v/>
      </c>
      <c r="BA399" s="1" t="str">
        <f t="shared" si="236"/>
        <v/>
      </c>
      <c r="BB399" s="1" t="str">
        <f t="shared" si="237"/>
        <v/>
      </c>
      <c r="BC399" s="1">
        <f t="shared" si="238"/>
        <v>5</v>
      </c>
      <c r="BD399" s="1">
        <f t="shared" si="239"/>
        <v>4</v>
      </c>
      <c r="BE399" s="1">
        <f t="shared" si="240"/>
        <v>5</v>
      </c>
      <c r="BF399" s="1">
        <f t="shared" si="241"/>
        <v>4</v>
      </c>
      <c r="BG399" s="1">
        <f t="shared" si="242"/>
        <v>5</v>
      </c>
      <c r="BH399" s="1">
        <f t="shared" si="243"/>
        <v>4</v>
      </c>
      <c r="BI399" s="1">
        <f t="shared" si="244"/>
        <v>2</v>
      </c>
      <c r="BJ399" s="1">
        <f t="shared" si="245"/>
        <v>5</v>
      </c>
    </row>
    <row r="400" ht="14.25" customHeight="1" spans="1:62">
      <c r="A400" s="10">
        <v>396</v>
      </c>
      <c r="B400" s="36" t="s">
        <v>1361</v>
      </c>
      <c r="C400" s="10">
        <v>1989</v>
      </c>
      <c r="D400" s="10">
        <f t="shared" si="246"/>
        <v>1980</v>
      </c>
      <c r="E400" s="36" t="s">
        <v>136</v>
      </c>
      <c r="F400" s="35" t="s">
        <v>1362</v>
      </c>
      <c r="G400" s="36" t="s">
        <v>1363</v>
      </c>
      <c r="H400" s="10" t="s">
        <v>140</v>
      </c>
      <c r="I400" s="10" t="s">
        <v>140</v>
      </c>
      <c r="J400" s="10"/>
      <c r="K400" s="10">
        <v>4</v>
      </c>
      <c r="L400" s="10">
        <v>5</v>
      </c>
      <c r="M400" s="10">
        <v>5</v>
      </c>
      <c r="N400" s="10">
        <v>5</v>
      </c>
      <c r="O400" s="10">
        <v>5</v>
      </c>
      <c r="P400" s="10">
        <v>5</v>
      </c>
      <c r="Q400" s="10">
        <v>1</v>
      </c>
      <c r="R400" s="10">
        <v>5</v>
      </c>
      <c r="S400" s="10">
        <f t="shared" si="212"/>
        <v>0.75</v>
      </c>
      <c r="T400" s="10">
        <f t="shared" si="213"/>
        <v>1</v>
      </c>
      <c r="U400" s="10">
        <f t="shared" si="214"/>
        <v>1</v>
      </c>
      <c r="V400" s="10">
        <f t="shared" si="215"/>
        <v>1</v>
      </c>
      <c r="W400" s="10">
        <f t="shared" si="216"/>
        <v>1</v>
      </c>
      <c r="X400" s="10">
        <f t="shared" si="217"/>
        <v>1</v>
      </c>
      <c r="Y400" s="10">
        <f t="shared" si="218"/>
        <v>0</v>
      </c>
      <c r="Z400" s="10">
        <f t="shared" si="219"/>
        <v>1</v>
      </c>
      <c r="AA400" s="10" t="str">
        <f t="shared" si="220"/>
        <v/>
      </c>
      <c r="AB400" s="10" t="str">
        <f t="shared" si="221"/>
        <v/>
      </c>
      <c r="AC400" s="10" t="str">
        <f t="shared" si="222"/>
        <v/>
      </c>
      <c r="AD400" s="10" t="str">
        <f t="shared" si="223"/>
        <v/>
      </c>
      <c r="AE400" s="10" t="str">
        <f t="shared" si="224"/>
        <v/>
      </c>
      <c r="AF400" s="10" t="str">
        <f t="shared" si="225"/>
        <v/>
      </c>
      <c r="AG400" s="10" t="str">
        <f t="shared" si="226"/>
        <v/>
      </c>
      <c r="AH400" s="10" t="str">
        <f t="shared" si="227"/>
        <v/>
      </c>
      <c r="AI400" s="10">
        <f>IF(OR(S400="",'4_BENCHMARK'!$C$4=""),"",ABS(S400-'4_BENCHMARK'!$C$4))</f>
        <v>0.25</v>
      </c>
      <c r="AJ400" s="10">
        <f>IF(OR(T400="",'4_BENCHMARK'!$C$5=""),"",ABS(T400-'4_BENCHMARK'!$C$5))</f>
        <v>0</v>
      </c>
      <c r="AK400" s="10">
        <f>IF(OR(U400="",'4_BENCHMARK'!$C$6=""),"",ABS(U400-'4_BENCHMARK'!$C$6))</f>
        <v>0</v>
      </c>
      <c r="AL400" s="10">
        <f>IF(OR(V400="",'4_BENCHMARK'!$C$7=""),"",ABS(V400-'4_BENCHMARK'!$C$7))</f>
        <v>0</v>
      </c>
      <c r="AM400" s="10">
        <f>IF(OR(W400="",'4_BENCHMARK'!$C$8=""),"",ABS(W400-'4_BENCHMARK'!$C$8))</f>
        <v>1</v>
      </c>
      <c r="AN400" s="10">
        <f>IF(OR(X400="",'4_BENCHMARK'!$C$9=""),"",ABS(X400-'4_BENCHMARK'!$C$9))</f>
        <v>1</v>
      </c>
      <c r="AO400" s="10">
        <f>IF(OR(Y400="",'4_BENCHMARK'!$C$10=""),"",ABS(Y400-'4_BENCHMARK'!$C$10))</f>
        <v>0.5</v>
      </c>
      <c r="AP400" s="10">
        <f>IF(OR(Z400="",'4_BENCHMARK'!$C$11=""),"",ABS(Z400-'4_BENCHMARK'!$C$11))</f>
        <v>0</v>
      </c>
      <c r="AQ400" s="13">
        <f t="shared" si="228"/>
        <v>0.65625</v>
      </c>
      <c r="AR400" s="10"/>
      <c r="AS400" s="36" t="s">
        <v>141</v>
      </c>
      <c r="AT400" s="13">
        <f t="shared" si="229"/>
        <v>0.875</v>
      </c>
      <c r="AU400" s="1" t="str">
        <f t="shared" si="230"/>
        <v/>
      </c>
      <c r="AV400" s="1" t="str">
        <f t="shared" si="231"/>
        <v/>
      </c>
      <c r="AW400" s="1" t="str">
        <f t="shared" si="232"/>
        <v/>
      </c>
      <c r="AX400" s="1" t="str">
        <f t="shared" si="233"/>
        <v/>
      </c>
      <c r="AY400" s="1" t="str">
        <f t="shared" si="234"/>
        <v/>
      </c>
      <c r="AZ400" s="1" t="str">
        <f t="shared" si="235"/>
        <v/>
      </c>
      <c r="BA400" s="1" t="str">
        <f t="shared" si="236"/>
        <v/>
      </c>
      <c r="BB400" s="1" t="str">
        <f t="shared" si="237"/>
        <v/>
      </c>
      <c r="BC400" s="1" t="str">
        <f t="shared" si="238"/>
        <v/>
      </c>
      <c r="BD400" s="1" t="str">
        <f t="shared" si="239"/>
        <v/>
      </c>
      <c r="BE400" s="1" t="str">
        <f t="shared" si="240"/>
        <v/>
      </c>
      <c r="BF400" s="1" t="str">
        <f t="shared" si="241"/>
        <v/>
      </c>
      <c r="BG400" s="1" t="str">
        <f t="shared" si="242"/>
        <v/>
      </c>
      <c r="BH400" s="1" t="str">
        <f t="shared" si="243"/>
        <v/>
      </c>
      <c r="BI400" s="1" t="str">
        <f t="shared" si="244"/>
        <v/>
      </c>
      <c r="BJ400" s="1" t="str">
        <f t="shared" si="245"/>
        <v/>
      </c>
    </row>
    <row r="401" ht="14.25" customHeight="1" spans="1:62">
      <c r="A401" s="10">
        <v>397</v>
      </c>
      <c r="B401" s="36" t="s">
        <v>1364</v>
      </c>
      <c r="C401" s="10">
        <v>2020</v>
      </c>
      <c r="D401" s="10">
        <f t="shared" si="246"/>
        <v>2020</v>
      </c>
      <c r="E401" s="36" t="s">
        <v>136</v>
      </c>
      <c r="F401" s="35" t="s">
        <v>1365</v>
      </c>
      <c r="G401" s="36" t="s">
        <v>1366</v>
      </c>
      <c r="H401" s="10" t="s">
        <v>139</v>
      </c>
      <c r="I401" s="10" t="s">
        <v>140</v>
      </c>
      <c r="J401" s="10"/>
      <c r="K401" s="10">
        <v>3</v>
      </c>
      <c r="L401" s="10">
        <v>2</v>
      </c>
      <c r="M401" s="10">
        <v>2</v>
      </c>
      <c r="N401" s="10">
        <v>2</v>
      </c>
      <c r="O401" s="10">
        <v>5</v>
      </c>
      <c r="P401" s="10">
        <v>5</v>
      </c>
      <c r="Q401" s="10">
        <v>2</v>
      </c>
      <c r="R401" s="10">
        <v>4</v>
      </c>
      <c r="S401" s="10">
        <f t="shared" si="212"/>
        <v>0.5</v>
      </c>
      <c r="T401" s="10">
        <f t="shared" si="213"/>
        <v>0.25</v>
      </c>
      <c r="U401" s="10">
        <f t="shared" si="214"/>
        <v>0.25</v>
      </c>
      <c r="V401" s="10">
        <f t="shared" si="215"/>
        <v>0.25</v>
      </c>
      <c r="W401" s="10">
        <f t="shared" si="216"/>
        <v>1</v>
      </c>
      <c r="X401" s="10">
        <f t="shared" si="217"/>
        <v>1</v>
      </c>
      <c r="Y401" s="10">
        <f t="shared" si="218"/>
        <v>0.25</v>
      </c>
      <c r="Z401" s="10">
        <f t="shared" si="219"/>
        <v>0.75</v>
      </c>
      <c r="AA401" s="10" t="str">
        <f t="shared" si="220"/>
        <v/>
      </c>
      <c r="AB401" s="10" t="str">
        <f t="shared" si="221"/>
        <v/>
      </c>
      <c r="AC401" s="10" t="str">
        <f t="shared" si="222"/>
        <v/>
      </c>
      <c r="AD401" s="10" t="str">
        <f t="shared" si="223"/>
        <v/>
      </c>
      <c r="AE401" s="10" t="str">
        <f t="shared" si="224"/>
        <v/>
      </c>
      <c r="AF401" s="10" t="str">
        <f t="shared" si="225"/>
        <v/>
      </c>
      <c r="AG401" s="10" t="str">
        <f t="shared" si="226"/>
        <v/>
      </c>
      <c r="AH401" s="10" t="str">
        <f t="shared" si="227"/>
        <v/>
      </c>
      <c r="AI401" s="10">
        <f>IF(OR(S401="",'4_BENCHMARK'!$C$4=""),"",ABS(S401-'4_BENCHMARK'!$C$4))</f>
        <v>0.5</v>
      </c>
      <c r="AJ401" s="10">
        <f>IF(OR(T401="",'4_BENCHMARK'!$C$5=""),"",ABS(T401-'4_BENCHMARK'!$C$5))</f>
        <v>0.75</v>
      </c>
      <c r="AK401" s="10">
        <f>IF(OR(U401="",'4_BENCHMARK'!$C$6=""),"",ABS(U401-'4_BENCHMARK'!$C$6))</f>
        <v>0.75</v>
      </c>
      <c r="AL401" s="10">
        <f>IF(OR(V401="",'4_BENCHMARK'!$C$7=""),"",ABS(V401-'4_BENCHMARK'!$C$7))</f>
        <v>0.75</v>
      </c>
      <c r="AM401" s="10">
        <f>IF(OR(W401="",'4_BENCHMARK'!$C$8=""),"",ABS(W401-'4_BENCHMARK'!$C$8))</f>
        <v>1</v>
      </c>
      <c r="AN401" s="10">
        <f>IF(OR(X401="",'4_BENCHMARK'!$C$9=""),"",ABS(X401-'4_BENCHMARK'!$C$9))</f>
        <v>1</v>
      </c>
      <c r="AO401" s="10">
        <f>IF(OR(Y401="",'4_BENCHMARK'!$C$10=""),"",ABS(Y401-'4_BENCHMARK'!$C$10))</f>
        <v>0.25</v>
      </c>
      <c r="AP401" s="10">
        <f>IF(OR(Z401="",'4_BENCHMARK'!$C$11=""),"",ABS(Z401-'4_BENCHMARK'!$C$11))</f>
        <v>0.25</v>
      </c>
      <c r="AQ401" s="13">
        <f t="shared" si="228"/>
        <v>0.34375</v>
      </c>
      <c r="AR401" s="10"/>
      <c r="AS401" s="36" t="s">
        <v>145</v>
      </c>
      <c r="AT401" s="13">
        <f t="shared" si="229"/>
        <v>0.458333333333333</v>
      </c>
      <c r="AU401" s="1" t="str">
        <f t="shared" si="230"/>
        <v/>
      </c>
      <c r="AV401" s="1" t="str">
        <f t="shared" si="231"/>
        <v/>
      </c>
      <c r="AW401" s="1" t="str">
        <f t="shared" si="232"/>
        <v/>
      </c>
      <c r="AX401" s="1" t="str">
        <f t="shared" si="233"/>
        <v/>
      </c>
      <c r="AY401" s="1" t="str">
        <f t="shared" si="234"/>
        <v/>
      </c>
      <c r="AZ401" s="1" t="str">
        <f t="shared" si="235"/>
        <v/>
      </c>
      <c r="BA401" s="1" t="str">
        <f t="shared" si="236"/>
        <v/>
      </c>
      <c r="BB401" s="1" t="str">
        <f t="shared" si="237"/>
        <v/>
      </c>
      <c r="BC401" s="1">
        <f t="shared" si="238"/>
        <v>3</v>
      </c>
      <c r="BD401" s="1">
        <f t="shared" si="239"/>
        <v>2</v>
      </c>
      <c r="BE401" s="1">
        <f t="shared" si="240"/>
        <v>2</v>
      </c>
      <c r="BF401" s="1">
        <f t="shared" si="241"/>
        <v>2</v>
      </c>
      <c r="BG401" s="1">
        <f t="shared" si="242"/>
        <v>5</v>
      </c>
      <c r="BH401" s="1">
        <f t="shared" si="243"/>
        <v>5</v>
      </c>
      <c r="BI401" s="1">
        <f t="shared" si="244"/>
        <v>2</v>
      </c>
      <c r="BJ401" s="1">
        <f t="shared" si="245"/>
        <v>4</v>
      </c>
    </row>
    <row r="402" ht="14.25" customHeight="1" spans="1:62">
      <c r="A402" s="10">
        <v>398</v>
      </c>
      <c r="B402" s="36" t="s">
        <v>1367</v>
      </c>
      <c r="C402" s="10">
        <v>2019</v>
      </c>
      <c r="D402" s="10">
        <f t="shared" si="246"/>
        <v>2010</v>
      </c>
      <c r="E402" s="36" t="s">
        <v>136</v>
      </c>
      <c r="F402" s="35" t="s">
        <v>1368</v>
      </c>
      <c r="G402" s="36" t="s">
        <v>1369</v>
      </c>
      <c r="H402" s="10" t="s">
        <v>140</v>
      </c>
      <c r="I402" s="10" t="s">
        <v>140</v>
      </c>
      <c r="J402" s="10"/>
      <c r="K402" s="10">
        <v>5</v>
      </c>
      <c r="L402" s="10">
        <v>5</v>
      </c>
      <c r="M402" s="10">
        <v>5</v>
      </c>
      <c r="N402" s="10">
        <v>5</v>
      </c>
      <c r="O402" s="10">
        <v>5</v>
      </c>
      <c r="P402" s="10">
        <v>3</v>
      </c>
      <c r="Q402" s="10">
        <v>2</v>
      </c>
      <c r="R402" s="10">
        <v>5</v>
      </c>
      <c r="S402" s="10">
        <f t="shared" si="212"/>
        <v>1</v>
      </c>
      <c r="T402" s="10">
        <f t="shared" si="213"/>
        <v>1</v>
      </c>
      <c r="U402" s="10">
        <f t="shared" si="214"/>
        <v>1</v>
      </c>
      <c r="V402" s="10">
        <f t="shared" si="215"/>
        <v>1</v>
      </c>
      <c r="W402" s="10">
        <f t="shared" si="216"/>
        <v>1</v>
      </c>
      <c r="X402" s="10">
        <f t="shared" si="217"/>
        <v>0.5</v>
      </c>
      <c r="Y402" s="10">
        <f t="shared" si="218"/>
        <v>0.25</v>
      </c>
      <c r="Z402" s="10">
        <f t="shared" si="219"/>
        <v>1</v>
      </c>
      <c r="AA402" s="10" t="str">
        <f t="shared" si="220"/>
        <v/>
      </c>
      <c r="AB402" s="10" t="str">
        <f t="shared" si="221"/>
        <v/>
      </c>
      <c r="AC402" s="10" t="str">
        <f t="shared" si="222"/>
        <v/>
      </c>
      <c r="AD402" s="10" t="str">
        <f t="shared" si="223"/>
        <v/>
      </c>
      <c r="AE402" s="10" t="str">
        <f t="shared" si="224"/>
        <v/>
      </c>
      <c r="AF402" s="10" t="str">
        <f t="shared" si="225"/>
        <v/>
      </c>
      <c r="AG402" s="10" t="str">
        <f t="shared" si="226"/>
        <v/>
      </c>
      <c r="AH402" s="10" t="str">
        <f t="shared" si="227"/>
        <v/>
      </c>
      <c r="AI402" s="10">
        <f>IF(OR(S402="",'4_BENCHMARK'!$C$4=""),"",ABS(S402-'4_BENCHMARK'!$C$4))</f>
        <v>0</v>
      </c>
      <c r="AJ402" s="10">
        <f>IF(OR(T402="",'4_BENCHMARK'!$C$5=""),"",ABS(T402-'4_BENCHMARK'!$C$5))</f>
        <v>0</v>
      </c>
      <c r="AK402" s="10">
        <f>IF(OR(U402="",'4_BENCHMARK'!$C$6=""),"",ABS(U402-'4_BENCHMARK'!$C$6))</f>
        <v>0</v>
      </c>
      <c r="AL402" s="10">
        <f>IF(OR(V402="",'4_BENCHMARK'!$C$7=""),"",ABS(V402-'4_BENCHMARK'!$C$7))</f>
        <v>0</v>
      </c>
      <c r="AM402" s="10">
        <f>IF(OR(W402="",'4_BENCHMARK'!$C$8=""),"",ABS(W402-'4_BENCHMARK'!$C$8))</f>
        <v>1</v>
      </c>
      <c r="AN402" s="10">
        <f>IF(OR(X402="",'4_BENCHMARK'!$C$9=""),"",ABS(X402-'4_BENCHMARK'!$C$9))</f>
        <v>0.5</v>
      </c>
      <c r="AO402" s="10">
        <f>IF(OR(Y402="",'4_BENCHMARK'!$C$10=""),"",ABS(Y402-'4_BENCHMARK'!$C$10))</f>
        <v>0.25</v>
      </c>
      <c r="AP402" s="10">
        <f>IF(OR(Z402="",'4_BENCHMARK'!$C$11=""),"",ABS(Z402-'4_BENCHMARK'!$C$11))</f>
        <v>0</v>
      </c>
      <c r="AQ402" s="13">
        <f t="shared" si="228"/>
        <v>0.78125</v>
      </c>
      <c r="AR402" s="10"/>
      <c r="AS402" s="36" t="s">
        <v>141</v>
      </c>
      <c r="AT402" s="13">
        <f t="shared" si="229"/>
        <v>0.958333333333333</v>
      </c>
      <c r="AU402" s="1" t="str">
        <f t="shared" si="230"/>
        <v/>
      </c>
      <c r="AV402" s="1" t="str">
        <f t="shared" si="231"/>
        <v/>
      </c>
      <c r="AW402" s="1" t="str">
        <f t="shared" si="232"/>
        <v/>
      </c>
      <c r="AX402" s="1" t="str">
        <f t="shared" si="233"/>
        <v/>
      </c>
      <c r="AY402" s="1" t="str">
        <f t="shared" si="234"/>
        <v/>
      </c>
      <c r="AZ402" s="1" t="str">
        <f t="shared" si="235"/>
        <v/>
      </c>
      <c r="BA402" s="1" t="str">
        <f t="shared" si="236"/>
        <v/>
      </c>
      <c r="BB402" s="1" t="str">
        <f t="shared" si="237"/>
        <v/>
      </c>
      <c r="BC402" s="1">
        <f t="shared" si="238"/>
        <v>5</v>
      </c>
      <c r="BD402" s="1">
        <f t="shared" si="239"/>
        <v>5</v>
      </c>
      <c r="BE402" s="1">
        <f t="shared" si="240"/>
        <v>5</v>
      </c>
      <c r="BF402" s="1">
        <f t="shared" si="241"/>
        <v>5</v>
      </c>
      <c r="BG402" s="1">
        <f t="shared" si="242"/>
        <v>5</v>
      </c>
      <c r="BH402" s="1">
        <f t="shared" si="243"/>
        <v>3</v>
      </c>
      <c r="BI402" s="1">
        <f t="shared" si="244"/>
        <v>2</v>
      </c>
      <c r="BJ402" s="1">
        <f t="shared" si="245"/>
        <v>5</v>
      </c>
    </row>
    <row r="403" ht="14.25" customHeight="1" spans="1:62">
      <c r="A403" s="10">
        <v>399</v>
      </c>
      <c r="B403" s="36" t="s">
        <v>1370</v>
      </c>
      <c r="C403" s="10">
        <v>2008</v>
      </c>
      <c r="D403" s="10">
        <f t="shared" si="246"/>
        <v>2000</v>
      </c>
      <c r="E403" s="36" t="s">
        <v>136</v>
      </c>
      <c r="F403" s="35" t="s">
        <v>1371</v>
      </c>
      <c r="G403" s="36" t="s">
        <v>1372</v>
      </c>
      <c r="H403" s="10" t="s">
        <v>140</v>
      </c>
      <c r="I403" s="10" t="s">
        <v>140</v>
      </c>
      <c r="J403" s="10"/>
      <c r="K403" s="10">
        <v>5</v>
      </c>
      <c r="L403" s="10">
        <v>5</v>
      </c>
      <c r="M403" s="10">
        <v>5</v>
      </c>
      <c r="N403" s="10">
        <v>4</v>
      </c>
      <c r="O403" s="10">
        <v>2</v>
      </c>
      <c r="P403" s="10">
        <v>1</v>
      </c>
      <c r="Q403" s="10">
        <v>1</v>
      </c>
      <c r="R403" s="10">
        <v>4</v>
      </c>
      <c r="S403" s="10">
        <f t="shared" si="212"/>
        <v>1</v>
      </c>
      <c r="T403" s="10">
        <f t="shared" si="213"/>
        <v>1</v>
      </c>
      <c r="U403" s="10">
        <f t="shared" si="214"/>
        <v>1</v>
      </c>
      <c r="V403" s="10">
        <f t="shared" si="215"/>
        <v>0.75</v>
      </c>
      <c r="W403" s="10">
        <f t="shared" si="216"/>
        <v>0.25</v>
      </c>
      <c r="X403" s="10">
        <f t="shared" si="217"/>
        <v>0</v>
      </c>
      <c r="Y403" s="10">
        <f t="shared" si="218"/>
        <v>0</v>
      </c>
      <c r="Z403" s="10">
        <f t="shared" si="219"/>
        <v>0.75</v>
      </c>
      <c r="AA403" s="10" t="str">
        <f t="shared" si="220"/>
        <v/>
      </c>
      <c r="AB403" s="10" t="str">
        <f t="shared" si="221"/>
        <v/>
      </c>
      <c r="AC403" s="10" t="str">
        <f t="shared" si="222"/>
        <v/>
      </c>
      <c r="AD403" s="10" t="str">
        <f t="shared" si="223"/>
        <v/>
      </c>
      <c r="AE403" s="10" t="str">
        <f t="shared" si="224"/>
        <v/>
      </c>
      <c r="AF403" s="10" t="str">
        <f t="shared" si="225"/>
        <v/>
      </c>
      <c r="AG403" s="10" t="str">
        <f t="shared" si="226"/>
        <v/>
      </c>
      <c r="AH403" s="10" t="str">
        <f t="shared" si="227"/>
        <v/>
      </c>
      <c r="AI403" s="10">
        <f>IF(OR(S403="",'4_BENCHMARK'!$C$4=""),"",ABS(S403-'4_BENCHMARK'!$C$4))</f>
        <v>0</v>
      </c>
      <c r="AJ403" s="10">
        <f>IF(OR(T403="",'4_BENCHMARK'!$C$5=""),"",ABS(T403-'4_BENCHMARK'!$C$5))</f>
        <v>0</v>
      </c>
      <c r="AK403" s="10">
        <f>IF(OR(U403="",'4_BENCHMARK'!$C$6=""),"",ABS(U403-'4_BENCHMARK'!$C$6))</f>
        <v>0</v>
      </c>
      <c r="AL403" s="10">
        <f>IF(OR(V403="",'4_BENCHMARK'!$C$7=""),"",ABS(V403-'4_BENCHMARK'!$C$7))</f>
        <v>0.25</v>
      </c>
      <c r="AM403" s="10">
        <f>IF(OR(W403="",'4_BENCHMARK'!$C$8=""),"",ABS(W403-'4_BENCHMARK'!$C$8))</f>
        <v>0.25</v>
      </c>
      <c r="AN403" s="10">
        <f>IF(OR(X403="",'4_BENCHMARK'!$C$9=""),"",ABS(X403-'4_BENCHMARK'!$C$9))</f>
        <v>0</v>
      </c>
      <c r="AO403" s="10">
        <f>IF(OR(Y403="",'4_BENCHMARK'!$C$10=""),"",ABS(Y403-'4_BENCHMARK'!$C$10))</f>
        <v>0.5</v>
      </c>
      <c r="AP403" s="10">
        <f>IF(OR(Z403="",'4_BENCHMARK'!$C$11=""),"",ABS(Z403-'4_BENCHMARK'!$C$11))</f>
        <v>0.25</v>
      </c>
      <c r="AQ403" s="13">
        <f t="shared" si="228"/>
        <v>0.84375</v>
      </c>
      <c r="AR403" s="10"/>
      <c r="AS403" s="36" t="s">
        <v>145</v>
      </c>
      <c r="AT403" s="13">
        <f t="shared" si="229"/>
        <v>0.833333333333333</v>
      </c>
      <c r="AU403" s="1" t="str">
        <f t="shared" si="230"/>
        <v/>
      </c>
      <c r="AV403" s="1" t="str">
        <f t="shared" si="231"/>
        <v/>
      </c>
      <c r="AW403" s="1" t="str">
        <f t="shared" si="232"/>
        <v/>
      </c>
      <c r="AX403" s="1" t="str">
        <f t="shared" si="233"/>
        <v/>
      </c>
      <c r="AY403" s="1" t="str">
        <f t="shared" si="234"/>
        <v/>
      </c>
      <c r="AZ403" s="1" t="str">
        <f t="shared" si="235"/>
        <v/>
      </c>
      <c r="BA403" s="1" t="str">
        <f t="shared" si="236"/>
        <v/>
      </c>
      <c r="BB403" s="1" t="str">
        <f t="shared" si="237"/>
        <v/>
      </c>
      <c r="BC403" s="1">
        <f t="shared" si="238"/>
        <v>5</v>
      </c>
      <c r="BD403" s="1">
        <f t="shared" si="239"/>
        <v>5</v>
      </c>
      <c r="BE403" s="1">
        <f t="shared" si="240"/>
        <v>5</v>
      </c>
      <c r="BF403" s="1">
        <f t="shared" si="241"/>
        <v>4</v>
      </c>
      <c r="BG403" s="1">
        <f t="shared" si="242"/>
        <v>2</v>
      </c>
      <c r="BH403" s="1">
        <f t="shared" si="243"/>
        <v>1</v>
      </c>
      <c r="BI403" s="1">
        <f t="shared" si="244"/>
        <v>1</v>
      </c>
      <c r="BJ403" s="1">
        <f t="shared" si="245"/>
        <v>4</v>
      </c>
    </row>
    <row r="404" ht="14.25" customHeight="1" spans="1:62">
      <c r="A404" s="10">
        <v>400</v>
      </c>
      <c r="B404" s="36" t="s">
        <v>1373</v>
      </c>
      <c r="C404" s="36">
        <v>2017</v>
      </c>
      <c r="D404" s="10">
        <f t="shared" si="246"/>
        <v>2010</v>
      </c>
      <c r="E404" s="36" t="s">
        <v>136</v>
      </c>
      <c r="F404" s="35" t="s">
        <v>1374</v>
      </c>
      <c r="G404" s="36" t="s">
        <v>1375</v>
      </c>
      <c r="H404" s="10" t="s">
        <v>140</v>
      </c>
      <c r="I404" s="10" t="s">
        <v>140</v>
      </c>
      <c r="K404" s="36">
        <v>4</v>
      </c>
      <c r="L404" s="36">
        <v>4</v>
      </c>
      <c r="M404" s="36">
        <v>4</v>
      </c>
      <c r="N404" s="36">
        <v>5</v>
      </c>
      <c r="O404" s="36">
        <v>5</v>
      </c>
      <c r="P404" s="36">
        <v>5</v>
      </c>
      <c r="Q404" s="36">
        <v>2</v>
      </c>
      <c r="R404" s="36">
        <v>5</v>
      </c>
      <c r="S404" s="10">
        <f t="shared" si="212"/>
        <v>0.75</v>
      </c>
      <c r="T404" s="10">
        <f t="shared" si="213"/>
        <v>0.75</v>
      </c>
      <c r="U404" s="10">
        <f t="shared" si="214"/>
        <v>0.75</v>
      </c>
      <c r="V404" s="10">
        <f t="shared" si="215"/>
        <v>1</v>
      </c>
      <c r="W404" s="10">
        <f t="shared" si="216"/>
        <v>1</v>
      </c>
      <c r="X404" s="10">
        <f t="shared" si="217"/>
        <v>1</v>
      </c>
      <c r="Y404" s="10">
        <f t="shared" si="218"/>
        <v>0.25</v>
      </c>
      <c r="Z404" s="10">
        <f t="shared" si="219"/>
        <v>1</v>
      </c>
      <c r="AA404" s="10" t="str">
        <f t="shared" si="220"/>
        <v/>
      </c>
      <c r="AB404" s="10" t="str">
        <f t="shared" si="221"/>
        <v/>
      </c>
      <c r="AC404" s="10" t="str">
        <f t="shared" si="222"/>
        <v/>
      </c>
      <c r="AD404" s="10" t="str">
        <f t="shared" si="223"/>
        <v/>
      </c>
      <c r="AE404" s="10" t="str">
        <f t="shared" si="224"/>
        <v/>
      </c>
      <c r="AF404" s="10" t="str">
        <f t="shared" si="225"/>
        <v/>
      </c>
      <c r="AG404" s="10" t="str">
        <f t="shared" si="226"/>
        <v/>
      </c>
      <c r="AH404" s="10" t="str">
        <f t="shared" si="227"/>
        <v/>
      </c>
      <c r="AI404" s="10">
        <f>IF(OR(S404="",'4_BENCHMARK'!$C$4=""),"",ABS(S404-'4_BENCHMARK'!$C$4))</f>
        <v>0.25</v>
      </c>
      <c r="AJ404" s="10">
        <f>IF(OR(T404="",'4_BENCHMARK'!$C$5=""),"",ABS(T404-'4_BENCHMARK'!$C$5))</f>
        <v>0.25</v>
      </c>
      <c r="AK404" s="10">
        <f>IF(OR(U404="",'4_BENCHMARK'!$C$6=""),"",ABS(U404-'4_BENCHMARK'!$C$6))</f>
        <v>0.25</v>
      </c>
      <c r="AL404" s="10">
        <f>IF(OR(V404="",'4_BENCHMARK'!$C$7=""),"",ABS(V404-'4_BENCHMARK'!$C$7))</f>
        <v>0</v>
      </c>
      <c r="AM404" s="10">
        <f>IF(OR(W404="",'4_BENCHMARK'!$C$8=""),"",ABS(W404-'4_BENCHMARK'!$C$8))</f>
        <v>1</v>
      </c>
      <c r="AN404" s="10">
        <f>IF(OR(X404="",'4_BENCHMARK'!$C$9=""),"",ABS(X404-'4_BENCHMARK'!$C$9))</f>
        <v>1</v>
      </c>
      <c r="AO404" s="10">
        <f>IF(OR(Y404="",'4_BENCHMARK'!$C$10=""),"",ABS(Y404-'4_BENCHMARK'!$C$10))</f>
        <v>0.25</v>
      </c>
      <c r="AP404" s="10">
        <f>IF(OR(Z404="",'4_BENCHMARK'!$C$11=""),"",ABS(Z404-'4_BENCHMARK'!$C$11))</f>
        <v>0</v>
      </c>
      <c r="AQ404" s="13">
        <f t="shared" si="228"/>
        <v>0.625</v>
      </c>
      <c r="AS404" s="36" t="s">
        <v>145</v>
      </c>
      <c r="AT404" s="13">
        <f t="shared" si="229"/>
        <v>0.833333333333333</v>
      </c>
      <c r="AU404" s="1" t="str">
        <f t="shared" si="230"/>
        <v/>
      </c>
      <c r="AV404" s="1" t="str">
        <f t="shared" si="231"/>
        <v/>
      </c>
      <c r="AW404" s="1" t="str">
        <f t="shared" si="232"/>
        <v/>
      </c>
      <c r="AX404" s="1" t="str">
        <f t="shared" si="233"/>
        <v/>
      </c>
      <c r="AY404" s="1" t="str">
        <f t="shared" si="234"/>
        <v/>
      </c>
      <c r="AZ404" s="1" t="str">
        <f t="shared" si="235"/>
        <v/>
      </c>
      <c r="BA404" s="1" t="str">
        <f t="shared" si="236"/>
        <v/>
      </c>
      <c r="BB404" s="1" t="str">
        <f t="shared" si="237"/>
        <v/>
      </c>
      <c r="BC404" s="1">
        <f t="shared" si="238"/>
        <v>4</v>
      </c>
      <c r="BD404" s="1">
        <f t="shared" si="239"/>
        <v>4</v>
      </c>
      <c r="BE404" s="1">
        <f t="shared" si="240"/>
        <v>4</v>
      </c>
      <c r="BF404" s="1">
        <f t="shared" si="241"/>
        <v>5</v>
      </c>
      <c r="BG404" s="1">
        <f t="shared" si="242"/>
        <v>5</v>
      </c>
      <c r="BH404" s="1">
        <f t="shared" si="243"/>
        <v>5</v>
      </c>
      <c r="BI404" s="1">
        <f t="shared" si="244"/>
        <v>2</v>
      </c>
      <c r="BJ404" s="1">
        <f t="shared" si="245"/>
        <v>5</v>
      </c>
    </row>
    <row r="405" ht="14.25" customHeight="1" spans="1:62">
      <c r="A405" s="10"/>
      <c r="B405" s="36"/>
      <c r="C405" s="10"/>
      <c r="D405" s="10" t="str">
        <f t="shared" si="246"/>
        <v/>
      </c>
      <c r="E405" s="36"/>
      <c r="F405" s="35"/>
      <c r="G405" s="36"/>
      <c r="H405" s="10"/>
      <c r="I405" s="10"/>
      <c r="J405" s="10"/>
      <c r="K405" s="10"/>
      <c r="L405" s="10"/>
      <c r="M405" s="10"/>
      <c r="N405" s="10"/>
      <c r="O405" s="10"/>
      <c r="P405" s="10"/>
      <c r="Q405" s="10"/>
      <c r="R405" s="10"/>
      <c r="S405" s="10" t="str">
        <f t="shared" si="212"/>
        <v/>
      </c>
      <c r="T405" s="10" t="str">
        <f t="shared" si="213"/>
        <v/>
      </c>
      <c r="U405" s="10" t="str">
        <f t="shared" si="214"/>
        <v/>
      </c>
      <c r="V405" s="10" t="str">
        <f t="shared" si="215"/>
        <v/>
      </c>
      <c r="W405" s="10" t="str">
        <f t="shared" si="216"/>
        <v/>
      </c>
      <c r="X405" s="10" t="str">
        <f t="shared" si="217"/>
        <v/>
      </c>
      <c r="Y405" s="10" t="str">
        <f t="shared" si="218"/>
        <v/>
      </c>
      <c r="Z405" s="10" t="str">
        <f t="shared" si="219"/>
        <v/>
      </c>
      <c r="AA405" s="10" t="str">
        <f t="shared" si="220"/>
        <v/>
      </c>
      <c r="AB405" s="10" t="str">
        <f t="shared" si="221"/>
        <v/>
      </c>
      <c r="AC405" s="10" t="str">
        <f t="shared" si="222"/>
        <v/>
      </c>
      <c r="AD405" s="10" t="str">
        <f t="shared" si="223"/>
        <v/>
      </c>
      <c r="AE405" s="10" t="str">
        <f t="shared" si="224"/>
        <v/>
      </c>
      <c r="AF405" s="10" t="str">
        <f t="shared" si="225"/>
        <v/>
      </c>
      <c r="AG405" s="10" t="str">
        <f t="shared" si="226"/>
        <v/>
      </c>
      <c r="AH405" s="10" t="str">
        <f t="shared" si="227"/>
        <v/>
      </c>
      <c r="AI405" s="10" t="str">
        <f>IF(OR(S405="",'4_BENCHMARK'!$C$4=""),"",ABS(S405-'4_BENCHMARK'!$C$4))</f>
        <v/>
      </c>
      <c r="AJ405" s="10" t="str">
        <f>IF(OR(T405="",'4_BENCHMARK'!$C$5=""),"",ABS(T405-'4_BENCHMARK'!$C$5))</f>
        <v/>
      </c>
      <c r="AK405" s="10" t="str">
        <f>IF(OR(U405="",'4_BENCHMARK'!$C$6=""),"",ABS(U405-'4_BENCHMARK'!$C$6))</f>
        <v/>
      </c>
      <c r="AL405" s="10" t="str">
        <f>IF(OR(V405="",'4_BENCHMARK'!$C$7=""),"",ABS(V405-'4_BENCHMARK'!$C$7))</f>
        <v/>
      </c>
      <c r="AM405" s="10" t="str">
        <f>IF(OR(W405="",'4_BENCHMARK'!$C$8=""),"",ABS(W405-'4_BENCHMARK'!$C$8))</f>
        <v/>
      </c>
      <c r="AN405" s="10" t="str">
        <f>IF(OR(X405="",'4_BENCHMARK'!$C$9=""),"",ABS(X405-'4_BENCHMARK'!$C$9))</f>
        <v/>
      </c>
      <c r="AO405" s="10" t="str">
        <f>IF(OR(Y405="",'4_BENCHMARK'!$C$10=""),"",ABS(Y405-'4_BENCHMARK'!$C$10))</f>
        <v/>
      </c>
      <c r="AP405" s="10" t="str">
        <f>IF(OR(Z405="",'4_BENCHMARK'!$C$11=""),"",ABS(Z405-'4_BENCHMARK'!$C$11))</f>
        <v/>
      </c>
      <c r="AQ405" s="13" t="str">
        <f t="shared" si="228"/>
        <v/>
      </c>
      <c r="AR405" s="10"/>
      <c r="AS405" s="36"/>
      <c r="AT405" s="13" t="str">
        <f t="shared" si="229"/>
        <v/>
      </c>
      <c r="AU405" s="1" t="str">
        <f t="shared" ref="AU405:BB405" si="247">IF(AND($I403="yes",$C403&lt;=1949,K405&lt;&gt;""),K405,"")</f>
        <v/>
      </c>
      <c r="AV405" s="1" t="str">
        <f t="shared" si="247"/>
        <v/>
      </c>
      <c r="AW405" s="1" t="str">
        <f t="shared" si="247"/>
        <v/>
      </c>
      <c r="AX405" s="1" t="str">
        <f t="shared" si="247"/>
        <v/>
      </c>
      <c r="AY405" s="1" t="str">
        <f t="shared" si="247"/>
        <v/>
      </c>
      <c r="AZ405" s="1" t="str">
        <f t="shared" si="247"/>
        <v/>
      </c>
      <c r="BA405" s="1" t="str">
        <f t="shared" si="247"/>
        <v/>
      </c>
      <c r="BB405" s="1" t="str">
        <f t="shared" si="247"/>
        <v/>
      </c>
      <c r="BC405" s="1" t="str">
        <f t="shared" ref="BC405:BJ405" si="248">IF(AND($I403="yes",$C403&gt;=2000,K405&lt;&gt;""),K405,"")</f>
        <v/>
      </c>
      <c r="BD405" s="1" t="str">
        <f t="shared" si="248"/>
        <v/>
      </c>
      <c r="BE405" s="1" t="str">
        <f t="shared" si="248"/>
        <v/>
      </c>
      <c r="BF405" s="1" t="str">
        <f t="shared" si="248"/>
        <v/>
      </c>
      <c r="BG405" s="1" t="str">
        <f t="shared" si="248"/>
        <v/>
      </c>
      <c r="BH405" s="1" t="str">
        <f t="shared" si="248"/>
        <v/>
      </c>
      <c r="BI405" s="1" t="str">
        <f t="shared" si="248"/>
        <v/>
      </c>
      <c r="BJ405" s="1" t="str">
        <f t="shared" si="248"/>
        <v/>
      </c>
    </row>
    <row r="406" ht="14.25" customHeight="1" spans="1:62">
      <c r="A406" s="10"/>
      <c r="B406" s="36"/>
      <c r="C406" s="10"/>
      <c r="D406" s="10" t="str">
        <f t="shared" si="246"/>
        <v/>
      </c>
      <c r="E406" s="36"/>
      <c r="F406" s="35"/>
      <c r="G406" s="36"/>
      <c r="H406" s="10"/>
      <c r="I406" s="10"/>
      <c r="J406" s="10"/>
      <c r="K406" s="10"/>
      <c r="L406" s="10"/>
      <c r="M406" s="10"/>
      <c r="N406" s="10"/>
      <c r="O406" s="10"/>
      <c r="P406" s="10"/>
      <c r="Q406" s="10"/>
      <c r="R406" s="10"/>
      <c r="S406" s="10" t="str">
        <f t="shared" si="212"/>
        <v/>
      </c>
      <c r="T406" s="10" t="str">
        <f t="shared" si="213"/>
        <v/>
      </c>
      <c r="U406" s="10" t="str">
        <f t="shared" si="214"/>
        <v/>
      </c>
      <c r="V406" s="10" t="str">
        <f t="shared" si="215"/>
        <v/>
      </c>
      <c r="W406" s="10" t="str">
        <f t="shared" si="216"/>
        <v/>
      </c>
      <c r="X406" s="10" t="str">
        <f t="shared" si="217"/>
        <v/>
      </c>
      <c r="Y406" s="10" t="str">
        <f t="shared" si="218"/>
        <v/>
      </c>
      <c r="Z406" s="10" t="str">
        <f t="shared" si="219"/>
        <v/>
      </c>
      <c r="AA406" s="10" t="str">
        <f t="shared" si="220"/>
        <v/>
      </c>
      <c r="AB406" s="10" t="str">
        <f t="shared" si="221"/>
        <v/>
      </c>
      <c r="AC406" s="10" t="str">
        <f t="shared" si="222"/>
        <v/>
      </c>
      <c r="AD406" s="10" t="str">
        <f t="shared" si="223"/>
        <v/>
      </c>
      <c r="AE406" s="10" t="str">
        <f t="shared" si="224"/>
        <v/>
      </c>
      <c r="AF406" s="10" t="str">
        <f t="shared" si="225"/>
        <v/>
      </c>
      <c r="AG406" s="10" t="str">
        <f t="shared" si="226"/>
        <v/>
      </c>
      <c r="AH406" s="10" t="str">
        <f t="shared" si="227"/>
        <v/>
      </c>
      <c r="AI406" s="10" t="str">
        <f>IF(OR(S406="",'4_BENCHMARK'!$C$4=""),"",ABS(S406-'4_BENCHMARK'!$C$4))</f>
        <v/>
      </c>
      <c r="AJ406" s="10" t="str">
        <f>IF(OR(T406="",'4_BENCHMARK'!$C$5=""),"",ABS(T406-'4_BENCHMARK'!$C$5))</f>
        <v/>
      </c>
      <c r="AK406" s="10" t="str">
        <f>IF(OR(U406="",'4_BENCHMARK'!$C$6=""),"",ABS(U406-'4_BENCHMARK'!$C$6))</f>
        <v/>
      </c>
      <c r="AL406" s="10" t="str">
        <f>IF(OR(V406="",'4_BENCHMARK'!$C$7=""),"",ABS(V406-'4_BENCHMARK'!$C$7))</f>
        <v/>
      </c>
      <c r="AM406" s="10" t="str">
        <f>IF(OR(W406="",'4_BENCHMARK'!$C$8=""),"",ABS(W406-'4_BENCHMARK'!$C$8))</f>
        <v/>
      </c>
      <c r="AN406" s="10" t="str">
        <f>IF(OR(X406="",'4_BENCHMARK'!$C$9=""),"",ABS(X406-'4_BENCHMARK'!$C$9))</f>
        <v/>
      </c>
      <c r="AO406" s="10" t="str">
        <f>IF(OR(Y406="",'4_BENCHMARK'!$C$10=""),"",ABS(Y406-'4_BENCHMARK'!$C$10))</f>
        <v/>
      </c>
      <c r="AP406" s="10" t="str">
        <f>IF(OR(Z406="",'4_BENCHMARK'!$C$11=""),"",ABS(Z406-'4_BENCHMARK'!$C$11))</f>
        <v/>
      </c>
      <c r="AQ406" s="13" t="str">
        <f t="shared" si="228"/>
        <v/>
      </c>
      <c r="AR406" s="10"/>
      <c r="AS406" s="36"/>
      <c r="AT406" s="13" t="str">
        <f t="shared" si="229"/>
        <v/>
      </c>
      <c r="AU406" s="1" t="str">
        <f t="shared" ref="AU406:BB406" si="249">IF(AND($I403="yes",$C403&lt;=1949,K406&lt;&gt;""),K406,"")</f>
        <v/>
      </c>
      <c r="AV406" s="1" t="str">
        <f t="shared" si="249"/>
        <v/>
      </c>
      <c r="AW406" s="1" t="str">
        <f t="shared" si="249"/>
        <v/>
      </c>
      <c r="AX406" s="1" t="str">
        <f t="shared" si="249"/>
        <v/>
      </c>
      <c r="AY406" s="1" t="str">
        <f t="shared" si="249"/>
        <v/>
      </c>
      <c r="AZ406" s="1" t="str">
        <f t="shared" si="249"/>
        <v/>
      </c>
      <c r="BA406" s="1" t="str">
        <f t="shared" si="249"/>
        <v/>
      </c>
      <c r="BB406" s="1" t="str">
        <f t="shared" si="249"/>
        <v/>
      </c>
      <c r="BC406" s="1" t="str">
        <f t="shared" ref="BC406:BJ406" si="250">IF(AND($I403="yes",$C403&gt;=2000,K406&lt;&gt;""),K406,"")</f>
        <v/>
      </c>
      <c r="BD406" s="1" t="str">
        <f t="shared" si="250"/>
        <v/>
      </c>
      <c r="BE406" s="1" t="str">
        <f t="shared" si="250"/>
        <v/>
      </c>
      <c r="BF406" s="1" t="str">
        <f t="shared" si="250"/>
        <v/>
      </c>
      <c r="BG406" s="1" t="str">
        <f t="shared" si="250"/>
        <v/>
      </c>
      <c r="BH406" s="1" t="str">
        <f t="shared" si="250"/>
        <v/>
      </c>
      <c r="BI406" s="1" t="str">
        <f t="shared" si="250"/>
        <v/>
      </c>
      <c r="BJ406" s="1" t="str">
        <f t="shared" si="250"/>
        <v/>
      </c>
    </row>
    <row r="407" ht="14.25" customHeight="1" spans="1:62">
      <c r="A407" s="10"/>
      <c r="B407" s="36"/>
      <c r="C407" s="10"/>
      <c r="D407" s="10" t="str">
        <f t="shared" si="246"/>
        <v/>
      </c>
      <c r="E407" s="36"/>
      <c r="F407" s="35"/>
      <c r="G407" s="36"/>
      <c r="H407" s="10"/>
      <c r="I407" s="10"/>
      <c r="J407" s="10"/>
      <c r="K407" s="10"/>
      <c r="L407" s="10"/>
      <c r="M407" s="10"/>
      <c r="N407" s="10"/>
      <c r="O407" s="10"/>
      <c r="P407" s="10"/>
      <c r="Q407" s="10"/>
      <c r="R407" s="10"/>
      <c r="S407" s="10" t="str">
        <f t="shared" si="212"/>
        <v/>
      </c>
      <c r="T407" s="10" t="str">
        <f t="shared" si="213"/>
        <v/>
      </c>
      <c r="U407" s="10" t="str">
        <f t="shared" si="214"/>
        <v/>
      </c>
      <c r="V407" s="10" t="str">
        <f t="shared" si="215"/>
        <v/>
      </c>
      <c r="W407" s="10" t="str">
        <f t="shared" si="216"/>
        <v/>
      </c>
      <c r="X407" s="10" t="str">
        <f t="shared" si="217"/>
        <v/>
      </c>
      <c r="Y407" s="10" t="str">
        <f t="shared" si="218"/>
        <v/>
      </c>
      <c r="Z407" s="10" t="str">
        <f t="shared" si="219"/>
        <v/>
      </c>
      <c r="AA407" s="10" t="str">
        <f t="shared" si="220"/>
        <v/>
      </c>
      <c r="AB407" s="10" t="str">
        <f t="shared" si="221"/>
        <v/>
      </c>
      <c r="AC407" s="10" t="str">
        <f t="shared" si="222"/>
        <v/>
      </c>
      <c r="AD407" s="10" t="str">
        <f t="shared" si="223"/>
        <v/>
      </c>
      <c r="AE407" s="10" t="str">
        <f t="shared" si="224"/>
        <v/>
      </c>
      <c r="AF407" s="10" t="str">
        <f t="shared" si="225"/>
        <v/>
      </c>
      <c r="AG407" s="10" t="str">
        <f t="shared" si="226"/>
        <v/>
      </c>
      <c r="AH407" s="10" t="str">
        <f t="shared" si="227"/>
        <v/>
      </c>
      <c r="AI407" s="10" t="str">
        <f>IF(OR(S407="",'4_BENCHMARK'!$C$4=""),"",ABS(S407-'4_BENCHMARK'!$C$4))</f>
        <v/>
      </c>
      <c r="AJ407" s="10" t="str">
        <f>IF(OR(T407="",'4_BENCHMARK'!$C$5=""),"",ABS(T407-'4_BENCHMARK'!$C$5))</f>
        <v/>
      </c>
      <c r="AK407" s="10" t="str">
        <f>IF(OR(U407="",'4_BENCHMARK'!$C$6=""),"",ABS(U407-'4_BENCHMARK'!$C$6))</f>
        <v/>
      </c>
      <c r="AL407" s="10" t="str">
        <f>IF(OR(V407="",'4_BENCHMARK'!$C$7=""),"",ABS(V407-'4_BENCHMARK'!$C$7))</f>
        <v/>
      </c>
      <c r="AM407" s="10" t="str">
        <f>IF(OR(W407="",'4_BENCHMARK'!$C$8=""),"",ABS(W407-'4_BENCHMARK'!$C$8))</f>
        <v/>
      </c>
      <c r="AN407" s="10" t="str">
        <f>IF(OR(X407="",'4_BENCHMARK'!$C$9=""),"",ABS(X407-'4_BENCHMARK'!$C$9))</f>
        <v/>
      </c>
      <c r="AO407" s="10" t="str">
        <f>IF(OR(Y407="",'4_BENCHMARK'!$C$10=""),"",ABS(Y407-'4_BENCHMARK'!$C$10))</f>
        <v/>
      </c>
      <c r="AP407" s="10" t="str">
        <f>IF(OR(Z407="",'4_BENCHMARK'!$C$11=""),"",ABS(Z407-'4_BENCHMARK'!$C$11))</f>
        <v/>
      </c>
      <c r="AQ407" s="13" t="str">
        <f t="shared" si="228"/>
        <v/>
      </c>
      <c r="AR407" s="10"/>
      <c r="AS407" s="36"/>
      <c r="AT407" s="13" t="str">
        <f t="shared" si="229"/>
        <v/>
      </c>
      <c r="AU407" s="1" t="str">
        <f t="shared" ref="AU407:BB407" si="251">IF(AND($I403="yes",$C403&lt;=1949,K407&lt;&gt;""),K407,"")</f>
        <v/>
      </c>
      <c r="AV407" s="1" t="str">
        <f t="shared" si="251"/>
        <v/>
      </c>
      <c r="AW407" s="1" t="str">
        <f t="shared" si="251"/>
        <v/>
      </c>
      <c r="AX407" s="1" t="str">
        <f t="shared" si="251"/>
        <v/>
      </c>
      <c r="AY407" s="1" t="str">
        <f t="shared" si="251"/>
        <v/>
      </c>
      <c r="AZ407" s="1" t="str">
        <f t="shared" si="251"/>
        <v/>
      </c>
      <c r="BA407" s="1" t="str">
        <f t="shared" si="251"/>
        <v/>
      </c>
      <c r="BB407" s="1" t="str">
        <f t="shared" si="251"/>
        <v/>
      </c>
      <c r="BC407" s="1" t="str">
        <f t="shared" ref="BC407:BJ407" si="252">IF(AND($I403="yes",$C403&gt;=2000,K407&lt;&gt;""),K407,"")</f>
        <v/>
      </c>
      <c r="BD407" s="1" t="str">
        <f t="shared" si="252"/>
        <v/>
      </c>
      <c r="BE407" s="1" t="str">
        <f t="shared" si="252"/>
        <v/>
      </c>
      <c r="BF407" s="1" t="str">
        <f t="shared" si="252"/>
        <v/>
      </c>
      <c r="BG407" s="1" t="str">
        <f t="shared" si="252"/>
        <v/>
      </c>
      <c r="BH407" s="1" t="str">
        <f t="shared" si="252"/>
        <v/>
      </c>
      <c r="BI407" s="1" t="str">
        <f t="shared" si="252"/>
        <v/>
      </c>
      <c r="BJ407" s="1" t="str">
        <f t="shared" si="252"/>
        <v/>
      </c>
    </row>
    <row r="408" ht="14.25" customHeight="1" spans="1:62">
      <c r="A408" s="10"/>
      <c r="B408" s="36"/>
      <c r="C408" s="10"/>
      <c r="D408" s="10" t="str">
        <f t="shared" si="246"/>
        <v/>
      </c>
      <c r="E408" s="36"/>
      <c r="F408" s="35"/>
      <c r="G408" s="36"/>
      <c r="H408" s="10"/>
      <c r="I408" s="10"/>
      <c r="J408" s="10"/>
      <c r="K408" s="10"/>
      <c r="L408" s="10"/>
      <c r="M408" s="10"/>
      <c r="N408" s="10"/>
      <c r="O408" s="10"/>
      <c r="P408" s="10"/>
      <c r="Q408" s="10"/>
      <c r="R408" s="10"/>
      <c r="S408" s="10" t="str">
        <f t="shared" si="212"/>
        <v/>
      </c>
      <c r="T408" s="10" t="str">
        <f t="shared" si="213"/>
        <v/>
      </c>
      <c r="U408" s="10" t="str">
        <f t="shared" si="214"/>
        <v/>
      </c>
      <c r="V408" s="10" t="str">
        <f t="shared" si="215"/>
        <v/>
      </c>
      <c r="W408" s="10" t="str">
        <f t="shared" si="216"/>
        <v/>
      </c>
      <c r="X408" s="10" t="str">
        <f t="shared" si="217"/>
        <v/>
      </c>
      <c r="Y408" s="10" t="str">
        <f t="shared" si="218"/>
        <v/>
      </c>
      <c r="Z408" s="10" t="str">
        <f t="shared" si="219"/>
        <v/>
      </c>
      <c r="AA408" s="10" t="str">
        <f t="shared" si="220"/>
        <v/>
      </c>
      <c r="AB408" s="10" t="str">
        <f t="shared" si="221"/>
        <v/>
      </c>
      <c r="AC408" s="10" t="str">
        <f t="shared" si="222"/>
        <v/>
      </c>
      <c r="AD408" s="10" t="str">
        <f t="shared" si="223"/>
        <v/>
      </c>
      <c r="AE408" s="10" t="str">
        <f t="shared" si="224"/>
        <v/>
      </c>
      <c r="AF408" s="10" t="str">
        <f t="shared" si="225"/>
        <v/>
      </c>
      <c r="AG408" s="10" t="str">
        <f t="shared" si="226"/>
        <v/>
      </c>
      <c r="AH408" s="10" t="str">
        <f t="shared" si="227"/>
        <v/>
      </c>
      <c r="AI408" s="10" t="str">
        <f>IF(OR(S408="",'4_BENCHMARK'!$C$4=""),"",ABS(S408-'4_BENCHMARK'!$C$4))</f>
        <v/>
      </c>
      <c r="AJ408" s="10" t="str">
        <f>IF(OR(T408="",'4_BENCHMARK'!$C$5=""),"",ABS(T408-'4_BENCHMARK'!$C$5))</f>
        <v/>
      </c>
      <c r="AK408" s="10" t="str">
        <f>IF(OR(U408="",'4_BENCHMARK'!$C$6=""),"",ABS(U408-'4_BENCHMARK'!$C$6))</f>
        <v/>
      </c>
      <c r="AL408" s="10" t="str">
        <f>IF(OR(V408="",'4_BENCHMARK'!$C$7=""),"",ABS(V408-'4_BENCHMARK'!$C$7))</f>
        <v/>
      </c>
      <c r="AM408" s="10" t="str">
        <f>IF(OR(W408="",'4_BENCHMARK'!$C$8=""),"",ABS(W408-'4_BENCHMARK'!$C$8))</f>
        <v/>
      </c>
      <c r="AN408" s="10" t="str">
        <f>IF(OR(X408="",'4_BENCHMARK'!$C$9=""),"",ABS(X408-'4_BENCHMARK'!$C$9))</f>
        <v/>
      </c>
      <c r="AO408" s="10" t="str">
        <f>IF(OR(Y408="",'4_BENCHMARK'!$C$10=""),"",ABS(Y408-'4_BENCHMARK'!$C$10))</f>
        <v/>
      </c>
      <c r="AP408" s="10" t="str">
        <f>IF(OR(Z408="",'4_BENCHMARK'!$C$11=""),"",ABS(Z408-'4_BENCHMARK'!$C$11))</f>
        <v/>
      </c>
      <c r="AQ408" s="13" t="str">
        <f t="shared" si="228"/>
        <v/>
      </c>
      <c r="AR408" s="10"/>
      <c r="AS408" s="36"/>
      <c r="AT408" s="13" t="str">
        <f t="shared" si="229"/>
        <v/>
      </c>
      <c r="AU408" s="1" t="str">
        <f t="shared" ref="AU408:BB408" si="253">IF(AND($I403="yes",$C403&lt;=1949,K408&lt;&gt;""),K408,"")</f>
        <v/>
      </c>
      <c r="AV408" s="1" t="str">
        <f t="shared" si="253"/>
        <v/>
      </c>
      <c r="AW408" s="1" t="str">
        <f t="shared" si="253"/>
        <v/>
      </c>
      <c r="AX408" s="1" t="str">
        <f t="shared" si="253"/>
        <v/>
      </c>
      <c r="AY408" s="1" t="str">
        <f t="shared" si="253"/>
        <v/>
      </c>
      <c r="AZ408" s="1" t="str">
        <f t="shared" si="253"/>
        <v/>
      </c>
      <c r="BA408" s="1" t="str">
        <f t="shared" si="253"/>
        <v/>
      </c>
      <c r="BB408" s="1" t="str">
        <f t="shared" si="253"/>
        <v/>
      </c>
      <c r="BC408" s="1" t="str">
        <f t="shared" ref="BC408:BJ408" si="254">IF(AND($I403="yes",$C403&gt;=2000,K408&lt;&gt;""),K408,"")</f>
        <v/>
      </c>
      <c r="BD408" s="1" t="str">
        <f t="shared" si="254"/>
        <v/>
      </c>
      <c r="BE408" s="1" t="str">
        <f t="shared" si="254"/>
        <v/>
      </c>
      <c r="BF408" s="1" t="str">
        <f t="shared" si="254"/>
        <v/>
      </c>
      <c r="BG408" s="1" t="str">
        <f t="shared" si="254"/>
        <v/>
      </c>
      <c r="BH408" s="1" t="str">
        <f t="shared" si="254"/>
        <v/>
      </c>
      <c r="BI408" s="1" t="str">
        <f t="shared" si="254"/>
        <v/>
      </c>
      <c r="BJ408" s="1" t="str">
        <f t="shared" si="254"/>
        <v/>
      </c>
    </row>
    <row r="409" ht="14.25" customHeight="1" spans="1:62">
      <c r="A409" s="10"/>
      <c r="B409" s="36"/>
      <c r="C409" s="10"/>
      <c r="D409" s="10" t="str">
        <f t="shared" si="246"/>
        <v/>
      </c>
      <c r="E409" s="36"/>
      <c r="F409" s="35"/>
      <c r="G409" s="36"/>
      <c r="H409" s="10"/>
      <c r="I409" s="10"/>
      <c r="J409" s="10"/>
      <c r="K409" s="10"/>
      <c r="L409" s="10"/>
      <c r="M409" s="10"/>
      <c r="N409" s="10"/>
      <c r="O409" s="10"/>
      <c r="P409" s="10"/>
      <c r="Q409" s="10"/>
      <c r="R409" s="10"/>
      <c r="S409" s="10" t="str">
        <f t="shared" si="212"/>
        <v/>
      </c>
      <c r="T409" s="10" t="str">
        <f t="shared" si="213"/>
        <v/>
      </c>
      <c r="U409" s="10" t="str">
        <f t="shared" si="214"/>
        <v/>
      </c>
      <c r="V409" s="10" t="str">
        <f t="shared" si="215"/>
        <v/>
      </c>
      <c r="W409" s="10" t="str">
        <f t="shared" si="216"/>
        <v/>
      </c>
      <c r="X409" s="10" t="str">
        <f t="shared" si="217"/>
        <v/>
      </c>
      <c r="Y409" s="10" t="str">
        <f t="shared" si="218"/>
        <v/>
      </c>
      <c r="Z409" s="10" t="str">
        <f t="shared" si="219"/>
        <v/>
      </c>
      <c r="AA409" s="10" t="str">
        <f t="shared" si="220"/>
        <v/>
      </c>
      <c r="AB409" s="10" t="str">
        <f t="shared" si="221"/>
        <v/>
      </c>
      <c r="AC409" s="10" t="str">
        <f t="shared" si="222"/>
        <v/>
      </c>
      <c r="AD409" s="10" t="str">
        <f t="shared" si="223"/>
        <v/>
      </c>
      <c r="AE409" s="10" t="str">
        <f t="shared" si="224"/>
        <v/>
      </c>
      <c r="AF409" s="10" t="str">
        <f t="shared" si="225"/>
        <v/>
      </c>
      <c r="AG409" s="10" t="str">
        <f t="shared" si="226"/>
        <v/>
      </c>
      <c r="AH409" s="10" t="str">
        <f t="shared" si="227"/>
        <v/>
      </c>
      <c r="AI409" s="10" t="str">
        <f>IF(OR(S409="",'4_BENCHMARK'!$C$4=""),"",ABS(S409-'4_BENCHMARK'!$C$4))</f>
        <v/>
      </c>
      <c r="AJ409" s="10" t="str">
        <f>IF(OR(T409="",'4_BENCHMARK'!$C$5=""),"",ABS(T409-'4_BENCHMARK'!$C$5))</f>
        <v/>
      </c>
      <c r="AK409" s="10" t="str">
        <f>IF(OR(U409="",'4_BENCHMARK'!$C$6=""),"",ABS(U409-'4_BENCHMARK'!$C$6))</f>
        <v/>
      </c>
      <c r="AL409" s="10" t="str">
        <f>IF(OR(V409="",'4_BENCHMARK'!$C$7=""),"",ABS(V409-'4_BENCHMARK'!$C$7))</f>
        <v/>
      </c>
      <c r="AM409" s="10" t="str">
        <f>IF(OR(W409="",'4_BENCHMARK'!$C$8=""),"",ABS(W409-'4_BENCHMARK'!$C$8))</f>
        <v/>
      </c>
      <c r="AN409" s="10" t="str">
        <f>IF(OR(X409="",'4_BENCHMARK'!$C$9=""),"",ABS(X409-'4_BENCHMARK'!$C$9))</f>
        <v/>
      </c>
      <c r="AO409" s="10" t="str">
        <f>IF(OR(Y409="",'4_BENCHMARK'!$C$10=""),"",ABS(Y409-'4_BENCHMARK'!$C$10))</f>
        <v/>
      </c>
      <c r="AP409" s="10" t="str">
        <f>IF(OR(Z409="",'4_BENCHMARK'!$C$11=""),"",ABS(Z409-'4_BENCHMARK'!$C$11))</f>
        <v/>
      </c>
      <c r="AQ409" s="13" t="str">
        <f t="shared" si="228"/>
        <v/>
      </c>
      <c r="AR409" s="10"/>
      <c r="AS409" s="36"/>
      <c r="AT409" s="13" t="str">
        <f t="shared" si="229"/>
        <v/>
      </c>
      <c r="AU409" s="1" t="str">
        <f t="shared" ref="AU409:BB409" si="255">IF(AND($I403="yes",$C403&lt;=1949,K409&lt;&gt;""),K409,"")</f>
        <v/>
      </c>
      <c r="AV409" s="1" t="str">
        <f t="shared" si="255"/>
        <v/>
      </c>
      <c r="AW409" s="1" t="str">
        <f t="shared" si="255"/>
        <v/>
      </c>
      <c r="AX409" s="1" t="str">
        <f t="shared" si="255"/>
        <v/>
      </c>
      <c r="AY409" s="1" t="str">
        <f t="shared" si="255"/>
        <v/>
      </c>
      <c r="AZ409" s="1" t="str">
        <f t="shared" si="255"/>
        <v/>
      </c>
      <c r="BA409" s="1" t="str">
        <f t="shared" si="255"/>
        <v/>
      </c>
      <c r="BB409" s="1" t="str">
        <f t="shared" si="255"/>
        <v/>
      </c>
      <c r="BC409" s="1" t="str">
        <f t="shared" ref="BC409:BJ409" si="256">IF(AND($I403="yes",$C403&gt;=2000,K409&lt;&gt;""),K409,"")</f>
        <v/>
      </c>
      <c r="BD409" s="1" t="str">
        <f t="shared" si="256"/>
        <v/>
      </c>
      <c r="BE409" s="1" t="str">
        <f t="shared" si="256"/>
        <v/>
      </c>
      <c r="BF409" s="1" t="str">
        <f t="shared" si="256"/>
        <v/>
      </c>
      <c r="BG409" s="1" t="str">
        <f t="shared" si="256"/>
        <v/>
      </c>
      <c r="BH409" s="1" t="str">
        <f t="shared" si="256"/>
        <v/>
      </c>
      <c r="BI409" s="1" t="str">
        <f t="shared" si="256"/>
        <v/>
      </c>
      <c r="BJ409" s="1" t="str">
        <f t="shared" si="256"/>
        <v/>
      </c>
    </row>
    <row r="410" ht="14.25" customHeight="1" spans="1:62">
      <c r="A410" s="10"/>
      <c r="B410" s="36"/>
      <c r="C410" s="10"/>
      <c r="D410" s="10" t="str">
        <f t="shared" si="246"/>
        <v/>
      </c>
      <c r="E410" s="36"/>
      <c r="F410" s="35"/>
      <c r="G410" s="36"/>
      <c r="H410" s="10"/>
      <c r="I410" s="10"/>
      <c r="J410" s="10"/>
      <c r="K410" s="10"/>
      <c r="L410" s="10"/>
      <c r="M410" s="10"/>
      <c r="N410" s="10"/>
      <c r="O410" s="10"/>
      <c r="P410" s="10"/>
      <c r="Q410" s="10"/>
      <c r="R410" s="10"/>
      <c r="S410" s="10" t="str">
        <f t="shared" si="212"/>
        <v/>
      </c>
      <c r="T410" s="10" t="str">
        <f t="shared" si="213"/>
        <v/>
      </c>
      <c r="U410" s="10" t="str">
        <f t="shared" si="214"/>
        <v/>
      </c>
      <c r="V410" s="10" t="str">
        <f t="shared" si="215"/>
        <v/>
      </c>
      <c r="W410" s="10" t="str">
        <f t="shared" si="216"/>
        <v/>
      </c>
      <c r="X410" s="10" t="str">
        <f t="shared" si="217"/>
        <v/>
      </c>
      <c r="Y410" s="10" t="str">
        <f t="shared" si="218"/>
        <v/>
      </c>
      <c r="Z410" s="10" t="str">
        <f t="shared" si="219"/>
        <v/>
      </c>
      <c r="AA410" s="10" t="str">
        <f t="shared" si="220"/>
        <v/>
      </c>
      <c r="AB410" s="10" t="str">
        <f t="shared" si="221"/>
        <v/>
      </c>
      <c r="AC410" s="10" t="str">
        <f t="shared" si="222"/>
        <v/>
      </c>
      <c r="AD410" s="10" t="str">
        <f t="shared" si="223"/>
        <v/>
      </c>
      <c r="AE410" s="10" t="str">
        <f t="shared" si="224"/>
        <v/>
      </c>
      <c r="AF410" s="10" t="str">
        <f t="shared" si="225"/>
        <v/>
      </c>
      <c r="AG410" s="10" t="str">
        <f t="shared" si="226"/>
        <v/>
      </c>
      <c r="AH410" s="10" t="str">
        <f t="shared" si="227"/>
        <v/>
      </c>
      <c r="AI410" s="10" t="str">
        <f>IF(OR(S410="",'4_BENCHMARK'!$C$4=""),"",ABS(S410-'4_BENCHMARK'!$C$4))</f>
        <v/>
      </c>
      <c r="AJ410" s="10" t="str">
        <f>IF(OR(T410="",'4_BENCHMARK'!$C$5=""),"",ABS(T410-'4_BENCHMARK'!$C$5))</f>
        <v/>
      </c>
      <c r="AK410" s="10" t="str">
        <f>IF(OR(U410="",'4_BENCHMARK'!$C$6=""),"",ABS(U410-'4_BENCHMARK'!$C$6))</f>
        <v/>
      </c>
      <c r="AL410" s="10" t="str">
        <f>IF(OR(V410="",'4_BENCHMARK'!$C$7=""),"",ABS(V410-'4_BENCHMARK'!$C$7))</f>
        <v/>
      </c>
      <c r="AM410" s="10" t="str">
        <f>IF(OR(W410="",'4_BENCHMARK'!$C$8=""),"",ABS(W410-'4_BENCHMARK'!$C$8))</f>
        <v/>
      </c>
      <c r="AN410" s="10" t="str">
        <f>IF(OR(X410="",'4_BENCHMARK'!$C$9=""),"",ABS(X410-'4_BENCHMARK'!$C$9))</f>
        <v/>
      </c>
      <c r="AO410" s="10" t="str">
        <f>IF(OR(Y410="",'4_BENCHMARK'!$C$10=""),"",ABS(Y410-'4_BENCHMARK'!$C$10))</f>
        <v/>
      </c>
      <c r="AP410" s="10" t="str">
        <f>IF(OR(Z410="",'4_BENCHMARK'!$C$11=""),"",ABS(Z410-'4_BENCHMARK'!$C$11))</f>
        <v/>
      </c>
      <c r="AQ410" s="13" t="str">
        <f t="shared" si="228"/>
        <v/>
      </c>
      <c r="AR410" s="10"/>
      <c r="AS410" s="36"/>
      <c r="AT410" s="13" t="str">
        <f t="shared" si="229"/>
        <v/>
      </c>
      <c r="AU410" s="1" t="str">
        <f t="shared" ref="AU410:BB410" si="257">IF(AND($I403="yes",$C403&lt;=1949,K410&lt;&gt;""),K410,"")</f>
        <v/>
      </c>
      <c r="AV410" s="1" t="str">
        <f t="shared" si="257"/>
        <v/>
      </c>
      <c r="AW410" s="1" t="str">
        <f t="shared" si="257"/>
        <v/>
      </c>
      <c r="AX410" s="1" t="str">
        <f t="shared" si="257"/>
        <v/>
      </c>
      <c r="AY410" s="1" t="str">
        <f t="shared" si="257"/>
        <v/>
      </c>
      <c r="AZ410" s="1" t="str">
        <f t="shared" si="257"/>
        <v/>
      </c>
      <c r="BA410" s="1" t="str">
        <f t="shared" si="257"/>
        <v/>
      </c>
      <c r="BB410" s="1" t="str">
        <f t="shared" si="257"/>
        <v/>
      </c>
      <c r="BC410" s="1" t="str">
        <f t="shared" ref="BC410:BJ410" si="258">IF(AND($I403="yes",$C403&gt;=2000,K410&lt;&gt;""),K410,"")</f>
        <v/>
      </c>
      <c r="BD410" s="1" t="str">
        <f t="shared" si="258"/>
        <v/>
      </c>
      <c r="BE410" s="1" t="str">
        <f t="shared" si="258"/>
        <v/>
      </c>
      <c r="BF410" s="1" t="str">
        <f t="shared" si="258"/>
        <v/>
      </c>
      <c r="BG410" s="1" t="str">
        <f t="shared" si="258"/>
        <v/>
      </c>
      <c r="BH410" s="1" t="str">
        <f t="shared" si="258"/>
        <v/>
      </c>
      <c r="BI410" s="1" t="str">
        <f t="shared" si="258"/>
        <v/>
      </c>
      <c r="BJ410" s="1" t="str">
        <f t="shared" si="258"/>
        <v/>
      </c>
    </row>
    <row r="411" ht="14.25" customHeight="1" spans="1:62">
      <c r="A411" s="10"/>
      <c r="B411" s="36"/>
      <c r="C411" s="10"/>
      <c r="D411" s="10" t="str">
        <f t="shared" si="246"/>
        <v/>
      </c>
      <c r="E411" s="36"/>
      <c r="F411" s="35"/>
      <c r="G411" s="36"/>
      <c r="H411" s="10"/>
      <c r="I411" s="10"/>
      <c r="J411" s="10"/>
      <c r="K411" s="10"/>
      <c r="L411" s="10"/>
      <c r="M411" s="10"/>
      <c r="N411" s="10"/>
      <c r="O411" s="10"/>
      <c r="P411" s="10"/>
      <c r="Q411" s="10"/>
      <c r="R411" s="10"/>
      <c r="S411" s="10" t="str">
        <f t="shared" si="212"/>
        <v/>
      </c>
      <c r="T411" s="10" t="str">
        <f t="shared" si="213"/>
        <v/>
      </c>
      <c r="U411" s="10" t="str">
        <f t="shared" si="214"/>
        <v/>
      </c>
      <c r="V411" s="10" t="str">
        <f t="shared" si="215"/>
        <v/>
      </c>
      <c r="W411" s="10" t="str">
        <f t="shared" si="216"/>
        <v/>
      </c>
      <c r="X411" s="10" t="str">
        <f t="shared" si="217"/>
        <v/>
      </c>
      <c r="Y411" s="10" t="str">
        <f t="shared" si="218"/>
        <v/>
      </c>
      <c r="Z411" s="10" t="str">
        <f t="shared" si="219"/>
        <v/>
      </c>
      <c r="AA411" s="10" t="str">
        <f t="shared" si="220"/>
        <v/>
      </c>
      <c r="AB411" s="10" t="str">
        <f t="shared" si="221"/>
        <v/>
      </c>
      <c r="AC411" s="10" t="str">
        <f t="shared" si="222"/>
        <v/>
      </c>
      <c r="AD411" s="10" t="str">
        <f t="shared" si="223"/>
        <v/>
      </c>
      <c r="AE411" s="10" t="str">
        <f t="shared" si="224"/>
        <v/>
      </c>
      <c r="AF411" s="10" t="str">
        <f t="shared" si="225"/>
        <v/>
      </c>
      <c r="AG411" s="10" t="str">
        <f t="shared" si="226"/>
        <v/>
      </c>
      <c r="AH411" s="10" t="str">
        <f t="shared" si="227"/>
        <v/>
      </c>
      <c r="AI411" s="10" t="str">
        <f>IF(OR(S411="",'4_BENCHMARK'!$C$4=""),"",ABS(S411-'4_BENCHMARK'!$C$4))</f>
        <v/>
      </c>
      <c r="AJ411" s="10" t="str">
        <f>IF(OR(T411="",'4_BENCHMARK'!$C$5=""),"",ABS(T411-'4_BENCHMARK'!$C$5))</f>
        <v/>
      </c>
      <c r="AK411" s="10" t="str">
        <f>IF(OR(U411="",'4_BENCHMARK'!$C$6=""),"",ABS(U411-'4_BENCHMARK'!$C$6))</f>
        <v/>
      </c>
      <c r="AL411" s="10" t="str">
        <f>IF(OR(V411="",'4_BENCHMARK'!$C$7=""),"",ABS(V411-'4_BENCHMARK'!$C$7))</f>
        <v/>
      </c>
      <c r="AM411" s="10" t="str">
        <f>IF(OR(W411="",'4_BENCHMARK'!$C$8=""),"",ABS(W411-'4_BENCHMARK'!$C$8))</f>
        <v/>
      </c>
      <c r="AN411" s="10" t="str">
        <f>IF(OR(X411="",'4_BENCHMARK'!$C$9=""),"",ABS(X411-'4_BENCHMARK'!$C$9))</f>
        <v/>
      </c>
      <c r="AO411" s="10" t="str">
        <f>IF(OR(Y411="",'4_BENCHMARK'!$C$10=""),"",ABS(Y411-'4_BENCHMARK'!$C$10))</f>
        <v/>
      </c>
      <c r="AP411" s="10" t="str">
        <f>IF(OR(Z411="",'4_BENCHMARK'!$C$11=""),"",ABS(Z411-'4_BENCHMARK'!$C$11))</f>
        <v/>
      </c>
      <c r="AQ411" s="13" t="str">
        <f t="shared" si="228"/>
        <v/>
      </c>
      <c r="AR411" s="10"/>
      <c r="AS411" s="36"/>
      <c r="AT411" s="13" t="str">
        <f t="shared" si="229"/>
        <v/>
      </c>
      <c r="AU411" s="1" t="str">
        <f t="shared" ref="AU411:BB411" si="259">IF(AND($I403="yes",$C403&lt;=1949,K411&lt;&gt;""),K411,"")</f>
        <v/>
      </c>
      <c r="AV411" s="1" t="str">
        <f t="shared" si="259"/>
        <v/>
      </c>
      <c r="AW411" s="1" t="str">
        <f t="shared" si="259"/>
        <v/>
      </c>
      <c r="AX411" s="1" t="str">
        <f t="shared" si="259"/>
        <v/>
      </c>
      <c r="AY411" s="1" t="str">
        <f t="shared" si="259"/>
        <v/>
      </c>
      <c r="AZ411" s="1" t="str">
        <f t="shared" si="259"/>
        <v/>
      </c>
      <c r="BA411" s="1" t="str">
        <f t="shared" si="259"/>
        <v/>
      </c>
      <c r="BB411" s="1" t="str">
        <f t="shared" si="259"/>
        <v/>
      </c>
      <c r="BC411" s="1" t="str">
        <f t="shared" ref="BC411:BJ411" si="260">IF(AND($I403="yes",$C403&gt;=2000,K411&lt;&gt;""),K411,"")</f>
        <v/>
      </c>
      <c r="BD411" s="1" t="str">
        <f t="shared" si="260"/>
        <v/>
      </c>
      <c r="BE411" s="1" t="str">
        <f t="shared" si="260"/>
        <v/>
      </c>
      <c r="BF411" s="1" t="str">
        <f t="shared" si="260"/>
        <v/>
      </c>
      <c r="BG411" s="1" t="str">
        <f t="shared" si="260"/>
        <v/>
      </c>
      <c r="BH411" s="1" t="str">
        <f t="shared" si="260"/>
        <v/>
      </c>
      <c r="BI411" s="1" t="str">
        <f t="shared" si="260"/>
        <v/>
      </c>
      <c r="BJ411" s="1" t="str">
        <f t="shared" si="260"/>
        <v/>
      </c>
    </row>
    <row r="412" ht="14.25" customHeight="1" spans="1:62">
      <c r="A412" s="10"/>
      <c r="B412" s="36"/>
      <c r="C412" s="10"/>
      <c r="D412" s="10" t="str">
        <f t="shared" si="246"/>
        <v/>
      </c>
      <c r="E412" s="36"/>
      <c r="F412" s="35"/>
      <c r="G412" s="36"/>
      <c r="H412" s="10"/>
      <c r="I412" s="10"/>
      <c r="J412" s="10"/>
      <c r="K412" s="10"/>
      <c r="L412" s="10"/>
      <c r="M412" s="10"/>
      <c r="N412" s="10"/>
      <c r="O412" s="10"/>
      <c r="P412" s="10"/>
      <c r="Q412" s="10"/>
      <c r="R412" s="10"/>
      <c r="S412" s="10" t="str">
        <f t="shared" si="212"/>
        <v/>
      </c>
      <c r="T412" s="10" t="str">
        <f t="shared" si="213"/>
        <v/>
      </c>
      <c r="U412" s="10" t="str">
        <f t="shared" si="214"/>
        <v/>
      </c>
      <c r="V412" s="10" t="str">
        <f t="shared" si="215"/>
        <v/>
      </c>
      <c r="W412" s="10" t="str">
        <f t="shared" si="216"/>
        <v/>
      </c>
      <c r="X412" s="10" t="str">
        <f t="shared" si="217"/>
        <v/>
      </c>
      <c r="Y412" s="10" t="str">
        <f t="shared" si="218"/>
        <v/>
      </c>
      <c r="Z412" s="10" t="str">
        <f t="shared" si="219"/>
        <v/>
      </c>
      <c r="AA412" s="10" t="str">
        <f t="shared" si="220"/>
        <v/>
      </c>
      <c r="AB412" s="10" t="str">
        <f t="shared" si="221"/>
        <v/>
      </c>
      <c r="AC412" s="10" t="str">
        <f t="shared" si="222"/>
        <v/>
      </c>
      <c r="AD412" s="10" t="str">
        <f t="shared" si="223"/>
        <v/>
      </c>
      <c r="AE412" s="10" t="str">
        <f t="shared" si="224"/>
        <v/>
      </c>
      <c r="AF412" s="10" t="str">
        <f t="shared" si="225"/>
        <v/>
      </c>
      <c r="AG412" s="10" t="str">
        <f t="shared" si="226"/>
        <v/>
      </c>
      <c r="AH412" s="10" t="str">
        <f t="shared" si="227"/>
        <v/>
      </c>
      <c r="AI412" s="10" t="str">
        <f>IF(OR(S412="",'4_BENCHMARK'!$C$4=""),"",ABS(S412-'4_BENCHMARK'!$C$4))</f>
        <v/>
      </c>
      <c r="AJ412" s="10" t="str">
        <f>IF(OR(T412="",'4_BENCHMARK'!$C$5=""),"",ABS(T412-'4_BENCHMARK'!$C$5))</f>
        <v/>
      </c>
      <c r="AK412" s="10" t="str">
        <f>IF(OR(U412="",'4_BENCHMARK'!$C$6=""),"",ABS(U412-'4_BENCHMARK'!$C$6))</f>
        <v/>
      </c>
      <c r="AL412" s="10" t="str">
        <f>IF(OR(V412="",'4_BENCHMARK'!$C$7=""),"",ABS(V412-'4_BENCHMARK'!$C$7))</f>
        <v/>
      </c>
      <c r="AM412" s="10" t="str">
        <f>IF(OR(W412="",'4_BENCHMARK'!$C$8=""),"",ABS(W412-'4_BENCHMARK'!$C$8))</f>
        <v/>
      </c>
      <c r="AN412" s="10" t="str">
        <f>IF(OR(X412="",'4_BENCHMARK'!$C$9=""),"",ABS(X412-'4_BENCHMARK'!$C$9))</f>
        <v/>
      </c>
      <c r="AO412" s="10" t="str">
        <f>IF(OR(Y412="",'4_BENCHMARK'!$C$10=""),"",ABS(Y412-'4_BENCHMARK'!$C$10))</f>
        <v/>
      </c>
      <c r="AP412" s="10" t="str">
        <f>IF(OR(Z412="",'4_BENCHMARK'!$C$11=""),"",ABS(Z412-'4_BENCHMARK'!$C$11))</f>
        <v/>
      </c>
      <c r="AQ412" s="13" t="str">
        <f t="shared" si="228"/>
        <v/>
      </c>
      <c r="AR412" s="10"/>
      <c r="AS412" s="36"/>
      <c r="AT412" s="13" t="str">
        <f t="shared" si="229"/>
        <v/>
      </c>
      <c r="AU412" s="1" t="str">
        <f t="shared" ref="AU412:BB412" si="261">IF(AND($I403="yes",$C403&lt;=1949,K412&lt;&gt;""),K412,"")</f>
        <v/>
      </c>
      <c r="AV412" s="1" t="str">
        <f t="shared" si="261"/>
        <v/>
      </c>
      <c r="AW412" s="1" t="str">
        <f t="shared" si="261"/>
        <v/>
      </c>
      <c r="AX412" s="1" t="str">
        <f t="shared" si="261"/>
        <v/>
      </c>
      <c r="AY412" s="1" t="str">
        <f t="shared" si="261"/>
        <v/>
      </c>
      <c r="AZ412" s="1" t="str">
        <f t="shared" si="261"/>
        <v/>
      </c>
      <c r="BA412" s="1" t="str">
        <f t="shared" si="261"/>
        <v/>
      </c>
      <c r="BB412" s="1" t="str">
        <f t="shared" si="261"/>
        <v/>
      </c>
      <c r="BC412" s="1" t="str">
        <f t="shared" ref="BC412:BJ412" si="262">IF(AND($I403="yes",$C403&gt;=2000,K412&lt;&gt;""),K412,"")</f>
        <v/>
      </c>
      <c r="BD412" s="1" t="str">
        <f t="shared" si="262"/>
        <v/>
      </c>
      <c r="BE412" s="1" t="str">
        <f t="shared" si="262"/>
        <v/>
      </c>
      <c r="BF412" s="1" t="str">
        <f t="shared" si="262"/>
        <v/>
      </c>
      <c r="BG412" s="1" t="str">
        <f t="shared" si="262"/>
        <v/>
      </c>
      <c r="BH412" s="1" t="str">
        <f t="shared" si="262"/>
        <v/>
      </c>
      <c r="BI412" s="1" t="str">
        <f t="shared" si="262"/>
        <v/>
      </c>
      <c r="BJ412" s="1" t="str">
        <f t="shared" si="262"/>
        <v/>
      </c>
    </row>
    <row r="413" ht="14.25" customHeight="1" spans="1:62">
      <c r="A413" s="10"/>
      <c r="B413" s="36"/>
      <c r="C413" s="10"/>
      <c r="D413" s="10" t="str">
        <f t="shared" si="246"/>
        <v/>
      </c>
      <c r="E413" s="36"/>
      <c r="F413" s="35"/>
      <c r="G413" s="36"/>
      <c r="H413" s="10"/>
      <c r="I413" s="10"/>
      <c r="J413" s="10"/>
      <c r="K413" s="10"/>
      <c r="L413" s="10"/>
      <c r="M413" s="10"/>
      <c r="N413" s="10"/>
      <c r="O413" s="10"/>
      <c r="P413" s="10"/>
      <c r="Q413" s="10"/>
      <c r="R413" s="10"/>
      <c r="S413" s="10" t="str">
        <f t="shared" si="212"/>
        <v/>
      </c>
      <c r="T413" s="10" t="str">
        <f t="shared" si="213"/>
        <v/>
      </c>
      <c r="U413" s="10" t="str">
        <f t="shared" si="214"/>
        <v/>
      </c>
      <c r="V413" s="10" t="str">
        <f t="shared" si="215"/>
        <v/>
      </c>
      <c r="W413" s="10" t="str">
        <f t="shared" si="216"/>
        <v/>
      </c>
      <c r="X413" s="10" t="str">
        <f t="shared" si="217"/>
        <v/>
      </c>
      <c r="Y413" s="10" t="str">
        <f t="shared" si="218"/>
        <v/>
      </c>
      <c r="Z413" s="10" t="str">
        <f t="shared" si="219"/>
        <v/>
      </c>
      <c r="AA413" s="10" t="str">
        <f t="shared" si="220"/>
        <v/>
      </c>
      <c r="AB413" s="10" t="str">
        <f t="shared" si="221"/>
        <v/>
      </c>
      <c r="AC413" s="10" t="str">
        <f t="shared" si="222"/>
        <v/>
      </c>
      <c r="AD413" s="10" t="str">
        <f t="shared" si="223"/>
        <v/>
      </c>
      <c r="AE413" s="10" t="str">
        <f t="shared" si="224"/>
        <v/>
      </c>
      <c r="AF413" s="10" t="str">
        <f t="shared" si="225"/>
        <v/>
      </c>
      <c r="AG413" s="10" t="str">
        <f t="shared" si="226"/>
        <v/>
      </c>
      <c r="AH413" s="10" t="str">
        <f t="shared" si="227"/>
        <v/>
      </c>
      <c r="AI413" s="10" t="str">
        <f>IF(OR(S413="",'4_BENCHMARK'!$C$4=""),"",ABS(S413-'4_BENCHMARK'!$C$4))</f>
        <v/>
      </c>
      <c r="AJ413" s="10" t="str">
        <f>IF(OR(T413="",'4_BENCHMARK'!$C$5=""),"",ABS(T413-'4_BENCHMARK'!$C$5))</f>
        <v/>
      </c>
      <c r="AK413" s="10" t="str">
        <f>IF(OR(U413="",'4_BENCHMARK'!$C$6=""),"",ABS(U413-'4_BENCHMARK'!$C$6))</f>
        <v/>
      </c>
      <c r="AL413" s="10" t="str">
        <f>IF(OR(V413="",'4_BENCHMARK'!$C$7=""),"",ABS(V413-'4_BENCHMARK'!$C$7))</f>
        <v/>
      </c>
      <c r="AM413" s="10" t="str">
        <f>IF(OR(W413="",'4_BENCHMARK'!$C$8=""),"",ABS(W413-'4_BENCHMARK'!$C$8))</f>
        <v/>
      </c>
      <c r="AN413" s="10" t="str">
        <f>IF(OR(X413="",'4_BENCHMARK'!$C$9=""),"",ABS(X413-'4_BENCHMARK'!$C$9))</f>
        <v/>
      </c>
      <c r="AO413" s="10" t="str">
        <f>IF(OR(Y413="",'4_BENCHMARK'!$C$10=""),"",ABS(Y413-'4_BENCHMARK'!$C$10))</f>
        <v/>
      </c>
      <c r="AP413" s="10" t="str">
        <f>IF(OR(Z413="",'4_BENCHMARK'!$C$11=""),"",ABS(Z413-'4_BENCHMARK'!$C$11))</f>
        <v/>
      </c>
      <c r="AQ413" s="13" t="str">
        <f t="shared" si="228"/>
        <v/>
      </c>
      <c r="AR413" s="10"/>
      <c r="AS413" s="36"/>
      <c r="AT413" s="13" t="str">
        <f t="shared" si="229"/>
        <v/>
      </c>
      <c r="AU413" s="1" t="str">
        <f t="shared" ref="AU413:BB413" si="263">IF(AND($I403="yes",$C403&lt;=1949,K413&lt;&gt;""),K413,"")</f>
        <v/>
      </c>
      <c r="AV413" s="1" t="str">
        <f t="shared" si="263"/>
        <v/>
      </c>
      <c r="AW413" s="1" t="str">
        <f t="shared" si="263"/>
        <v/>
      </c>
      <c r="AX413" s="1" t="str">
        <f t="shared" si="263"/>
        <v/>
      </c>
      <c r="AY413" s="1" t="str">
        <f t="shared" si="263"/>
        <v/>
      </c>
      <c r="AZ413" s="1" t="str">
        <f t="shared" si="263"/>
        <v/>
      </c>
      <c r="BA413" s="1" t="str">
        <f t="shared" si="263"/>
        <v/>
      </c>
      <c r="BB413" s="1" t="str">
        <f t="shared" si="263"/>
        <v/>
      </c>
      <c r="BC413" s="1" t="str">
        <f t="shared" ref="BC413:BJ413" si="264">IF(AND($I403="yes",$C403&gt;=2000,K413&lt;&gt;""),K413,"")</f>
        <v/>
      </c>
      <c r="BD413" s="1" t="str">
        <f t="shared" si="264"/>
        <v/>
      </c>
      <c r="BE413" s="1" t="str">
        <f t="shared" si="264"/>
        <v/>
      </c>
      <c r="BF413" s="1" t="str">
        <f t="shared" si="264"/>
        <v/>
      </c>
      <c r="BG413" s="1" t="str">
        <f t="shared" si="264"/>
        <v/>
      </c>
      <c r="BH413" s="1" t="str">
        <f t="shared" si="264"/>
        <v/>
      </c>
      <c r="BI413" s="1" t="str">
        <f t="shared" si="264"/>
        <v/>
      </c>
      <c r="BJ413" s="1" t="str">
        <f t="shared" si="264"/>
        <v/>
      </c>
    </row>
    <row r="414" ht="14.25" customHeight="1" spans="1:62">
      <c r="A414" s="10"/>
      <c r="B414" s="36"/>
      <c r="C414" s="10"/>
      <c r="D414" s="10" t="str">
        <f t="shared" si="246"/>
        <v/>
      </c>
      <c r="E414" s="36"/>
      <c r="F414" s="35"/>
      <c r="G414" s="36"/>
      <c r="H414" s="10"/>
      <c r="I414" s="10"/>
      <c r="J414" s="10"/>
      <c r="K414" s="10"/>
      <c r="L414" s="10"/>
      <c r="M414" s="10"/>
      <c r="N414" s="10"/>
      <c r="O414" s="10"/>
      <c r="P414" s="10"/>
      <c r="Q414" s="10"/>
      <c r="R414" s="10"/>
      <c r="S414" s="10" t="str">
        <f t="shared" si="212"/>
        <v/>
      </c>
      <c r="T414" s="10" t="str">
        <f t="shared" si="213"/>
        <v/>
      </c>
      <c r="U414" s="10" t="str">
        <f t="shared" si="214"/>
        <v/>
      </c>
      <c r="V414" s="10" t="str">
        <f t="shared" si="215"/>
        <v/>
      </c>
      <c r="W414" s="10" t="str">
        <f t="shared" si="216"/>
        <v/>
      </c>
      <c r="X414" s="10" t="str">
        <f t="shared" si="217"/>
        <v/>
      </c>
      <c r="Y414" s="10" t="str">
        <f t="shared" si="218"/>
        <v/>
      </c>
      <c r="Z414" s="10" t="str">
        <f t="shared" si="219"/>
        <v/>
      </c>
      <c r="AA414" s="10" t="str">
        <f t="shared" si="220"/>
        <v/>
      </c>
      <c r="AB414" s="10" t="str">
        <f t="shared" si="221"/>
        <v/>
      </c>
      <c r="AC414" s="10" t="str">
        <f t="shared" si="222"/>
        <v/>
      </c>
      <c r="AD414" s="10" t="str">
        <f t="shared" si="223"/>
        <v/>
      </c>
      <c r="AE414" s="10" t="str">
        <f t="shared" si="224"/>
        <v/>
      </c>
      <c r="AF414" s="10" t="str">
        <f t="shared" si="225"/>
        <v/>
      </c>
      <c r="AG414" s="10" t="str">
        <f t="shared" si="226"/>
        <v/>
      </c>
      <c r="AH414" s="10" t="str">
        <f t="shared" si="227"/>
        <v/>
      </c>
      <c r="AI414" s="10" t="str">
        <f>IF(OR(S414="",'4_BENCHMARK'!$C$4=""),"",ABS(S414-'4_BENCHMARK'!$C$4))</f>
        <v/>
      </c>
      <c r="AJ414" s="10" t="str">
        <f>IF(OR(T414="",'4_BENCHMARK'!$C$5=""),"",ABS(T414-'4_BENCHMARK'!$C$5))</f>
        <v/>
      </c>
      <c r="AK414" s="10" t="str">
        <f>IF(OR(U414="",'4_BENCHMARK'!$C$6=""),"",ABS(U414-'4_BENCHMARK'!$C$6))</f>
        <v/>
      </c>
      <c r="AL414" s="10" t="str">
        <f>IF(OR(V414="",'4_BENCHMARK'!$C$7=""),"",ABS(V414-'4_BENCHMARK'!$C$7))</f>
        <v/>
      </c>
      <c r="AM414" s="10" t="str">
        <f>IF(OR(W414="",'4_BENCHMARK'!$C$8=""),"",ABS(W414-'4_BENCHMARK'!$C$8))</f>
        <v/>
      </c>
      <c r="AN414" s="10" t="str">
        <f>IF(OR(X414="",'4_BENCHMARK'!$C$9=""),"",ABS(X414-'4_BENCHMARK'!$C$9))</f>
        <v/>
      </c>
      <c r="AO414" s="10" t="str">
        <f>IF(OR(Y414="",'4_BENCHMARK'!$C$10=""),"",ABS(Y414-'4_BENCHMARK'!$C$10))</f>
        <v/>
      </c>
      <c r="AP414" s="10" t="str">
        <f>IF(OR(Z414="",'4_BENCHMARK'!$C$11=""),"",ABS(Z414-'4_BENCHMARK'!$C$11))</f>
        <v/>
      </c>
      <c r="AQ414" s="13" t="str">
        <f t="shared" si="228"/>
        <v/>
      </c>
      <c r="AR414" s="10"/>
      <c r="AS414" s="36"/>
      <c r="AT414" s="13" t="str">
        <f t="shared" si="229"/>
        <v/>
      </c>
      <c r="AU414" s="1" t="str">
        <f t="shared" ref="AU414:BB414" si="265">IF(AND($I403="yes",$C403&lt;=1949,K414&lt;&gt;""),K414,"")</f>
        <v/>
      </c>
      <c r="AV414" s="1" t="str">
        <f t="shared" si="265"/>
        <v/>
      </c>
      <c r="AW414" s="1" t="str">
        <f t="shared" si="265"/>
        <v/>
      </c>
      <c r="AX414" s="1" t="str">
        <f t="shared" si="265"/>
        <v/>
      </c>
      <c r="AY414" s="1" t="str">
        <f t="shared" si="265"/>
        <v/>
      </c>
      <c r="AZ414" s="1" t="str">
        <f t="shared" si="265"/>
        <v/>
      </c>
      <c r="BA414" s="1" t="str">
        <f t="shared" si="265"/>
        <v/>
      </c>
      <c r="BB414" s="1" t="str">
        <f t="shared" si="265"/>
        <v/>
      </c>
      <c r="BC414" s="1" t="str">
        <f t="shared" ref="BC414:BJ414" si="266">IF(AND($I403="yes",$C403&gt;=2000,K414&lt;&gt;""),K414,"")</f>
        <v/>
      </c>
      <c r="BD414" s="1" t="str">
        <f t="shared" si="266"/>
        <v/>
      </c>
      <c r="BE414" s="1" t="str">
        <f t="shared" si="266"/>
        <v/>
      </c>
      <c r="BF414" s="1" t="str">
        <f t="shared" si="266"/>
        <v/>
      </c>
      <c r="BG414" s="1" t="str">
        <f t="shared" si="266"/>
        <v/>
      </c>
      <c r="BH414" s="1" t="str">
        <f t="shared" si="266"/>
        <v/>
      </c>
      <c r="BI414" s="1" t="str">
        <f t="shared" si="266"/>
        <v/>
      </c>
      <c r="BJ414" s="1" t="str">
        <f t="shared" si="266"/>
        <v/>
      </c>
    </row>
    <row r="415" ht="14.25" customHeight="1" spans="1:62">
      <c r="A415" s="10"/>
      <c r="B415" s="36"/>
      <c r="C415" s="10"/>
      <c r="D415" s="10" t="str">
        <f t="shared" si="246"/>
        <v/>
      </c>
      <c r="E415" s="36"/>
      <c r="F415" s="35"/>
      <c r="G415" s="36"/>
      <c r="H415" s="10"/>
      <c r="I415" s="10"/>
      <c r="J415" s="10"/>
      <c r="K415" s="10"/>
      <c r="L415" s="10"/>
      <c r="M415" s="10"/>
      <c r="N415" s="10"/>
      <c r="O415" s="10"/>
      <c r="P415" s="10"/>
      <c r="Q415" s="10"/>
      <c r="R415" s="10"/>
      <c r="S415" s="10" t="str">
        <f t="shared" si="212"/>
        <v/>
      </c>
      <c r="T415" s="10" t="str">
        <f t="shared" si="213"/>
        <v/>
      </c>
      <c r="U415" s="10" t="str">
        <f t="shared" si="214"/>
        <v/>
      </c>
      <c r="V415" s="10" t="str">
        <f t="shared" si="215"/>
        <v/>
      </c>
      <c r="W415" s="10" t="str">
        <f t="shared" si="216"/>
        <v/>
      </c>
      <c r="X415" s="10" t="str">
        <f t="shared" si="217"/>
        <v/>
      </c>
      <c r="Y415" s="10" t="str">
        <f t="shared" si="218"/>
        <v/>
      </c>
      <c r="Z415" s="10" t="str">
        <f t="shared" si="219"/>
        <v/>
      </c>
      <c r="AA415" s="10" t="str">
        <f t="shared" si="220"/>
        <v/>
      </c>
      <c r="AB415" s="10" t="str">
        <f t="shared" si="221"/>
        <v/>
      </c>
      <c r="AC415" s="10" t="str">
        <f t="shared" si="222"/>
        <v/>
      </c>
      <c r="AD415" s="10" t="str">
        <f t="shared" si="223"/>
        <v/>
      </c>
      <c r="AE415" s="10" t="str">
        <f t="shared" si="224"/>
        <v/>
      </c>
      <c r="AF415" s="10" t="str">
        <f t="shared" si="225"/>
        <v/>
      </c>
      <c r="AG415" s="10" t="str">
        <f t="shared" si="226"/>
        <v/>
      </c>
      <c r="AH415" s="10" t="str">
        <f t="shared" si="227"/>
        <v/>
      </c>
      <c r="AI415" s="10" t="str">
        <f>IF(OR(S415="",'4_BENCHMARK'!$C$4=""),"",ABS(S415-'4_BENCHMARK'!$C$4))</f>
        <v/>
      </c>
      <c r="AJ415" s="10" t="str">
        <f>IF(OR(T415="",'4_BENCHMARK'!$C$5=""),"",ABS(T415-'4_BENCHMARK'!$C$5))</f>
        <v/>
      </c>
      <c r="AK415" s="10" t="str">
        <f>IF(OR(U415="",'4_BENCHMARK'!$C$6=""),"",ABS(U415-'4_BENCHMARK'!$C$6))</f>
        <v/>
      </c>
      <c r="AL415" s="10" t="str">
        <f>IF(OR(V415="",'4_BENCHMARK'!$C$7=""),"",ABS(V415-'4_BENCHMARK'!$C$7))</f>
        <v/>
      </c>
      <c r="AM415" s="10" t="str">
        <f>IF(OR(W415="",'4_BENCHMARK'!$C$8=""),"",ABS(W415-'4_BENCHMARK'!$C$8))</f>
        <v/>
      </c>
      <c r="AN415" s="10" t="str">
        <f>IF(OR(X415="",'4_BENCHMARK'!$C$9=""),"",ABS(X415-'4_BENCHMARK'!$C$9))</f>
        <v/>
      </c>
      <c r="AO415" s="10" t="str">
        <f>IF(OR(Y415="",'4_BENCHMARK'!$C$10=""),"",ABS(Y415-'4_BENCHMARK'!$C$10))</f>
        <v/>
      </c>
      <c r="AP415" s="10" t="str">
        <f>IF(OR(Z415="",'4_BENCHMARK'!$C$11=""),"",ABS(Z415-'4_BENCHMARK'!$C$11))</f>
        <v/>
      </c>
      <c r="AQ415" s="13" t="str">
        <f t="shared" si="228"/>
        <v/>
      </c>
      <c r="AR415" s="10"/>
      <c r="AS415" s="36"/>
      <c r="AT415" s="13" t="str">
        <f t="shared" si="229"/>
        <v/>
      </c>
      <c r="AU415" s="1" t="str">
        <f t="shared" ref="AU415:BB415" si="267">IF(AND($I403="yes",$C403&lt;=1949,K415&lt;&gt;""),K415,"")</f>
        <v/>
      </c>
      <c r="AV415" s="1" t="str">
        <f t="shared" si="267"/>
        <v/>
      </c>
      <c r="AW415" s="1" t="str">
        <f t="shared" si="267"/>
        <v/>
      </c>
      <c r="AX415" s="1" t="str">
        <f t="shared" si="267"/>
        <v/>
      </c>
      <c r="AY415" s="1" t="str">
        <f t="shared" si="267"/>
        <v/>
      </c>
      <c r="AZ415" s="1" t="str">
        <f t="shared" si="267"/>
        <v/>
      </c>
      <c r="BA415" s="1" t="str">
        <f t="shared" si="267"/>
        <v/>
      </c>
      <c r="BB415" s="1" t="str">
        <f t="shared" si="267"/>
        <v/>
      </c>
      <c r="BC415" s="1" t="str">
        <f t="shared" ref="BC415:BJ415" si="268">IF(AND($I403="yes",$C403&gt;=2000,K415&lt;&gt;""),K415,"")</f>
        <v/>
      </c>
      <c r="BD415" s="1" t="str">
        <f t="shared" si="268"/>
        <v/>
      </c>
      <c r="BE415" s="1" t="str">
        <f t="shared" si="268"/>
        <v/>
      </c>
      <c r="BF415" s="1" t="str">
        <f t="shared" si="268"/>
        <v/>
      </c>
      <c r="BG415" s="1" t="str">
        <f t="shared" si="268"/>
        <v/>
      </c>
      <c r="BH415" s="1" t="str">
        <f t="shared" si="268"/>
        <v/>
      </c>
      <c r="BI415" s="1" t="str">
        <f t="shared" si="268"/>
        <v/>
      </c>
      <c r="BJ415" s="1" t="str">
        <f t="shared" si="268"/>
        <v/>
      </c>
    </row>
    <row r="416" ht="14.25" customHeight="1" spans="1:62">
      <c r="A416" s="10"/>
      <c r="B416" s="36"/>
      <c r="C416" s="10"/>
      <c r="D416" s="10" t="str">
        <f t="shared" si="246"/>
        <v/>
      </c>
      <c r="E416" s="36"/>
      <c r="F416" s="35"/>
      <c r="G416" s="36"/>
      <c r="H416" s="10"/>
      <c r="I416" s="10"/>
      <c r="J416" s="10"/>
      <c r="K416" s="10"/>
      <c r="L416" s="10"/>
      <c r="M416" s="10"/>
      <c r="N416" s="10"/>
      <c r="O416" s="10"/>
      <c r="P416" s="10"/>
      <c r="Q416" s="10"/>
      <c r="R416" s="10"/>
      <c r="S416" s="10" t="str">
        <f t="shared" si="212"/>
        <v/>
      </c>
      <c r="T416" s="10" t="str">
        <f t="shared" si="213"/>
        <v/>
      </c>
      <c r="U416" s="10" t="str">
        <f t="shared" si="214"/>
        <v/>
      </c>
      <c r="V416" s="10" t="str">
        <f t="shared" si="215"/>
        <v/>
      </c>
      <c r="W416" s="10" t="str">
        <f t="shared" si="216"/>
        <v/>
      </c>
      <c r="X416" s="10" t="str">
        <f t="shared" si="217"/>
        <v/>
      </c>
      <c r="Y416" s="10" t="str">
        <f t="shared" si="218"/>
        <v/>
      </c>
      <c r="Z416" s="10" t="str">
        <f t="shared" si="219"/>
        <v/>
      </c>
      <c r="AA416" s="10" t="str">
        <f t="shared" si="220"/>
        <v/>
      </c>
      <c r="AB416" s="10" t="str">
        <f t="shared" si="221"/>
        <v/>
      </c>
      <c r="AC416" s="10" t="str">
        <f t="shared" si="222"/>
        <v/>
      </c>
      <c r="AD416" s="10" t="str">
        <f t="shared" si="223"/>
        <v/>
      </c>
      <c r="AE416" s="10" t="str">
        <f t="shared" si="224"/>
        <v/>
      </c>
      <c r="AF416" s="10" t="str">
        <f t="shared" si="225"/>
        <v/>
      </c>
      <c r="AG416" s="10" t="str">
        <f t="shared" si="226"/>
        <v/>
      </c>
      <c r="AH416" s="10" t="str">
        <f t="shared" si="227"/>
        <v/>
      </c>
      <c r="AI416" s="10" t="str">
        <f>IF(OR(S416="",'4_BENCHMARK'!$C$4=""),"",ABS(S416-'4_BENCHMARK'!$C$4))</f>
        <v/>
      </c>
      <c r="AJ416" s="10" t="str">
        <f>IF(OR(T416="",'4_BENCHMARK'!$C$5=""),"",ABS(T416-'4_BENCHMARK'!$C$5))</f>
        <v/>
      </c>
      <c r="AK416" s="10" t="str">
        <f>IF(OR(U416="",'4_BENCHMARK'!$C$6=""),"",ABS(U416-'4_BENCHMARK'!$C$6))</f>
        <v/>
      </c>
      <c r="AL416" s="10" t="str">
        <f>IF(OR(V416="",'4_BENCHMARK'!$C$7=""),"",ABS(V416-'4_BENCHMARK'!$C$7))</f>
        <v/>
      </c>
      <c r="AM416" s="10" t="str">
        <f>IF(OR(W416="",'4_BENCHMARK'!$C$8=""),"",ABS(W416-'4_BENCHMARK'!$C$8))</f>
        <v/>
      </c>
      <c r="AN416" s="10" t="str">
        <f>IF(OR(X416="",'4_BENCHMARK'!$C$9=""),"",ABS(X416-'4_BENCHMARK'!$C$9))</f>
        <v/>
      </c>
      <c r="AO416" s="10" t="str">
        <f>IF(OR(Y416="",'4_BENCHMARK'!$C$10=""),"",ABS(Y416-'4_BENCHMARK'!$C$10))</f>
        <v/>
      </c>
      <c r="AP416" s="10" t="str">
        <f>IF(OR(Z416="",'4_BENCHMARK'!$C$11=""),"",ABS(Z416-'4_BENCHMARK'!$C$11))</f>
        <v/>
      </c>
      <c r="AQ416" s="13" t="str">
        <f t="shared" si="228"/>
        <v/>
      </c>
      <c r="AR416" s="10"/>
      <c r="AS416" s="36"/>
      <c r="AT416" s="13" t="str">
        <f t="shared" si="229"/>
        <v/>
      </c>
      <c r="AU416" s="1" t="str">
        <f t="shared" ref="AU416:BB416" si="269">IF(AND($I403="yes",$C403&lt;=1949,K416&lt;&gt;""),K416,"")</f>
        <v/>
      </c>
      <c r="AV416" s="1" t="str">
        <f t="shared" si="269"/>
        <v/>
      </c>
      <c r="AW416" s="1" t="str">
        <f t="shared" si="269"/>
        <v/>
      </c>
      <c r="AX416" s="1" t="str">
        <f t="shared" si="269"/>
        <v/>
      </c>
      <c r="AY416" s="1" t="str">
        <f t="shared" si="269"/>
        <v/>
      </c>
      <c r="AZ416" s="1" t="str">
        <f t="shared" si="269"/>
        <v/>
      </c>
      <c r="BA416" s="1" t="str">
        <f t="shared" si="269"/>
        <v/>
      </c>
      <c r="BB416" s="1" t="str">
        <f t="shared" si="269"/>
        <v/>
      </c>
      <c r="BC416" s="1" t="str">
        <f t="shared" ref="BC416:BJ416" si="270">IF(AND($I403="yes",$C403&gt;=2000,K416&lt;&gt;""),K416,"")</f>
        <v/>
      </c>
      <c r="BD416" s="1" t="str">
        <f t="shared" si="270"/>
        <v/>
      </c>
      <c r="BE416" s="1" t="str">
        <f t="shared" si="270"/>
        <v/>
      </c>
      <c r="BF416" s="1" t="str">
        <f t="shared" si="270"/>
        <v/>
      </c>
      <c r="BG416" s="1" t="str">
        <f t="shared" si="270"/>
        <v/>
      </c>
      <c r="BH416" s="1" t="str">
        <f t="shared" si="270"/>
        <v/>
      </c>
      <c r="BI416" s="1" t="str">
        <f t="shared" si="270"/>
        <v/>
      </c>
      <c r="BJ416" s="1" t="str">
        <f t="shared" si="270"/>
        <v/>
      </c>
    </row>
    <row r="417" ht="14.25" customHeight="1" spans="1:62">
      <c r="A417" s="10"/>
      <c r="B417" s="36"/>
      <c r="C417" s="10"/>
      <c r="D417" s="10" t="str">
        <f t="shared" si="246"/>
        <v/>
      </c>
      <c r="E417" s="36"/>
      <c r="F417" s="35"/>
      <c r="G417" s="36"/>
      <c r="H417" s="10"/>
      <c r="I417" s="10"/>
      <c r="J417" s="10"/>
      <c r="K417" s="10"/>
      <c r="L417" s="10"/>
      <c r="M417" s="10"/>
      <c r="N417" s="10"/>
      <c r="O417" s="10"/>
      <c r="P417" s="10"/>
      <c r="Q417" s="10"/>
      <c r="R417" s="10"/>
      <c r="S417" s="10" t="str">
        <f t="shared" si="212"/>
        <v/>
      </c>
      <c r="T417" s="10" t="str">
        <f t="shared" si="213"/>
        <v/>
      </c>
      <c r="U417" s="10" t="str">
        <f t="shared" si="214"/>
        <v/>
      </c>
      <c r="V417" s="10" t="str">
        <f t="shared" si="215"/>
        <v/>
      </c>
      <c r="W417" s="10" t="str">
        <f t="shared" si="216"/>
        <v/>
      </c>
      <c r="X417" s="10" t="str">
        <f t="shared" si="217"/>
        <v/>
      </c>
      <c r="Y417" s="10" t="str">
        <f t="shared" si="218"/>
        <v/>
      </c>
      <c r="Z417" s="10" t="str">
        <f t="shared" si="219"/>
        <v/>
      </c>
      <c r="AA417" s="10" t="str">
        <f t="shared" si="220"/>
        <v/>
      </c>
      <c r="AB417" s="10" t="str">
        <f t="shared" si="221"/>
        <v/>
      </c>
      <c r="AC417" s="10" t="str">
        <f t="shared" si="222"/>
        <v/>
      </c>
      <c r="AD417" s="10" t="str">
        <f t="shared" si="223"/>
        <v/>
      </c>
      <c r="AE417" s="10" t="str">
        <f t="shared" si="224"/>
        <v/>
      </c>
      <c r="AF417" s="10" t="str">
        <f t="shared" si="225"/>
        <v/>
      </c>
      <c r="AG417" s="10" t="str">
        <f t="shared" si="226"/>
        <v/>
      </c>
      <c r="AH417" s="10" t="str">
        <f t="shared" si="227"/>
        <v/>
      </c>
      <c r="AI417" s="10" t="str">
        <f>IF(OR(S417="",'4_BENCHMARK'!$C$4=""),"",ABS(S417-'4_BENCHMARK'!$C$4))</f>
        <v/>
      </c>
      <c r="AJ417" s="10" t="str">
        <f>IF(OR(T417="",'4_BENCHMARK'!$C$5=""),"",ABS(T417-'4_BENCHMARK'!$C$5))</f>
        <v/>
      </c>
      <c r="AK417" s="10" t="str">
        <f>IF(OR(U417="",'4_BENCHMARK'!$C$6=""),"",ABS(U417-'4_BENCHMARK'!$C$6))</f>
        <v/>
      </c>
      <c r="AL417" s="10" t="str">
        <f>IF(OR(V417="",'4_BENCHMARK'!$C$7=""),"",ABS(V417-'4_BENCHMARK'!$C$7))</f>
        <v/>
      </c>
      <c r="AM417" s="10" t="str">
        <f>IF(OR(W417="",'4_BENCHMARK'!$C$8=""),"",ABS(W417-'4_BENCHMARK'!$C$8))</f>
        <v/>
      </c>
      <c r="AN417" s="10" t="str">
        <f>IF(OR(X417="",'4_BENCHMARK'!$C$9=""),"",ABS(X417-'4_BENCHMARK'!$C$9))</f>
        <v/>
      </c>
      <c r="AO417" s="10" t="str">
        <f>IF(OR(Y417="",'4_BENCHMARK'!$C$10=""),"",ABS(Y417-'4_BENCHMARK'!$C$10))</f>
        <v/>
      </c>
      <c r="AP417" s="10" t="str">
        <f>IF(OR(Z417="",'4_BENCHMARK'!$C$11=""),"",ABS(Z417-'4_BENCHMARK'!$C$11))</f>
        <v/>
      </c>
      <c r="AQ417" s="13" t="str">
        <f t="shared" si="228"/>
        <v/>
      </c>
      <c r="AR417" s="10"/>
      <c r="AS417" s="36"/>
      <c r="AT417" s="13" t="str">
        <f t="shared" si="229"/>
        <v/>
      </c>
      <c r="AU417" s="1" t="str">
        <f t="shared" ref="AU417:BB417" si="271">IF(AND($I403="yes",$C403&lt;=1949,K417&lt;&gt;""),K417,"")</f>
        <v/>
      </c>
      <c r="AV417" s="1" t="str">
        <f t="shared" si="271"/>
        <v/>
      </c>
      <c r="AW417" s="1" t="str">
        <f t="shared" si="271"/>
        <v/>
      </c>
      <c r="AX417" s="1" t="str">
        <f t="shared" si="271"/>
        <v/>
      </c>
      <c r="AY417" s="1" t="str">
        <f t="shared" si="271"/>
        <v/>
      </c>
      <c r="AZ417" s="1" t="str">
        <f t="shared" si="271"/>
        <v/>
      </c>
      <c r="BA417" s="1" t="str">
        <f t="shared" si="271"/>
        <v/>
      </c>
      <c r="BB417" s="1" t="str">
        <f t="shared" si="271"/>
        <v/>
      </c>
      <c r="BC417" s="1" t="str">
        <f t="shared" ref="BC417:BJ417" si="272">IF(AND($I403="yes",$C403&gt;=2000,K417&lt;&gt;""),K417,"")</f>
        <v/>
      </c>
      <c r="BD417" s="1" t="str">
        <f t="shared" si="272"/>
        <v/>
      </c>
      <c r="BE417" s="1" t="str">
        <f t="shared" si="272"/>
        <v/>
      </c>
      <c r="BF417" s="1" t="str">
        <f t="shared" si="272"/>
        <v/>
      </c>
      <c r="BG417" s="1" t="str">
        <f t="shared" si="272"/>
        <v/>
      </c>
      <c r="BH417" s="1" t="str">
        <f t="shared" si="272"/>
        <v/>
      </c>
      <c r="BI417" s="1" t="str">
        <f t="shared" si="272"/>
        <v/>
      </c>
      <c r="BJ417" s="1" t="str">
        <f t="shared" si="272"/>
        <v/>
      </c>
    </row>
    <row r="418" ht="14.25" customHeight="1" spans="1:62">
      <c r="A418" s="10"/>
      <c r="B418" s="36"/>
      <c r="C418" s="10"/>
      <c r="D418" s="10" t="str">
        <f t="shared" si="246"/>
        <v/>
      </c>
      <c r="E418" s="36"/>
      <c r="F418" s="35"/>
      <c r="G418" s="36"/>
      <c r="H418" s="10"/>
      <c r="I418" s="10"/>
      <c r="J418" s="10"/>
      <c r="K418" s="10"/>
      <c r="L418" s="10"/>
      <c r="M418" s="10"/>
      <c r="N418" s="10"/>
      <c r="O418" s="10"/>
      <c r="P418" s="10"/>
      <c r="Q418" s="10"/>
      <c r="R418" s="10"/>
      <c r="S418" s="10" t="str">
        <f t="shared" si="212"/>
        <v/>
      </c>
      <c r="T418" s="10" t="str">
        <f t="shared" si="213"/>
        <v/>
      </c>
      <c r="U418" s="10" t="str">
        <f t="shared" si="214"/>
        <v/>
      </c>
      <c r="V418" s="10" t="str">
        <f t="shared" si="215"/>
        <v/>
      </c>
      <c r="W418" s="10" t="str">
        <f t="shared" si="216"/>
        <v/>
      </c>
      <c r="X418" s="10" t="str">
        <f t="shared" si="217"/>
        <v/>
      </c>
      <c r="Y418" s="10" t="str">
        <f t="shared" si="218"/>
        <v/>
      </c>
      <c r="Z418" s="10" t="str">
        <f t="shared" si="219"/>
        <v/>
      </c>
      <c r="AA418" s="10" t="str">
        <f t="shared" si="220"/>
        <v/>
      </c>
      <c r="AB418" s="10" t="str">
        <f t="shared" si="221"/>
        <v/>
      </c>
      <c r="AC418" s="10" t="str">
        <f t="shared" si="222"/>
        <v/>
      </c>
      <c r="AD418" s="10" t="str">
        <f t="shared" si="223"/>
        <v/>
      </c>
      <c r="AE418" s="10" t="str">
        <f t="shared" si="224"/>
        <v/>
      </c>
      <c r="AF418" s="10" t="str">
        <f t="shared" si="225"/>
        <v/>
      </c>
      <c r="AG418" s="10" t="str">
        <f t="shared" si="226"/>
        <v/>
      </c>
      <c r="AH418" s="10" t="str">
        <f t="shared" si="227"/>
        <v/>
      </c>
      <c r="AI418" s="10" t="str">
        <f>IF(OR(S418="",'4_BENCHMARK'!$C$4=""),"",ABS(S418-'4_BENCHMARK'!$C$4))</f>
        <v/>
      </c>
      <c r="AJ418" s="10" t="str">
        <f>IF(OR(T418="",'4_BENCHMARK'!$C$5=""),"",ABS(T418-'4_BENCHMARK'!$C$5))</f>
        <v/>
      </c>
      <c r="AK418" s="10" t="str">
        <f>IF(OR(U418="",'4_BENCHMARK'!$C$6=""),"",ABS(U418-'4_BENCHMARK'!$C$6))</f>
        <v/>
      </c>
      <c r="AL418" s="10" t="str">
        <f>IF(OR(V418="",'4_BENCHMARK'!$C$7=""),"",ABS(V418-'4_BENCHMARK'!$C$7))</f>
        <v/>
      </c>
      <c r="AM418" s="10" t="str">
        <f>IF(OR(W418="",'4_BENCHMARK'!$C$8=""),"",ABS(W418-'4_BENCHMARK'!$C$8))</f>
        <v/>
      </c>
      <c r="AN418" s="10" t="str">
        <f>IF(OR(X418="",'4_BENCHMARK'!$C$9=""),"",ABS(X418-'4_BENCHMARK'!$C$9))</f>
        <v/>
      </c>
      <c r="AO418" s="10" t="str">
        <f>IF(OR(Y418="",'4_BENCHMARK'!$C$10=""),"",ABS(Y418-'4_BENCHMARK'!$C$10))</f>
        <v/>
      </c>
      <c r="AP418" s="10" t="str">
        <f>IF(OR(Z418="",'4_BENCHMARK'!$C$11=""),"",ABS(Z418-'4_BENCHMARK'!$C$11))</f>
        <v/>
      </c>
      <c r="AQ418" s="13" t="str">
        <f t="shared" si="228"/>
        <v/>
      </c>
      <c r="AR418" s="10"/>
      <c r="AS418" s="36"/>
      <c r="AT418" s="13" t="str">
        <f t="shared" si="229"/>
        <v/>
      </c>
      <c r="AU418" s="1" t="str">
        <f t="shared" ref="AU418:BB418" si="273">IF(AND($I403="yes",$C403&lt;=1949,K418&lt;&gt;""),K418,"")</f>
        <v/>
      </c>
      <c r="AV418" s="1" t="str">
        <f t="shared" si="273"/>
        <v/>
      </c>
      <c r="AW418" s="1" t="str">
        <f t="shared" si="273"/>
        <v/>
      </c>
      <c r="AX418" s="1" t="str">
        <f t="shared" si="273"/>
        <v/>
      </c>
      <c r="AY418" s="1" t="str">
        <f t="shared" si="273"/>
        <v/>
      </c>
      <c r="AZ418" s="1" t="str">
        <f t="shared" si="273"/>
        <v/>
      </c>
      <c r="BA418" s="1" t="str">
        <f t="shared" si="273"/>
        <v/>
      </c>
      <c r="BB418" s="1" t="str">
        <f t="shared" si="273"/>
        <v/>
      </c>
      <c r="BC418" s="1" t="str">
        <f t="shared" ref="BC418:BJ418" si="274">IF(AND($I403="yes",$C403&gt;=2000,K418&lt;&gt;""),K418,"")</f>
        <v/>
      </c>
      <c r="BD418" s="1" t="str">
        <f t="shared" si="274"/>
        <v/>
      </c>
      <c r="BE418" s="1" t="str">
        <f t="shared" si="274"/>
        <v/>
      </c>
      <c r="BF418" s="1" t="str">
        <f t="shared" si="274"/>
        <v/>
      </c>
      <c r="BG418" s="1" t="str">
        <f t="shared" si="274"/>
        <v/>
      </c>
      <c r="BH418" s="1" t="str">
        <f t="shared" si="274"/>
        <v/>
      </c>
      <c r="BI418" s="1" t="str">
        <f t="shared" si="274"/>
        <v/>
      </c>
      <c r="BJ418" s="1" t="str">
        <f t="shared" si="274"/>
        <v/>
      </c>
    </row>
    <row r="419" ht="14.25" customHeight="1" spans="1:62">
      <c r="A419" s="10"/>
      <c r="B419" s="36"/>
      <c r="C419" s="10"/>
      <c r="D419" s="10" t="str">
        <f t="shared" si="246"/>
        <v/>
      </c>
      <c r="E419" s="36"/>
      <c r="F419" s="35"/>
      <c r="G419" s="36"/>
      <c r="H419" s="10"/>
      <c r="I419" s="10"/>
      <c r="J419" s="10"/>
      <c r="K419" s="10"/>
      <c r="L419" s="10"/>
      <c r="M419" s="10"/>
      <c r="N419" s="10"/>
      <c r="O419" s="10"/>
      <c r="P419" s="10"/>
      <c r="Q419" s="10"/>
      <c r="R419" s="10"/>
      <c r="S419" s="10" t="str">
        <f t="shared" si="212"/>
        <v/>
      </c>
      <c r="T419" s="10" t="str">
        <f t="shared" si="213"/>
        <v/>
      </c>
      <c r="U419" s="10" t="str">
        <f t="shared" si="214"/>
        <v/>
      </c>
      <c r="V419" s="10" t="str">
        <f t="shared" si="215"/>
        <v/>
      </c>
      <c r="W419" s="10" t="str">
        <f t="shared" si="216"/>
        <v/>
      </c>
      <c r="X419" s="10" t="str">
        <f t="shared" si="217"/>
        <v/>
      </c>
      <c r="Y419" s="10" t="str">
        <f t="shared" si="218"/>
        <v/>
      </c>
      <c r="Z419" s="10" t="str">
        <f t="shared" si="219"/>
        <v/>
      </c>
      <c r="AA419" s="10" t="str">
        <f t="shared" si="220"/>
        <v/>
      </c>
      <c r="AB419" s="10" t="str">
        <f t="shared" si="221"/>
        <v/>
      </c>
      <c r="AC419" s="10" t="str">
        <f t="shared" si="222"/>
        <v/>
      </c>
      <c r="AD419" s="10" t="str">
        <f t="shared" si="223"/>
        <v/>
      </c>
      <c r="AE419" s="10" t="str">
        <f t="shared" si="224"/>
        <v/>
      </c>
      <c r="AF419" s="10" t="str">
        <f t="shared" si="225"/>
        <v/>
      </c>
      <c r="AG419" s="10" t="str">
        <f t="shared" si="226"/>
        <v/>
      </c>
      <c r="AH419" s="10" t="str">
        <f t="shared" si="227"/>
        <v/>
      </c>
      <c r="AI419" s="10" t="str">
        <f>IF(OR(S419="",'4_BENCHMARK'!$C$4=""),"",ABS(S419-'4_BENCHMARK'!$C$4))</f>
        <v/>
      </c>
      <c r="AJ419" s="10" t="str">
        <f>IF(OR(T419="",'4_BENCHMARK'!$C$5=""),"",ABS(T419-'4_BENCHMARK'!$C$5))</f>
        <v/>
      </c>
      <c r="AK419" s="10" t="str">
        <f>IF(OR(U419="",'4_BENCHMARK'!$C$6=""),"",ABS(U419-'4_BENCHMARK'!$C$6))</f>
        <v/>
      </c>
      <c r="AL419" s="10" t="str">
        <f>IF(OR(V419="",'4_BENCHMARK'!$C$7=""),"",ABS(V419-'4_BENCHMARK'!$C$7))</f>
        <v/>
      </c>
      <c r="AM419" s="10" t="str">
        <f>IF(OR(W419="",'4_BENCHMARK'!$C$8=""),"",ABS(W419-'4_BENCHMARK'!$C$8))</f>
        <v/>
      </c>
      <c r="AN419" s="10" t="str">
        <f>IF(OR(X419="",'4_BENCHMARK'!$C$9=""),"",ABS(X419-'4_BENCHMARK'!$C$9))</f>
        <v/>
      </c>
      <c r="AO419" s="10" t="str">
        <f>IF(OR(Y419="",'4_BENCHMARK'!$C$10=""),"",ABS(Y419-'4_BENCHMARK'!$C$10))</f>
        <v/>
      </c>
      <c r="AP419" s="10" t="str">
        <f>IF(OR(Z419="",'4_BENCHMARK'!$C$11=""),"",ABS(Z419-'4_BENCHMARK'!$C$11))</f>
        <v/>
      </c>
      <c r="AQ419" s="13" t="str">
        <f t="shared" si="228"/>
        <v/>
      </c>
      <c r="AR419" s="10"/>
      <c r="AS419" s="36"/>
      <c r="AT419" s="13" t="str">
        <f t="shared" si="229"/>
        <v/>
      </c>
      <c r="AU419" s="1" t="str">
        <f t="shared" ref="AU419:BB419" si="275">IF(AND($I403="yes",$C403&lt;=1949,K419&lt;&gt;""),K419,"")</f>
        <v/>
      </c>
      <c r="AV419" s="1" t="str">
        <f t="shared" si="275"/>
        <v/>
      </c>
      <c r="AW419" s="1" t="str">
        <f t="shared" si="275"/>
        <v/>
      </c>
      <c r="AX419" s="1" t="str">
        <f t="shared" si="275"/>
        <v/>
      </c>
      <c r="AY419" s="1" t="str">
        <f t="shared" si="275"/>
        <v/>
      </c>
      <c r="AZ419" s="1" t="str">
        <f t="shared" si="275"/>
        <v/>
      </c>
      <c r="BA419" s="1" t="str">
        <f t="shared" si="275"/>
        <v/>
      </c>
      <c r="BB419" s="1" t="str">
        <f t="shared" si="275"/>
        <v/>
      </c>
      <c r="BC419" s="1" t="str">
        <f t="shared" ref="BC419:BJ419" si="276">IF(AND($I403="yes",$C403&gt;=2000,K419&lt;&gt;""),K419,"")</f>
        <v/>
      </c>
      <c r="BD419" s="1" t="str">
        <f t="shared" si="276"/>
        <v/>
      </c>
      <c r="BE419" s="1" t="str">
        <f t="shared" si="276"/>
        <v/>
      </c>
      <c r="BF419" s="1" t="str">
        <f t="shared" si="276"/>
        <v/>
      </c>
      <c r="BG419" s="1" t="str">
        <f t="shared" si="276"/>
        <v/>
      </c>
      <c r="BH419" s="1" t="str">
        <f t="shared" si="276"/>
        <v/>
      </c>
      <c r="BI419" s="1" t="str">
        <f t="shared" si="276"/>
        <v/>
      </c>
      <c r="BJ419" s="1" t="str">
        <f t="shared" si="276"/>
        <v/>
      </c>
    </row>
    <row r="420" ht="14.25" customHeight="1" spans="1:62">
      <c r="A420" s="10"/>
      <c r="B420" s="36"/>
      <c r="C420" s="10"/>
      <c r="D420" s="10" t="str">
        <f t="shared" si="246"/>
        <v/>
      </c>
      <c r="E420" s="36"/>
      <c r="F420" s="35"/>
      <c r="G420" s="36"/>
      <c r="H420" s="10"/>
      <c r="I420" s="10"/>
      <c r="J420" s="10"/>
      <c r="K420" s="10"/>
      <c r="L420" s="10"/>
      <c r="M420" s="10"/>
      <c r="N420" s="10"/>
      <c r="O420" s="10"/>
      <c r="P420" s="10"/>
      <c r="Q420" s="10"/>
      <c r="R420" s="10"/>
      <c r="S420" s="10" t="str">
        <f t="shared" si="212"/>
        <v/>
      </c>
      <c r="T420" s="10" t="str">
        <f t="shared" si="213"/>
        <v/>
      </c>
      <c r="U420" s="10" t="str">
        <f t="shared" si="214"/>
        <v/>
      </c>
      <c r="V420" s="10" t="str">
        <f t="shared" si="215"/>
        <v/>
      </c>
      <c r="W420" s="10" t="str">
        <f t="shared" si="216"/>
        <v/>
      </c>
      <c r="X420" s="10" t="str">
        <f t="shared" si="217"/>
        <v/>
      </c>
      <c r="Y420" s="10" t="str">
        <f t="shared" si="218"/>
        <v/>
      </c>
      <c r="Z420" s="10" t="str">
        <f t="shared" si="219"/>
        <v/>
      </c>
      <c r="AA420" s="10" t="str">
        <f t="shared" si="220"/>
        <v/>
      </c>
      <c r="AB420" s="10" t="str">
        <f t="shared" si="221"/>
        <v/>
      </c>
      <c r="AC420" s="10" t="str">
        <f t="shared" si="222"/>
        <v/>
      </c>
      <c r="AD420" s="10" t="str">
        <f t="shared" si="223"/>
        <v/>
      </c>
      <c r="AE420" s="10" t="str">
        <f t="shared" si="224"/>
        <v/>
      </c>
      <c r="AF420" s="10" t="str">
        <f t="shared" si="225"/>
        <v/>
      </c>
      <c r="AG420" s="10" t="str">
        <f t="shared" si="226"/>
        <v/>
      </c>
      <c r="AH420" s="10" t="str">
        <f t="shared" si="227"/>
        <v/>
      </c>
      <c r="AI420" s="10" t="str">
        <f>IF(OR(S420="",'4_BENCHMARK'!$C$4=""),"",ABS(S420-'4_BENCHMARK'!$C$4))</f>
        <v/>
      </c>
      <c r="AJ420" s="10" t="str">
        <f>IF(OR(T420="",'4_BENCHMARK'!$C$5=""),"",ABS(T420-'4_BENCHMARK'!$C$5))</f>
        <v/>
      </c>
      <c r="AK420" s="10" t="str">
        <f>IF(OR(U420="",'4_BENCHMARK'!$C$6=""),"",ABS(U420-'4_BENCHMARK'!$C$6))</f>
        <v/>
      </c>
      <c r="AL420" s="10" t="str">
        <f>IF(OR(V420="",'4_BENCHMARK'!$C$7=""),"",ABS(V420-'4_BENCHMARK'!$C$7))</f>
        <v/>
      </c>
      <c r="AM420" s="10" t="str">
        <f>IF(OR(W420="",'4_BENCHMARK'!$C$8=""),"",ABS(W420-'4_BENCHMARK'!$C$8))</f>
        <v/>
      </c>
      <c r="AN420" s="10" t="str">
        <f>IF(OR(X420="",'4_BENCHMARK'!$C$9=""),"",ABS(X420-'4_BENCHMARK'!$C$9))</f>
        <v/>
      </c>
      <c r="AO420" s="10" t="str">
        <f>IF(OR(Y420="",'4_BENCHMARK'!$C$10=""),"",ABS(Y420-'4_BENCHMARK'!$C$10))</f>
        <v/>
      </c>
      <c r="AP420" s="10" t="str">
        <f>IF(OR(Z420="",'4_BENCHMARK'!$C$11=""),"",ABS(Z420-'4_BENCHMARK'!$C$11))</f>
        <v/>
      </c>
      <c r="AQ420" s="13" t="str">
        <f t="shared" si="228"/>
        <v/>
      </c>
      <c r="AR420" s="10"/>
      <c r="AS420" s="36"/>
      <c r="AT420" s="13" t="str">
        <f t="shared" si="229"/>
        <v/>
      </c>
      <c r="AU420" s="1" t="str">
        <f t="shared" ref="AU420:BB420" si="277">IF(AND($I403="yes",$C403&lt;=1949,K420&lt;&gt;""),K420,"")</f>
        <v/>
      </c>
      <c r="AV420" s="1" t="str">
        <f t="shared" si="277"/>
        <v/>
      </c>
      <c r="AW420" s="1" t="str">
        <f t="shared" si="277"/>
        <v/>
      </c>
      <c r="AX420" s="1" t="str">
        <f t="shared" si="277"/>
        <v/>
      </c>
      <c r="AY420" s="1" t="str">
        <f t="shared" si="277"/>
        <v/>
      </c>
      <c r="AZ420" s="1" t="str">
        <f t="shared" si="277"/>
        <v/>
      </c>
      <c r="BA420" s="1" t="str">
        <f t="shared" si="277"/>
        <v/>
      </c>
      <c r="BB420" s="1" t="str">
        <f t="shared" si="277"/>
        <v/>
      </c>
      <c r="BC420" s="1" t="str">
        <f t="shared" ref="BC420:BJ420" si="278">IF(AND($I403="yes",$C403&gt;=2000,K420&lt;&gt;""),K420,"")</f>
        <v/>
      </c>
      <c r="BD420" s="1" t="str">
        <f t="shared" si="278"/>
        <v/>
      </c>
      <c r="BE420" s="1" t="str">
        <f t="shared" si="278"/>
        <v/>
      </c>
      <c r="BF420" s="1" t="str">
        <f t="shared" si="278"/>
        <v/>
      </c>
      <c r="BG420" s="1" t="str">
        <f t="shared" si="278"/>
        <v/>
      </c>
      <c r="BH420" s="1" t="str">
        <f t="shared" si="278"/>
        <v/>
      </c>
      <c r="BI420" s="1" t="str">
        <f t="shared" si="278"/>
        <v/>
      </c>
      <c r="BJ420" s="1" t="str">
        <f t="shared" si="278"/>
        <v/>
      </c>
    </row>
    <row r="421" ht="14.25" customHeight="1" spans="1:62">
      <c r="A421" s="10"/>
      <c r="B421" s="36"/>
      <c r="C421" s="10"/>
      <c r="D421" s="10" t="str">
        <f t="shared" si="246"/>
        <v/>
      </c>
      <c r="E421" s="36"/>
      <c r="F421" s="35"/>
      <c r="G421" s="36"/>
      <c r="H421" s="10"/>
      <c r="I421" s="10"/>
      <c r="J421" s="10"/>
      <c r="K421" s="10"/>
      <c r="L421" s="10"/>
      <c r="M421" s="10"/>
      <c r="N421" s="10"/>
      <c r="O421" s="10"/>
      <c r="P421" s="10"/>
      <c r="Q421" s="10"/>
      <c r="R421" s="10"/>
      <c r="S421" s="10" t="str">
        <f t="shared" si="212"/>
        <v/>
      </c>
      <c r="T421" s="10" t="str">
        <f t="shared" si="213"/>
        <v/>
      </c>
      <c r="U421" s="10" t="str">
        <f t="shared" si="214"/>
        <v/>
      </c>
      <c r="V421" s="10" t="str">
        <f t="shared" si="215"/>
        <v/>
      </c>
      <c r="W421" s="10" t="str">
        <f t="shared" si="216"/>
        <v/>
      </c>
      <c r="X421" s="10" t="str">
        <f t="shared" si="217"/>
        <v/>
      </c>
      <c r="Y421" s="10" t="str">
        <f t="shared" si="218"/>
        <v/>
      </c>
      <c r="Z421" s="10" t="str">
        <f t="shared" si="219"/>
        <v/>
      </c>
      <c r="AA421" s="10" t="str">
        <f t="shared" si="220"/>
        <v/>
      </c>
      <c r="AB421" s="10" t="str">
        <f t="shared" si="221"/>
        <v/>
      </c>
      <c r="AC421" s="10" t="str">
        <f t="shared" si="222"/>
        <v/>
      </c>
      <c r="AD421" s="10" t="str">
        <f t="shared" si="223"/>
        <v/>
      </c>
      <c r="AE421" s="10" t="str">
        <f t="shared" si="224"/>
        <v/>
      </c>
      <c r="AF421" s="10" t="str">
        <f t="shared" si="225"/>
        <v/>
      </c>
      <c r="AG421" s="10" t="str">
        <f t="shared" si="226"/>
        <v/>
      </c>
      <c r="AH421" s="10" t="str">
        <f t="shared" si="227"/>
        <v/>
      </c>
      <c r="AI421" s="10" t="str">
        <f>IF(OR(S421="",'4_BENCHMARK'!$C$4=""),"",ABS(S421-'4_BENCHMARK'!$C$4))</f>
        <v/>
      </c>
      <c r="AJ421" s="10" t="str">
        <f>IF(OR(T421="",'4_BENCHMARK'!$C$5=""),"",ABS(T421-'4_BENCHMARK'!$C$5))</f>
        <v/>
      </c>
      <c r="AK421" s="10" t="str">
        <f>IF(OR(U421="",'4_BENCHMARK'!$C$6=""),"",ABS(U421-'4_BENCHMARK'!$C$6))</f>
        <v/>
      </c>
      <c r="AL421" s="10" t="str">
        <f>IF(OR(V421="",'4_BENCHMARK'!$C$7=""),"",ABS(V421-'4_BENCHMARK'!$C$7))</f>
        <v/>
      </c>
      <c r="AM421" s="10" t="str">
        <f>IF(OR(W421="",'4_BENCHMARK'!$C$8=""),"",ABS(W421-'4_BENCHMARK'!$C$8))</f>
        <v/>
      </c>
      <c r="AN421" s="10" t="str">
        <f>IF(OR(X421="",'4_BENCHMARK'!$C$9=""),"",ABS(X421-'4_BENCHMARK'!$C$9))</f>
        <v/>
      </c>
      <c r="AO421" s="10" t="str">
        <f>IF(OR(Y421="",'4_BENCHMARK'!$C$10=""),"",ABS(Y421-'4_BENCHMARK'!$C$10))</f>
        <v/>
      </c>
      <c r="AP421" s="10" t="str">
        <f>IF(OR(Z421="",'4_BENCHMARK'!$C$11=""),"",ABS(Z421-'4_BENCHMARK'!$C$11))</f>
        <v/>
      </c>
      <c r="AQ421" s="13" t="str">
        <f t="shared" si="228"/>
        <v/>
      </c>
      <c r="AR421" s="10"/>
      <c r="AS421" s="36"/>
      <c r="AT421" s="13" t="str">
        <f t="shared" si="229"/>
        <v/>
      </c>
      <c r="AU421" s="1" t="str">
        <f t="shared" ref="AU421:BB421" si="279">IF(AND($I403="yes",$C403&lt;=1949,K421&lt;&gt;""),K421,"")</f>
        <v/>
      </c>
      <c r="AV421" s="1" t="str">
        <f t="shared" si="279"/>
        <v/>
      </c>
      <c r="AW421" s="1" t="str">
        <f t="shared" si="279"/>
        <v/>
      </c>
      <c r="AX421" s="1" t="str">
        <f t="shared" si="279"/>
        <v/>
      </c>
      <c r="AY421" s="1" t="str">
        <f t="shared" si="279"/>
        <v/>
      </c>
      <c r="AZ421" s="1" t="str">
        <f t="shared" si="279"/>
        <v/>
      </c>
      <c r="BA421" s="1" t="str">
        <f t="shared" si="279"/>
        <v/>
      </c>
      <c r="BB421" s="1" t="str">
        <f t="shared" si="279"/>
        <v/>
      </c>
      <c r="BC421" s="1" t="str">
        <f t="shared" ref="BC421:BJ421" si="280">IF(AND($I403="yes",$C403&gt;=2000,K421&lt;&gt;""),K421,"")</f>
        <v/>
      </c>
      <c r="BD421" s="1" t="str">
        <f t="shared" si="280"/>
        <v/>
      </c>
      <c r="BE421" s="1" t="str">
        <f t="shared" si="280"/>
        <v/>
      </c>
      <c r="BF421" s="1" t="str">
        <f t="shared" si="280"/>
        <v/>
      </c>
      <c r="BG421" s="1" t="str">
        <f t="shared" si="280"/>
        <v/>
      </c>
      <c r="BH421" s="1" t="str">
        <f t="shared" si="280"/>
        <v/>
      </c>
      <c r="BI421" s="1" t="str">
        <f t="shared" si="280"/>
        <v/>
      </c>
      <c r="BJ421" s="1" t="str">
        <f t="shared" si="280"/>
        <v/>
      </c>
    </row>
    <row r="422" ht="14.25" customHeight="1" spans="1:62">
      <c r="A422" s="10"/>
      <c r="B422" s="36"/>
      <c r="C422" s="10"/>
      <c r="D422" s="10" t="str">
        <f t="shared" si="246"/>
        <v/>
      </c>
      <c r="E422" s="36"/>
      <c r="F422" s="35"/>
      <c r="G422" s="36"/>
      <c r="H422" s="10"/>
      <c r="I422" s="10"/>
      <c r="J422" s="10"/>
      <c r="K422" s="10"/>
      <c r="L422" s="10"/>
      <c r="M422" s="10"/>
      <c r="N422" s="10"/>
      <c r="O422" s="10"/>
      <c r="P422" s="10"/>
      <c r="Q422" s="10"/>
      <c r="R422" s="10"/>
      <c r="S422" s="10" t="str">
        <f t="shared" si="212"/>
        <v/>
      </c>
      <c r="T422" s="10" t="str">
        <f t="shared" si="213"/>
        <v/>
      </c>
      <c r="U422" s="10" t="str">
        <f t="shared" si="214"/>
        <v/>
      </c>
      <c r="V422" s="10" t="str">
        <f t="shared" si="215"/>
        <v/>
      </c>
      <c r="W422" s="10" t="str">
        <f t="shared" si="216"/>
        <v/>
      </c>
      <c r="X422" s="10" t="str">
        <f t="shared" si="217"/>
        <v/>
      </c>
      <c r="Y422" s="10" t="str">
        <f t="shared" si="218"/>
        <v/>
      </c>
      <c r="Z422" s="10" t="str">
        <f t="shared" si="219"/>
        <v/>
      </c>
      <c r="AA422" s="10" t="str">
        <f t="shared" si="220"/>
        <v/>
      </c>
      <c r="AB422" s="10" t="str">
        <f t="shared" si="221"/>
        <v/>
      </c>
      <c r="AC422" s="10" t="str">
        <f t="shared" si="222"/>
        <v/>
      </c>
      <c r="AD422" s="10" t="str">
        <f t="shared" si="223"/>
        <v/>
      </c>
      <c r="AE422" s="10" t="str">
        <f t="shared" si="224"/>
        <v/>
      </c>
      <c r="AF422" s="10" t="str">
        <f t="shared" si="225"/>
        <v/>
      </c>
      <c r="AG422" s="10" t="str">
        <f t="shared" si="226"/>
        <v/>
      </c>
      <c r="AH422" s="10" t="str">
        <f t="shared" si="227"/>
        <v/>
      </c>
      <c r="AI422" s="10" t="str">
        <f>IF(OR(S422="",'4_BENCHMARK'!$C$4=""),"",ABS(S422-'4_BENCHMARK'!$C$4))</f>
        <v/>
      </c>
      <c r="AJ422" s="10" t="str">
        <f>IF(OR(T422="",'4_BENCHMARK'!$C$5=""),"",ABS(T422-'4_BENCHMARK'!$C$5))</f>
        <v/>
      </c>
      <c r="AK422" s="10" t="str">
        <f>IF(OR(U422="",'4_BENCHMARK'!$C$6=""),"",ABS(U422-'4_BENCHMARK'!$C$6))</f>
        <v/>
      </c>
      <c r="AL422" s="10" t="str">
        <f>IF(OR(V422="",'4_BENCHMARK'!$C$7=""),"",ABS(V422-'4_BENCHMARK'!$C$7))</f>
        <v/>
      </c>
      <c r="AM422" s="10" t="str">
        <f>IF(OR(W422="",'4_BENCHMARK'!$C$8=""),"",ABS(W422-'4_BENCHMARK'!$C$8))</f>
        <v/>
      </c>
      <c r="AN422" s="10" t="str">
        <f>IF(OR(X422="",'4_BENCHMARK'!$C$9=""),"",ABS(X422-'4_BENCHMARK'!$C$9))</f>
        <v/>
      </c>
      <c r="AO422" s="10" t="str">
        <f>IF(OR(Y422="",'4_BENCHMARK'!$C$10=""),"",ABS(Y422-'4_BENCHMARK'!$C$10))</f>
        <v/>
      </c>
      <c r="AP422" s="10" t="str">
        <f>IF(OR(Z422="",'4_BENCHMARK'!$C$11=""),"",ABS(Z422-'4_BENCHMARK'!$C$11))</f>
        <v/>
      </c>
      <c r="AQ422" s="13" t="str">
        <f t="shared" si="228"/>
        <v/>
      </c>
      <c r="AR422" s="10"/>
      <c r="AS422" s="36"/>
      <c r="AT422" s="13" t="str">
        <f t="shared" si="229"/>
        <v/>
      </c>
      <c r="AU422" s="1" t="str">
        <f t="shared" ref="AU422:BB422" si="281">IF(AND($I403="yes",$C403&lt;=1949,K422&lt;&gt;""),K422,"")</f>
        <v/>
      </c>
      <c r="AV422" s="1" t="str">
        <f t="shared" si="281"/>
        <v/>
      </c>
      <c r="AW422" s="1" t="str">
        <f t="shared" si="281"/>
        <v/>
      </c>
      <c r="AX422" s="1" t="str">
        <f t="shared" si="281"/>
        <v/>
      </c>
      <c r="AY422" s="1" t="str">
        <f t="shared" si="281"/>
        <v/>
      </c>
      <c r="AZ422" s="1" t="str">
        <f t="shared" si="281"/>
        <v/>
      </c>
      <c r="BA422" s="1" t="str">
        <f t="shared" si="281"/>
        <v/>
      </c>
      <c r="BB422" s="1" t="str">
        <f t="shared" si="281"/>
        <v/>
      </c>
      <c r="BC422" s="1" t="str">
        <f t="shared" ref="BC422:BJ422" si="282">IF(AND($I403="yes",$C403&gt;=2000,K422&lt;&gt;""),K422,"")</f>
        <v/>
      </c>
      <c r="BD422" s="1" t="str">
        <f t="shared" si="282"/>
        <v/>
      </c>
      <c r="BE422" s="1" t="str">
        <f t="shared" si="282"/>
        <v/>
      </c>
      <c r="BF422" s="1" t="str">
        <f t="shared" si="282"/>
        <v/>
      </c>
      <c r="BG422" s="1" t="str">
        <f t="shared" si="282"/>
        <v/>
      </c>
      <c r="BH422" s="1" t="str">
        <f t="shared" si="282"/>
        <v/>
      </c>
      <c r="BI422" s="1" t="str">
        <f t="shared" si="282"/>
        <v/>
      </c>
      <c r="BJ422" s="1" t="str">
        <f t="shared" si="282"/>
        <v/>
      </c>
    </row>
    <row r="423" ht="14.25" customHeight="1" spans="1:62">
      <c r="A423" s="10"/>
      <c r="B423" s="36"/>
      <c r="C423" s="10"/>
      <c r="D423" s="10" t="str">
        <f t="shared" si="246"/>
        <v/>
      </c>
      <c r="E423" s="36"/>
      <c r="F423" s="35"/>
      <c r="G423" s="36"/>
      <c r="H423" s="10"/>
      <c r="I423" s="10"/>
      <c r="J423" s="10"/>
      <c r="K423" s="10"/>
      <c r="L423" s="10"/>
      <c r="M423" s="10"/>
      <c r="N423" s="10"/>
      <c r="O423" s="10"/>
      <c r="P423" s="10"/>
      <c r="Q423" s="10"/>
      <c r="R423" s="10"/>
      <c r="S423" s="10" t="str">
        <f t="shared" si="212"/>
        <v/>
      </c>
      <c r="T423" s="10" t="str">
        <f t="shared" si="213"/>
        <v/>
      </c>
      <c r="U423" s="10" t="str">
        <f t="shared" si="214"/>
        <v/>
      </c>
      <c r="V423" s="10" t="str">
        <f t="shared" si="215"/>
        <v/>
      </c>
      <c r="W423" s="10" t="str">
        <f t="shared" si="216"/>
        <v/>
      </c>
      <c r="X423" s="10" t="str">
        <f t="shared" si="217"/>
        <v/>
      </c>
      <c r="Y423" s="10" t="str">
        <f t="shared" si="218"/>
        <v/>
      </c>
      <c r="Z423" s="10" t="str">
        <f t="shared" si="219"/>
        <v/>
      </c>
      <c r="AA423" s="10" t="str">
        <f t="shared" si="220"/>
        <v/>
      </c>
      <c r="AB423" s="10" t="str">
        <f t="shared" si="221"/>
        <v/>
      </c>
      <c r="AC423" s="10" t="str">
        <f t="shared" si="222"/>
        <v/>
      </c>
      <c r="AD423" s="10" t="str">
        <f t="shared" si="223"/>
        <v/>
      </c>
      <c r="AE423" s="10" t="str">
        <f t="shared" si="224"/>
        <v/>
      </c>
      <c r="AF423" s="10" t="str">
        <f t="shared" si="225"/>
        <v/>
      </c>
      <c r="AG423" s="10" t="str">
        <f t="shared" si="226"/>
        <v/>
      </c>
      <c r="AH423" s="10" t="str">
        <f t="shared" si="227"/>
        <v/>
      </c>
      <c r="AI423" s="10" t="str">
        <f>IF(OR(S423="",'4_BENCHMARK'!$C$4=""),"",ABS(S423-'4_BENCHMARK'!$C$4))</f>
        <v/>
      </c>
      <c r="AJ423" s="10" t="str">
        <f>IF(OR(T423="",'4_BENCHMARK'!$C$5=""),"",ABS(T423-'4_BENCHMARK'!$C$5))</f>
        <v/>
      </c>
      <c r="AK423" s="10" t="str">
        <f>IF(OR(U423="",'4_BENCHMARK'!$C$6=""),"",ABS(U423-'4_BENCHMARK'!$C$6))</f>
        <v/>
      </c>
      <c r="AL423" s="10" t="str">
        <f>IF(OR(V423="",'4_BENCHMARK'!$C$7=""),"",ABS(V423-'4_BENCHMARK'!$C$7))</f>
        <v/>
      </c>
      <c r="AM423" s="10" t="str">
        <f>IF(OR(W423="",'4_BENCHMARK'!$C$8=""),"",ABS(W423-'4_BENCHMARK'!$C$8))</f>
        <v/>
      </c>
      <c r="AN423" s="10" t="str">
        <f>IF(OR(X423="",'4_BENCHMARK'!$C$9=""),"",ABS(X423-'4_BENCHMARK'!$C$9))</f>
        <v/>
      </c>
      <c r="AO423" s="10" t="str">
        <f>IF(OR(Y423="",'4_BENCHMARK'!$C$10=""),"",ABS(Y423-'4_BENCHMARK'!$C$10))</f>
        <v/>
      </c>
      <c r="AP423" s="10" t="str">
        <f>IF(OR(Z423="",'4_BENCHMARK'!$C$11=""),"",ABS(Z423-'4_BENCHMARK'!$C$11))</f>
        <v/>
      </c>
      <c r="AQ423" s="13" t="str">
        <f t="shared" si="228"/>
        <v/>
      </c>
      <c r="AR423" s="10"/>
      <c r="AS423" s="36"/>
      <c r="AT423" s="13" t="str">
        <f t="shared" si="229"/>
        <v/>
      </c>
      <c r="AU423" s="1" t="str">
        <f t="shared" ref="AU423:BB423" si="283">IF(AND($I403="yes",$C403&lt;=1949,K423&lt;&gt;""),K423,"")</f>
        <v/>
      </c>
      <c r="AV423" s="1" t="str">
        <f t="shared" si="283"/>
        <v/>
      </c>
      <c r="AW423" s="1" t="str">
        <f t="shared" si="283"/>
        <v/>
      </c>
      <c r="AX423" s="1" t="str">
        <f t="shared" si="283"/>
        <v/>
      </c>
      <c r="AY423" s="1" t="str">
        <f t="shared" si="283"/>
        <v/>
      </c>
      <c r="AZ423" s="1" t="str">
        <f t="shared" si="283"/>
        <v/>
      </c>
      <c r="BA423" s="1" t="str">
        <f t="shared" si="283"/>
        <v/>
      </c>
      <c r="BB423" s="1" t="str">
        <f t="shared" si="283"/>
        <v/>
      </c>
      <c r="BC423" s="1" t="str">
        <f t="shared" ref="BC423:BJ423" si="284">IF(AND($I403="yes",$C403&gt;=2000,K423&lt;&gt;""),K423,"")</f>
        <v/>
      </c>
      <c r="BD423" s="1" t="str">
        <f t="shared" si="284"/>
        <v/>
      </c>
      <c r="BE423" s="1" t="str">
        <f t="shared" si="284"/>
        <v/>
      </c>
      <c r="BF423" s="1" t="str">
        <f t="shared" si="284"/>
        <v/>
      </c>
      <c r="BG423" s="1" t="str">
        <f t="shared" si="284"/>
        <v/>
      </c>
      <c r="BH423" s="1" t="str">
        <f t="shared" si="284"/>
        <v/>
      </c>
      <c r="BI423" s="1" t="str">
        <f t="shared" si="284"/>
        <v/>
      </c>
      <c r="BJ423" s="1" t="str">
        <f t="shared" si="284"/>
        <v/>
      </c>
    </row>
    <row r="424" ht="14.25" customHeight="1" spans="1:62">
      <c r="A424" s="10"/>
      <c r="B424" s="36"/>
      <c r="C424" s="10"/>
      <c r="D424" s="10" t="str">
        <f t="shared" si="246"/>
        <v/>
      </c>
      <c r="E424" s="36"/>
      <c r="F424" s="35"/>
      <c r="G424" s="36"/>
      <c r="H424" s="10"/>
      <c r="I424" s="10"/>
      <c r="J424" s="10"/>
      <c r="K424" s="10"/>
      <c r="L424" s="10"/>
      <c r="M424" s="10"/>
      <c r="N424" s="10"/>
      <c r="O424" s="10"/>
      <c r="P424" s="10"/>
      <c r="Q424" s="10"/>
      <c r="R424" s="10"/>
      <c r="S424" s="10" t="str">
        <f t="shared" si="212"/>
        <v/>
      </c>
      <c r="T424" s="10" t="str">
        <f t="shared" si="213"/>
        <v/>
      </c>
      <c r="U424" s="10" t="str">
        <f t="shared" si="214"/>
        <v/>
      </c>
      <c r="V424" s="10" t="str">
        <f t="shared" si="215"/>
        <v/>
      </c>
      <c r="W424" s="10" t="str">
        <f t="shared" si="216"/>
        <v/>
      </c>
      <c r="X424" s="10" t="str">
        <f t="shared" si="217"/>
        <v/>
      </c>
      <c r="Y424" s="10" t="str">
        <f t="shared" si="218"/>
        <v/>
      </c>
      <c r="Z424" s="10" t="str">
        <f t="shared" si="219"/>
        <v/>
      </c>
      <c r="AA424" s="10" t="str">
        <f t="shared" si="220"/>
        <v/>
      </c>
      <c r="AB424" s="10" t="str">
        <f t="shared" si="221"/>
        <v/>
      </c>
      <c r="AC424" s="10" t="str">
        <f t="shared" si="222"/>
        <v/>
      </c>
      <c r="AD424" s="10" t="str">
        <f t="shared" si="223"/>
        <v/>
      </c>
      <c r="AE424" s="10" t="str">
        <f t="shared" si="224"/>
        <v/>
      </c>
      <c r="AF424" s="10" t="str">
        <f t="shared" si="225"/>
        <v/>
      </c>
      <c r="AG424" s="10" t="str">
        <f t="shared" si="226"/>
        <v/>
      </c>
      <c r="AH424" s="10" t="str">
        <f t="shared" si="227"/>
        <v/>
      </c>
      <c r="AI424" s="10" t="str">
        <f>IF(OR(S424="",'4_BENCHMARK'!$C$4=""),"",ABS(S424-'4_BENCHMARK'!$C$4))</f>
        <v/>
      </c>
      <c r="AJ424" s="10" t="str">
        <f>IF(OR(T424="",'4_BENCHMARK'!$C$5=""),"",ABS(T424-'4_BENCHMARK'!$C$5))</f>
        <v/>
      </c>
      <c r="AK424" s="10" t="str">
        <f>IF(OR(U424="",'4_BENCHMARK'!$C$6=""),"",ABS(U424-'4_BENCHMARK'!$C$6))</f>
        <v/>
      </c>
      <c r="AL424" s="10" t="str">
        <f>IF(OR(V424="",'4_BENCHMARK'!$C$7=""),"",ABS(V424-'4_BENCHMARK'!$C$7))</f>
        <v/>
      </c>
      <c r="AM424" s="10" t="str">
        <f>IF(OR(W424="",'4_BENCHMARK'!$C$8=""),"",ABS(W424-'4_BENCHMARK'!$C$8))</f>
        <v/>
      </c>
      <c r="AN424" s="10" t="str">
        <f>IF(OR(X424="",'4_BENCHMARK'!$C$9=""),"",ABS(X424-'4_BENCHMARK'!$C$9))</f>
        <v/>
      </c>
      <c r="AO424" s="10" t="str">
        <f>IF(OR(Y424="",'4_BENCHMARK'!$C$10=""),"",ABS(Y424-'4_BENCHMARK'!$C$10))</f>
        <v/>
      </c>
      <c r="AP424" s="10" t="str">
        <f>IF(OR(Z424="",'4_BENCHMARK'!$C$11=""),"",ABS(Z424-'4_BENCHMARK'!$C$11))</f>
        <v/>
      </c>
      <c r="AQ424" s="13" t="str">
        <f t="shared" si="228"/>
        <v/>
      </c>
      <c r="AR424" s="10"/>
      <c r="AS424" s="36"/>
      <c r="AT424" s="13" t="str">
        <f t="shared" si="229"/>
        <v/>
      </c>
      <c r="AU424" s="1" t="str">
        <f t="shared" ref="AU424:BB424" si="285">IF(AND($I403="yes",$C403&lt;=1949,K424&lt;&gt;""),K424,"")</f>
        <v/>
      </c>
      <c r="AV424" s="1" t="str">
        <f t="shared" si="285"/>
        <v/>
      </c>
      <c r="AW424" s="1" t="str">
        <f t="shared" si="285"/>
        <v/>
      </c>
      <c r="AX424" s="1" t="str">
        <f t="shared" si="285"/>
        <v/>
      </c>
      <c r="AY424" s="1" t="str">
        <f t="shared" si="285"/>
        <v/>
      </c>
      <c r="AZ424" s="1" t="str">
        <f t="shared" si="285"/>
        <v/>
      </c>
      <c r="BA424" s="1" t="str">
        <f t="shared" si="285"/>
        <v/>
      </c>
      <c r="BB424" s="1" t="str">
        <f t="shared" si="285"/>
        <v/>
      </c>
      <c r="BC424" s="1" t="str">
        <f t="shared" ref="BC424:BJ424" si="286">IF(AND($I403="yes",$C403&gt;=2000,K424&lt;&gt;""),K424,"")</f>
        <v/>
      </c>
      <c r="BD424" s="1" t="str">
        <f t="shared" si="286"/>
        <v/>
      </c>
      <c r="BE424" s="1" t="str">
        <f t="shared" si="286"/>
        <v/>
      </c>
      <c r="BF424" s="1" t="str">
        <f t="shared" si="286"/>
        <v/>
      </c>
      <c r="BG424" s="1" t="str">
        <f t="shared" si="286"/>
        <v/>
      </c>
      <c r="BH424" s="1" t="str">
        <f t="shared" si="286"/>
        <v/>
      </c>
      <c r="BI424" s="1" t="str">
        <f t="shared" si="286"/>
        <v/>
      </c>
      <c r="BJ424" s="1" t="str">
        <f t="shared" si="286"/>
        <v/>
      </c>
    </row>
    <row r="425" ht="14.25" customHeight="1" spans="1:62">
      <c r="A425" s="10"/>
      <c r="B425" s="36"/>
      <c r="C425" s="10"/>
      <c r="D425" s="10" t="str">
        <f t="shared" ref="D425:D456" si="287">IF(C425="","",FLOOR(C425,10))</f>
        <v/>
      </c>
      <c r="E425" s="36"/>
      <c r="F425" s="35"/>
      <c r="G425" s="36"/>
      <c r="H425" s="10"/>
      <c r="I425" s="10"/>
      <c r="J425" s="10"/>
      <c r="K425" s="10"/>
      <c r="L425" s="10"/>
      <c r="M425" s="10"/>
      <c r="N425" s="10"/>
      <c r="O425" s="10"/>
      <c r="P425" s="10"/>
      <c r="Q425" s="10"/>
      <c r="R425" s="10"/>
      <c r="S425" s="10" t="str">
        <f t="shared" si="212"/>
        <v/>
      </c>
      <c r="T425" s="10" t="str">
        <f t="shared" si="213"/>
        <v/>
      </c>
      <c r="U425" s="10" t="str">
        <f t="shared" si="214"/>
        <v/>
      </c>
      <c r="V425" s="10" t="str">
        <f t="shared" si="215"/>
        <v/>
      </c>
      <c r="W425" s="10" t="str">
        <f t="shared" si="216"/>
        <v/>
      </c>
      <c r="X425" s="10" t="str">
        <f t="shared" si="217"/>
        <v/>
      </c>
      <c r="Y425" s="10" t="str">
        <f t="shared" si="218"/>
        <v/>
      </c>
      <c r="Z425" s="10" t="str">
        <f t="shared" si="219"/>
        <v/>
      </c>
      <c r="AA425" s="10" t="str">
        <f t="shared" si="220"/>
        <v/>
      </c>
      <c r="AB425" s="10" t="str">
        <f t="shared" si="221"/>
        <v/>
      </c>
      <c r="AC425" s="10" t="str">
        <f t="shared" si="222"/>
        <v/>
      </c>
      <c r="AD425" s="10" t="str">
        <f t="shared" si="223"/>
        <v/>
      </c>
      <c r="AE425" s="10" t="str">
        <f t="shared" si="224"/>
        <v/>
      </c>
      <c r="AF425" s="10" t="str">
        <f t="shared" si="225"/>
        <v/>
      </c>
      <c r="AG425" s="10" t="str">
        <f t="shared" si="226"/>
        <v/>
      </c>
      <c r="AH425" s="10" t="str">
        <f t="shared" si="227"/>
        <v/>
      </c>
      <c r="AI425" s="10" t="str">
        <f>IF(OR(S425="",'4_BENCHMARK'!$C$4=""),"",ABS(S425-'4_BENCHMARK'!$C$4))</f>
        <v/>
      </c>
      <c r="AJ425" s="10" t="str">
        <f>IF(OR(T425="",'4_BENCHMARK'!$C$5=""),"",ABS(T425-'4_BENCHMARK'!$C$5))</f>
        <v/>
      </c>
      <c r="AK425" s="10" t="str">
        <f>IF(OR(U425="",'4_BENCHMARK'!$C$6=""),"",ABS(U425-'4_BENCHMARK'!$C$6))</f>
        <v/>
      </c>
      <c r="AL425" s="10" t="str">
        <f>IF(OR(V425="",'4_BENCHMARK'!$C$7=""),"",ABS(V425-'4_BENCHMARK'!$C$7))</f>
        <v/>
      </c>
      <c r="AM425" s="10" t="str">
        <f>IF(OR(W425="",'4_BENCHMARK'!$C$8=""),"",ABS(W425-'4_BENCHMARK'!$C$8))</f>
        <v/>
      </c>
      <c r="AN425" s="10" t="str">
        <f>IF(OR(X425="",'4_BENCHMARK'!$C$9=""),"",ABS(X425-'4_BENCHMARK'!$C$9))</f>
        <v/>
      </c>
      <c r="AO425" s="10" t="str">
        <f>IF(OR(Y425="",'4_BENCHMARK'!$C$10=""),"",ABS(Y425-'4_BENCHMARK'!$C$10))</f>
        <v/>
      </c>
      <c r="AP425" s="10" t="str">
        <f>IF(OR(Z425="",'4_BENCHMARK'!$C$11=""),"",ABS(Z425-'4_BENCHMARK'!$C$11))</f>
        <v/>
      </c>
      <c r="AQ425" s="13" t="str">
        <f t="shared" si="228"/>
        <v/>
      </c>
      <c r="AR425" s="10"/>
      <c r="AS425" s="36"/>
      <c r="AT425" s="13" t="str">
        <f t="shared" si="229"/>
        <v/>
      </c>
      <c r="AU425" s="1" t="str">
        <f t="shared" ref="AU425:BB425" si="288">IF(AND($I403="yes",$C403&lt;=1949,K425&lt;&gt;""),K425,"")</f>
        <v/>
      </c>
      <c r="AV425" s="1" t="str">
        <f t="shared" si="288"/>
        <v/>
      </c>
      <c r="AW425" s="1" t="str">
        <f t="shared" si="288"/>
        <v/>
      </c>
      <c r="AX425" s="1" t="str">
        <f t="shared" si="288"/>
        <v/>
      </c>
      <c r="AY425" s="1" t="str">
        <f t="shared" si="288"/>
        <v/>
      </c>
      <c r="AZ425" s="1" t="str">
        <f t="shared" si="288"/>
        <v/>
      </c>
      <c r="BA425" s="1" t="str">
        <f t="shared" si="288"/>
        <v/>
      </c>
      <c r="BB425" s="1" t="str">
        <f t="shared" si="288"/>
        <v/>
      </c>
      <c r="BC425" s="1" t="str">
        <f t="shared" ref="BC425:BJ425" si="289">IF(AND($I403="yes",$C403&gt;=2000,K425&lt;&gt;""),K425,"")</f>
        <v/>
      </c>
      <c r="BD425" s="1" t="str">
        <f t="shared" si="289"/>
        <v/>
      </c>
      <c r="BE425" s="1" t="str">
        <f t="shared" si="289"/>
        <v/>
      </c>
      <c r="BF425" s="1" t="str">
        <f t="shared" si="289"/>
        <v/>
      </c>
      <c r="BG425" s="1" t="str">
        <f t="shared" si="289"/>
        <v/>
      </c>
      <c r="BH425" s="1" t="str">
        <f t="shared" si="289"/>
        <v/>
      </c>
      <c r="BI425" s="1" t="str">
        <f t="shared" si="289"/>
        <v/>
      </c>
      <c r="BJ425" s="1" t="str">
        <f t="shared" si="289"/>
        <v/>
      </c>
    </row>
    <row r="426" ht="14.25" customHeight="1" spans="1:62">
      <c r="A426" s="10"/>
      <c r="B426" s="36"/>
      <c r="C426" s="10"/>
      <c r="D426" s="10" t="str">
        <f t="shared" si="287"/>
        <v/>
      </c>
      <c r="E426" s="36"/>
      <c r="F426" s="35"/>
      <c r="G426" s="36"/>
      <c r="H426" s="10"/>
      <c r="I426" s="10"/>
      <c r="J426" s="10"/>
      <c r="K426" s="10"/>
      <c r="L426" s="10"/>
      <c r="M426" s="10"/>
      <c r="N426" s="10"/>
      <c r="O426" s="10"/>
      <c r="P426" s="10"/>
      <c r="Q426" s="10"/>
      <c r="R426" s="10"/>
      <c r="S426" s="10" t="str">
        <f t="shared" si="212"/>
        <v/>
      </c>
      <c r="T426" s="10" t="str">
        <f t="shared" si="213"/>
        <v/>
      </c>
      <c r="U426" s="10" t="str">
        <f t="shared" si="214"/>
        <v/>
      </c>
      <c r="V426" s="10" t="str">
        <f t="shared" si="215"/>
        <v/>
      </c>
      <c r="W426" s="10" t="str">
        <f t="shared" si="216"/>
        <v/>
      </c>
      <c r="X426" s="10" t="str">
        <f t="shared" si="217"/>
        <v/>
      </c>
      <c r="Y426" s="10" t="str">
        <f t="shared" si="218"/>
        <v/>
      </c>
      <c r="Z426" s="10" t="str">
        <f t="shared" si="219"/>
        <v/>
      </c>
      <c r="AA426" s="10" t="str">
        <f t="shared" si="220"/>
        <v/>
      </c>
      <c r="AB426" s="10" t="str">
        <f t="shared" si="221"/>
        <v/>
      </c>
      <c r="AC426" s="10" t="str">
        <f t="shared" si="222"/>
        <v/>
      </c>
      <c r="AD426" s="10" t="str">
        <f t="shared" si="223"/>
        <v/>
      </c>
      <c r="AE426" s="10" t="str">
        <f t="shared" si="224"/>
        <v/>
      </c>
      <c r="AF426" s="10" t="str">
        <f t="shared" si="225"/>
        <v/>
      </c>
      <c r="AG426" s="10" t="str">
        <f t="shared" si="226"/>
        <v/>
      </c>
      <c r="AH426" s="10" t="str">
        <f t="shared" si="227"/>
        <v/>
      </c>
      <c r="AI426" s="10" t="str">
        <f>IF(OR(S426="",'4_BENCHMARK'!$C$4=""),"",ABS(S426-'4_BENCHMARK'!$C$4))</f>
        <v/>
      </c>
      <c r="AJ426" s="10" t="str">
        <f>IF(OR(T426="",'4_BENCHMARK'!$C$5=""),"",ABS(T426-'4_BENCHMARK'!$C$5))</f>
        <v/>
      </c>
      <c r="AK426" s="10" t="str">
        <f>IF(OR(U426="",'4_BENCHMARK'!$C$6=""),"",ABS(U426-'4_BENCHMARK'!$C$6))</f>
        <v/>
      </c>
      <c r="AL426" s="10" t="str">
        <f>IF(OR(V426="",'4_BENCHMARK'!$C$7=""),"",ABS(V426-'4_BENCHMARK'!$C$7))</f>
        <v/>
      </c>
      <c r="AM426" s="10" t="str">
        <f>IF(OR(W426="",'4_BENCHMARK'!$C$8=""),"",ABS(W426-'4_BENCHMARK'!$C$8))</f>
        <v/>
      </c>
      <c r="AN426" s="10" t="str">
        <f>IF(OR(X426="",'4_BENCHMARK'!$C$9=""),"",ABS(X426-'4_BENCHMARK'!$C$9))</f>
        <v/>
      </c>
      <c r="AO426" s="10" t="str">
        <f>IF(OR(Y426="",'4_BENCHMARK'!$C$10=""),"",ABS(Y426-'4_BENCHMARK'!$C$10))</f>
        <v/>
      </c>
      <c r="AP426" s="10" t="str">
        <f>IF(OR(Z426="",'4_BENCHMARK'!$C$11=""),"",ABS(Z426-'4_BENCHMARK'!$C$11))</f>
        <v/>
      </c>
      <c r="AQ426" s="13" t="str">
        <f t="shared" si="228"/>
        <v/>
      </c>
      <c r="AR426" s="10"/>
      <c r="AS426" s="36"/>
      <c r="AT426" s="13" t="str">
        <f t="shared" si="229"/>
        <v/>
      </c>
      <c r="AU426" s="1" t="str">
        <f t="shared" ref="AU426:BB426" si="290">IF(AND($I403="yes",$C403&lt;=1949,K426&lt;&gt;""),K426,"")</f>
        <v/>
      </c>
      <c r="AV426" s="1" t="str">
        <f t="shared" si="290"/>
        <v/>
      </c>
      <c r="AW426" s="1" t="str">
        <f t="shared" si="290"/>
        <v/>
      </c>
      <c r="AX426" s="1" t="str">
        <f t="shared" si="290"/>
        <v/>
      </c>
      <c r="AY426" s="1" t="str">
        <f t="shared" si="290"/>
        <v/>
      </c>
      <c r="AZ426" s="1" t="str">
        <f t="shared" si="290"/>
        <v/>
      </c>
      <c r="BA426" s="1" t="str">
        <f t="shared" si="290"/>
        <v/>
      </c>
      <c r="BB426" s="1" t="str">
        <f t="shared" si="290"/>
        <v/>
      </c>
      <c r="BC426" s="1" t="str">
        <f t="shared" ref="BC426:BJ426" si="291">IF(AND($I403="yes",$C403&gt;=2000,K426&lt;&gt;""),K426,"")</f>
        <v/>
      </c>
      <c r="BD426" s="1" t="str">
        <f t="shared" si="291"/>
        <v/>
      </c>
      <c r="BE426" s="1" t="str">
        <f t="shared" si="291"/>
        <v/>
      </c>
      <c r="BF426" s="1" t="str">
        <f t="shared" si="291"/>
        <v/>
      </c>
      <c r="BG426" s="1" t="str">
        <f t="shared" si="291"/>
        <v/>
      </c>
      <c r="BH426" s="1" t="str">
        <f t="shared" si="291"/>
        <v/>
      </c>
      <c r="BI426" s="1" t="str">
        <f t="shared" si="291"/>
        <v/>
      </c>
      <c r="BJ426" s="1" t="str">
        <f t="shared" si="291"/>
        <v/>
      </c>
    </row>
    <row r="427" ht="14.25" customHeight="1" spans="1:62">
      <c r="A427" s="10"/>
      <c r="B427" s="36"/>
      <c r="C427" s="10"/>
      <c r="D427" s="10" t="str">
        <f t="shared" si="287"/>
        <v/>
      </c>
      <c r="E427" s="36"/>
      <c r="F427" s="35"/>
      <c r="G427" s="36"/>
      <c r="H427" s="10"/>
      <c r="I427" s="10"/>
      <c r="J427" s="10"/>
      <c r="K427" s="10"/>
      <c r="L427" s="10"/>
      <c r="M427" s="10"/>
      <c r="N427" s="10"/>
      <c r="O427" s="10"/>
      <c r="P427" s="10"/>
      <c r="Q427" s="10"/>
      <c r="R427" s="10"/>
      <c r="S427" s="10" t="str">
        <f t="shared" si="212"/>
        <v/>
      </c>
      <c r="T427" s="10" t="str">
        <f t="shared" si="213"/>
        <v/>
      </c>
      <c r="U427" s="10" t="str">
        <f t="shared" si="214"/>
        <v/>
      </c>
      <c r="V427" s="10" t="str">
        <f t="shared" si="215"/>
        <v/>
      </c>
      <c r="W427" s="10" t="str">
        <f t="shared" si="216"/>
        <v/>
      </c>
      <c r="X427" s="10" t="str">
        <f t="shared" si="217"/>
        <v/>
      </c>
      <c r="Y427" s="10" t="str">
        <f t="shared" si="218"/>
        <v/>
      </c>
      <c r="Z427" s="10" t="str">
        <f t="shared" si="219"/>
        <v/>
      </c>
      <c r="AA427" s="10" t="str">
        <f t="shared" si="220"/>
        <v/>
      </c>
      <c r="AB427" s="10" t="str">
        <f t="shared" si="221"/>
        <v/>
      </c>
      <c r="AC427" s="10" t="str">
        <f t="shared" si="222"/>
        <v/>
      </c>
      <c r="AD427" s="10" t="str">
        <f t="shared" si="223"/>
        <v/>
      </c>
      <c r="AE427" s="10" t="str">
        <f t="shared" si="224"/>
        <v/>
      </c>
      <c r="AF427" s="10" t="str">
        <f t="shared" si="225"/>
        <v/>
      </c>
      <c r="AG427" s="10" t="str">
        <f t="shared" si="226"/>
        <v/>
      </c>
      <c r="AH427" s="10" t="str">
        <f t="shared" si="227"/>
        <v/>
      </c>
      <c r="AI427" s="10" t="str">
        <f>IF(OR(S427="",'4_BENCHMARK'!$C$4=""),"",ABS(S427-'4_BENCHMARK'!$C$4))</f>
        <v/>
      </c>
      <c r="AJ427" s="10" t="str">
        <f>IF(OR(T427="",'4_BENCHMARK'!$C$5=""),"",ABS(T427-'4_BENCHMARK'!$C$5))</f>
        <v/>
      </c>
      <c r="AK427" s="10" t="str">
        <f>IF(OR(U427="",'4_BENCHMARK'!$C$6=""),"",ABS(U427-'4_BENCHMARK'!$C$6))</f>
        <v/>
      </c>
      <c r="AL427" s="10" t="str">
        <f>IF(OR(V427="",'4_BENCHMARK'!$C$7=""),"",ABS(V427-'4_BENCHMARK'!$C$7))</f>
        <v/>
      </c>
      <c r="AM427" s="10" t="str">
        <f>IF(OR(W427="",'4_BENCHMARK'!$C$8=""),"",ABS(W427-'4_BENCHMARK'!$C$8))</f>
        <v/>
      </c>
      <c r="AN427" s="10" t="str">
        <f>IF(OR(X427="",'4_BENCHMARK'!$C$9=""),"",ABS(X427-'4_BENCHMARK'!$C$9))</f>
        <v/>
      </c>
      <c r="AO427" s="10" t="str">
        <f>IF(OR(Y427="",'4_BENCHMARK'!$C$10=""),"",ABS(Y427-'4_BENCHMARK'!$C$10))</f>
        <v/>
      </c>
      <c r="AP427" s="10" t="str">
        <f>IF(OR(Z427="",'4_BENCHMARK'!$C$11=""),"",ABS(Z427-'4_BENCHMARK'!$C$11))</f>
        <v/>
      </c>
      <c r="AQ427" s="13" t="str">
        <f t="shared" si="228"/>
        <v/>
      </c>
      <c r="AR427" s="10"/>
      <c r="AS427" s="36"/>
      <c r="AT427" s="13" t="str">
        <f t="shared" si="229"/>
        <v/>
      </c>
      <c r="AU427" s="1" t="str">
        <f t="shared" ref="AU427:BB427" si="292">IF(AND($I403="yes",$C403&lt;=1949,K427&lt;&gt;""),K427,"")</f>
        <v/>
      </c>
      <c r="AV427" s="1" t="str">
        <f t="shared" si="292"/>
        <v/>
      </c>
      <c r="AW427" s="1" t="str">
        <f t="shared" si="292"/>
        <v/>
      </c>
      <c r="AX427" s="1" t="str">
        <f t="shared" si="292"/>
        <v/>
      </c>
      <c r="AY427" s="1" t="str">
        <f t="shared" si="292"/>
        <v/>
      </c>
      <c r="AZ427" s="1" t="str">
        <f t="shared" si="292"/>
        <v/>
      </c>
      <c r="BA427" s="1" t="str">
        <f t="shared" si="292"/>
        <v/>
      </c>
      <c r="BB427" s="1" t="str">
        <f t="shared" si="292"/>
        <v/>
      </c>
      <c r="BC427" s="1" t="str">
        <f t="shared" ref="BC427:BJ427" si="293">IF(AND($I403="yes",$C403&gt;=2000,K427&lt;&gt;""),K427,"")</f>
        <v/>
      </c>
      <c r="BD427" s="1" t="str">
        <f t="shared" si="293"/>
        <v/>
      </c>
      <c r="BE427" s="1" t="str">
        <f t="shared" si="293"/>
        <v/>
      </c>
      <c r="BF427" s="1" t="str">
        <f t="shared" si="293"/>
        <v/>
      </c>
      <c r="BG427" s="1" t="str">
        <f t="shared" si="293"/>
        <v/>
      </c>
      <c r="BH427" s="1" t="str">
        <f t="shared" si="293"/>
        <v/>
      </c>
      <c r="BI427" s="1" t="str">
        <f t="shared" si="293"/>
        <v/>
      </c>
      <c r="BJ427" s="1" t="str">
        <f t="shared" si="293"/>
        <v/>
      </c>
    </row>
    <row r="428" ht="14.25" customHeight="1" spans="1:62">
      <c r="A428" s="10"/>
      <c r="B428" s="36"/>
      <c r="C428" s="10"/>
      <c r="D428" s="10" t="str">
        <f t="shared" si="287"/>
        <v/>
      </c>
      <c r="E428" s="36"/>
      <c r="F428" s="35"/>
      <c r="G428" s="36"/>
      <c r="H428" s="10"/>
      <c r="I428" s="10"/>
      <c r="J428" s="10"/>
      <c r="K428" s="10"/>
      <c r="L428" s="10"/>
      <c r="M428" s="10"/>
      <c r="N428" s="10"/>
      <c r="O428" s="10"/>
      <c r="P428" s="10"/>
      <c r="Q428" s="10"/>
      <c r="R428" s="10"/>
      <c r="S428" s="10" t="str">
        <f t="shared" si="212"/>
        <v/>
      </c>
      <c r="T428" s="10" t="str">
        <f t="shared" si="213"/>
        <v/>
      </c>
      <c r="U428" s="10" t="str">
        <f t="shared" si="214"/>
        <v/>
      </c>
      <c r="V428" s="10" t="str">
        <f t="shared" si="215"/>
        <v/>
      </c>
      <c r="W428" s="10" t="str">
        <f t="shared" si="216"/>
        <v/>
      </c>
      <c r="X428" s="10" t="str">
        <f t="shared" si="217"/>
        <v/>
      </c>
      <c r="Y428" s="10" t="str">
        <f t="shared" si="218"/>
        <v/>
      </c>
      <c r="Z428" s="10" t="str">
        <f t="shared" si="219"/>
        <v/>
      </c>
      <c r="AA428" s="10" t="str">
        <f t="shared" si="220"/>
        <v/>
      </c>
      <c r="AB428" s="10" t="str">
        <f t="shared" si="221"/>
        <v/>
      </c>
      <c r="AC428" s="10" t="str">
        <f t="shared" si="222"/>
        <v/>
      </c>
      <c r="AD428" s="10" t="str">
        <f t="shared" si="223"/>
        <v/>
      </c>
      <c r="AE428" s="10" t="str">
        <f t="shared" si="224"/>
        <v/>
      </c>
      <c r="AF428" s="10" t="str">
        <f t="shared" si="225"/>
        <v/>
      </c>
      <c r="AG428" s="10" t="str">
        <f t="shared" si="226"/>
        <v/>
      </c>
      <c r="AH428" s="10" t="str">
        <f t="shared" si="227"/>
        <v/>
      </c>
      <c r="AI428" s="10" t="str">
        <f>IF(OR(S428="",'4_BENCHMARK'!$C$4=""),"",ABS(S428-'4_BENCHMARK'!$C$4))</f>
        <v/>
      </c>
      <c r="AJ428" s="10" t="str">
        <f>IF(OR(T428="",'4_BENCHMARK'!$C$5=""),"",ABS(T428-'4_BENCHMARK'!$C$5))</f>
        <v/>
      </c>
      <c r="AK428" s="10" t="str">
        <f>IF(OR(U428="",'4_BENCHMARK'!$C$6=""),"",ABS(U428-'4_BENCHMARK'!$C$6))</f>
        <v/>
      </c>
      <c r="AL428" s="10" t="str">
        <f>IF(OR(V428="",'4_BENCHMARK'!$C$7=""),"",ABS(V428-'4_BENCHMARK'!$C$7))</f>
        <v/>
      </c>
      <c r="AM428" s="10" t="str">
        <f>IF(OR(W428="",'4_BENCHMARK'!$C$8=""),"",ABS(W428-'4_BENCHMARK'!$C$8))</f>
        <v/>
      </c>
      <c r="AN428" s="10" t="str">
        <f>IF(OR(X428="",'4_BENCHMARK'!$C$9=""),"",ABS(X428-'4_BENCHMARK'!$C$9))</f>
        <v/>
      </c>
      <c r="AO428" s="10" t="str">
        <f>IF(OR(Y428="",'4_BENCHMARK'!$C$10=""),"",ABS(Y428-'4_BENCHMARK'!$C$10))</f>
        <v/>
      </c>
      <c r="AP428" s="10" t="str">
        <f>IF(OR(Z428="",'4_BENCHMARK'!$C$11=""),"",ABS(Z428-'4_BENCHMARK'!$C$11))</f>
        <v/>
      </c>
      <c r="AQ428" s="13" t="str">
        <f t="shared" si="228"/>
        <v/>
      </c>
      <c r="AR428" s="10"/>
      <c r="AS428" s="36"/>
      <c r="AT428" s="13" t="str">
        <f t="shared" si="229"/>
        <v/>
      </c>
      <c r="AU428" s="1" t="str">
        <f t="shared" ref="AU428:BB428" si="294">IF(AND($I403="yes",$C403&lt;=1949,K428&lt;&gt;""),K428,"")</f>
        <v/>
      </c>
      <c r="AV428" s="1" t="str">
        <f t="shared" si="294"/>
        <v/>
      </c>
      <c r="AW428" s="1" t="str">
        <f t="shared" si="294"/>
        <v/>
      </c>
      <c r="AX428" s="1" t="str">
        <f t="shared" si="294"/>
        <v/>
      </c>
      <c r="AY428" s="1" t="str">
        <f t="shared" si="294"/>
        <v/>
      </c>
      <c r="AZ428" s="1" t="str">
        <f t="shared" si="294"/>
        <v/>
      </c>
      <c r="BA428" s="1" t="str">
        <f t="shared" si="294"/>
        <v/>
      </c>
      <c r="BB428" s="1" t="str">
        <f t="shared" si="294"/>
        <v/>
      </c>
      <c r="BC428" s="1" t="str">
        <f t="shared" ref="BC428:BJ428" si="295">IF(AND($I403="yes",$C403&gt;=2000,K428&lt;&gt;""),K428,"")</f>
        <v/>
      </c>
      <c r="BD428" s="1" t="str">
        <f t="shared" si="295"/>
        <v/>
      </c>
      <c r="BE428" s="1" t="str">
        <f t="shared" si="295"/>
        <v/>
      </c>
      <c r="BF428" s="1" t="str">
        <f t="shared" si="295"/>
        <v/>
      </c>
      <c r="BG428" s="1" t="str">
        <f t="shared" si="295"/>
        <v/>
      </c>
      <c r="BH428" s="1" t="str">
        <f t="shared" si="295"/>
        <v/>
      </c>
      <c r="BI428" s="1" t="str">
        <f t="shared" si="295"/>
        <v/>
      </c>
      <c r="BJ428" s="1" t="str">
        <f t="shared" si="295"/>
        <v/>
      </c>
    </row>
    <row r="429" ht="14.25" customHeight="1" spans="1:62">
      <c r="A429" s="10"/>
      <c r="B429" s="36"/>
      <c r="C429" s="10"/>
      <c r="D429" s="10" t="str">
        <f t="shared" si="287"/>
        <v/>
      </c>
      <c r="E429" s="36"/>
      <c r="F429" s="35"/>
      <c r="G429" s="36"/>
      <c r="H429" s="10"/>
      <c r="I429" s="10"/>
      <c r="J429" s="10"/>
      <c r="K429" s="10"/>
      <c r="L429" s="10"/>
      <c r="M429" s="10"/>
      <c r="N429" s="10"/>
      <c r="O429" s="10"/>
      <c r="P429" s="10"/>
      <c r="Q429" s="10"/>
      <c r="R429" s="10"/>
      <c r="S429" s="10" t="str">
        <f t="shared" si="212"/>
        <v/>
      </c>
      <c r="T429" s="10" t="str">
        <f t="shared" si="213"/>
        <v/>
      </c>
      <c r="U429" s="10" t="str">
        <f t="shared" si="214"/>
        <v/>
      </c>
      <c r="V429" s="10" t="str">
        <f t="shared" si="215"/>
        <v/>
      </c>
      <c r="W429" s="10" t="str">
        <f t="shared" si="216"/>
        <v/>
      </c>
      <c r="X429" s="10" t="str">
        <f t="shared" si="217"/>
        <v/>
      </c>
      <c r="Y429" s="10" t="str">
        <f t="shared" si="218"/>
        <v/>
      </c>
      <c r="Z429" s="10" t="str">
        <f t="shared" si="219"/>
        <v/>
      </c>
      <c r="AA429" s="10" t="str">
        <f t="shared" si="220"/>
        <v/>
      </c>
      <c r="AB429" s="10" t="str">
        <f t="shared" si="221"/>
        <v/>
      </c>
      <c r="AC429" s="10" t="str">
        <f t="shared" si="222"/>
        <v/>
      </c>
      <c r="AD429" s="10" t="str">
        <f t="shared" si="223"/>
        <v/>
      </c>
      <c r="AE429" s="10" t="str">
        <f t="shared" si="224"/>
        <v/>
      </c>
      <c r="AF429" s="10" t="str">
        <f t="shared" si="225"/>
        <v/>
      </c>
      <c r="AG429" s="10" t="str">
        <f t="shared" si="226"/>
        <v/>
      </c>
      <c r="AH429" s="10" t="str">
        <f t="shared" si="227"/>
        <v/>
      </c>
      <c r="AI429" s="10" t="str">
        <f>IF(OR(S429="",'4_BENCHMARK'!$C$4=""),"",ABS(S429-'4_BENCHMARK'!$C$4))</f>
        <v/>
      </c>
      <c r="AJ429" s="10" t="str">
        <f>IF(OR(T429="",'4_BENCHMARK'!$C$5=""),"",ABS(T429-'4_BENCHMARK'!$C$5))</f>
        <v/>
      </c>
      <c r="AK429" s="10" t="str">
        <f>IF(OR(U429="",'4_BENCHMARK'!$C$6=""),"",ABS(U429-'4_BENCHMARK'!$C$6))</f>
        <v/>
      </c>
      <c r="AL429" s="10" t="str">
        <f>IF(OR(V429="",'4_BENCHMARK'!$C$7=""),"",ABS(V429-'4_BENCHMARK'!$C$7))</f>
        <v/>
      </c>
      <c r="AM429" s="10" t="str">
        <f>IF(OR(W429="",'4_BENCHMARK'!$C$8=""),"",ABS(W429-'4_BENCHMARK'!$C$8))</f>
        <v/>
      </c>
      <c r="AN429" s="10" t="str">
        <f>IF(OR(X429="",'4_BENCHMARK'!$C$9=""),"",ABS(X429-'4_BENCHMARK'!$C$9))</f>
        <v/>
      </c>
      <c r="AO429" s="10" t="str">
        <f>IF(OR(Y429="",'4_BENCHMARK'!$C$10=""),"",ABS(Y429-'4_BENCHMARK'!$C$10))</f>
        <v/>
      </c>
      <c r="AP429" s="10" t="str">
        <f>IF(OR(Z429="",'4_BENCHMARK'!$C$11=""),"",ABS(Z429-'4_BENCHMARK'!$C$11))</f>
        <v/>
      </c>
      <c r="AQ429" s="13" t="str">
        <f t="shared" si="228"/>
        <v/>
      </c>
      <c r="AR429" s="10"/>
      <c r="AS429" s="36"/>
      <c r="AT429" s="13" t="str">
        <f t="shared" si="229"/>
        <v/>
      </c>
      <c r="AU429" s="1" t="str">
        <f t="shared" ref="AU429:BB429" si="296">IF(AND($I403="yes",$C403&lt;=1949,K429&lt;&gt;""),K429,"")</f>
        <v/>
      </c>
      <c r="AV429" s="1" t="str">
        <f t="shared" si="296"/>
        <v/>
      </c>
      <c r="AW429" s="1" t="str">
        <f t="shared" si="296"/>
        <v/>
      </c>
      <c r="AX429" s="1" t="str">
        <f t="shared" si="296"/>
        <v/>
      </c>
      <c r="AY429" s="1" t="str">
        <f t="shared" si="296"/>
        <v/>
      </c>
      <c r="AZ429" s="1" t="str">
        <f t="shared" si="296"/>
        <v/>
      </c>
      <c r="BA429" s="1" t="str">
        <f t="shared" si="296"/>
        <v/>
      </c>
      <c r="BB429" s="1" t="str">
        <f t="shared" si="296"/>
        <v/>
      </c>
      <c r="BC429" s="1" t="str">
        <f t="shared" ref="BC429:BJ429" si="297">IF(AND($I403="yes",$C403&gt;=2000,K429&lt;&gt;""),K429,"")</f>
        <v/>
      </c>
      <c r="BD429" s="1" t="str">
        <f t="shared" si="297"/>
        <v/>
      </c>
      <c r="BE429" s="1" t="str">
        <f t="shared" si="297"/>
        <v/>
      </c>
      <c r="BF429" s="1" t="str">
        <f t="shared" si="297"/>
        <v/>
      </c>
      <c r="BG429" s="1" t="str">
        <f t="shared" si="297"/>
        <v/>
      </c>
      <c r="BH429" s="1" t="str">
        <f t="shared" si="297"/>
        <v/>
      </c>
      <c r="BI429" s="1" t="str">
        <f t="shared" si="297"/>
        <v/>
      </c>
      <c r="BJ429" s="1" t="str">
        <f t="shared" si="297"/>
        <v/>
      </c>
    </row>
    <row r="430" ht="14.25" customHeight="1" spans="1:62">
      <c r="A430" s="10"/>
      <c r="B430" s="36"/>
      <c r="C430" s="10"/>
      <c r="D430" s="10" t="str">
        <f t="shared" si="287"/>
        <v/>
      </c>
      <c r="E430" s="36"/>
      <c r="F430" s="35"/>
      <c r="G430" s="36"/>
      <c r="H430" s="10"/>
      <c r="I430" s="10"/>
      <c r="J430" s="10"/>
      <c r="K430" s="10"/>
      <c r="L430" s="10"/>
      <c r="M430" s="10"/>
      <c r="N430" s="10"/>
      <c r="O430" s="10"/>
      <c r="P430" s="10"/>
      <c r="Q430" s="10"/>
      <c r="R430" s="10"/>
      <c r="S430" s="10" t="str">
        <f t="shared" si="212"/>
        <v/>
      </c>
      <c r="T430" s="10" t="str">
        <f t="shared" si="213"/>
        <v/>
      </c>
      <c r="U430" s="10" t="str">
        <f t="shared" si="214"/>
        <v/>
      </c>
      <c r="V430" s="10" t="str">
        <f t="shared" si="215"/>
        <v/>
      </c>
      <c r="W430" s="10" t="str">
        <f t="shared" si="216"/>
        <v/>
      </c>
      <c r="X430" s="10" t="str">
        <f t="shared" si="217"/>
        <v/>
      </c>
      <c r="Y430" s="10" t="str">
        <f t="shared" si="218"/>
        <v/>
      </c>
      <c r="Z430" s="10" t="str">
        <f t="shared" si="219"/>
        <v/>
      </c>
      <c r="AA430" s="10" t="str">
        <f t="shared" si="220"/>
        <v/>
      </c>
      <c r="AB430" s="10" t="str">
        <f t="shared" si="221"/>
        <v/>
      </c>
      <c r="AC430" s="10" t="str">
        <f t="shared" si="222"/>
        <v/>
      </c>
      <c r="AD430" s="10" t="str">
        <f t="shared" si="223"/>
        <v/>
      </c>
      <c r="AE430" s="10" t="str">
        <f t="shared" si="224"/>
        <v/>
      </c>
      <c r="AF430" s="10" t="str">
        <f t="shared" si="225"/>
        <v/>
      </c>
      <c r="AG430" s="10" t="str">
        <f t="shared" si="226"/>
        <v/>
      </c>
      <c r="AH430" s="10" t="str">
        <f t="shared" si="227"/>
        <v/>
      </c>
      <c r="AI430" s="10" t="str">
        <f>IF(OR(S430="",'4_BENCHMARK'!$C$4=""),"",ABS(S430-'4_BENCHMARK'!$C$4))</f>
        <v/>
      </c>
      <c r="AJ430" s="10" t="str">
        <f>IF(OR(T430="",'4_BENCHMARK'!$C$5=""),"",ABS(T430-'4_BENCHMARK'!$C$5))</f>
        <v/>
      </c>
      <c r="AK430" s="10" t="str">
        <f>IF(OR(U430="",'4_BENCHMARK'!$C$6=""),"",ABS(U430-'4_BENCHMARK'!$C$6))</f>
        <v/>
      </c>
      <c r="AL430" s="10" t="str">
        <f>IF(OR(V430="",'4_BENCHMARK'!$C$7=""),"",ABS(V430-'4_BENCHMARK'!$C$7))</f>
        <v/>
      </c>
      <c r="AM430" s="10" t="str">
        <f>IF(OR(W430="",'4_BENCHMARK'!$C$8=""),"",ABS(W430-'4_BENCHMARK'!$C$8))</f>
        <v/>
      </c>
      <c r="AN430" s="10" t="str">
        <f>IF(OR(X430="",'4_BENCHMARK'!$C$9=""),"",ABS(X430-'4_BENCHMARK'!$C$9))</f>
        <v/>
      </c>
      <c r="AO430" s="10" t="str">
        <f>IF(OR(Y430="",'4_BENCHMARK'!$C$10=""),"",ABS(Y430-'4_BENCHMARK'!$C$10))</f>
        <v/>
      </c>
      <c r="AP430" s="10" t="str">
        <f>IF(OR(Z430="",'4_BENCHMARK'!$C$11=""),"",ABS(Z430-'4_BENCHMARK'!$C$11))</f>
        <v/>
      </c>
      <c r="AQ430" s="13" t="str">
        <f t="shared" si="228"/>
        <v/>
      </c>
      <c r="AR430" s="10"/>
      <c r="AS430" s="36"/>
      <c r="AT430" s="13" t="str">
        <f t="shared" si="229"/>
        <v/>
      </c>
      <c r="AU430" s="1" t="str">
        <f t="shared" ref="AU430:BB430" si="298">IF(AND($I403="yes",$C403&lt;=1949,K430&lt;&gt;""),K430,"")</f>
        <v/>
      </c>
      <c r="AV430" s="1" t="str">
        <f t="shared" si="298"/>
        <v/>
      </c>
      <c r="AW430" s="1" t="str">
        <f t="shared" si="298"/>
        <v/>
      </c>
      <c r="AX430" s="1" t="str">
        <f t="shared" si="298"/>
        <v/>
      </c>
      <c r="AY430" s="1" t="str">
        <f t="shared" si="298"/>
        <v/>
      </c>
      <c r="AZ430" s="1" t="str">
        <f t="shared" si="298"/>
        <v/>
      </c>
      <c r="BA430" s="1" t="str">
        <f t="shared" si="298"/>
        <v/>
      </c>
      <c r="BB430" s="1" t="str">
        <f t="shared" si="298"/>
        <v/>
      </c>
      <c r="BC430" s="1" t="str">
        <f t="shared" ref="BC430:BJ430" si="299">IF(AND($I403="yes",$C403&gt;=2000,K430&lt;&gt;""),K430,"")</f>
        <v/>
      </c>
      <c r="BD430" s="1" t="str">
        <f t="shared" si="299"/>
        <v/>
      </c>
      <c r="BE430" s="1" t="str">
        <f t="shared" si="299"/>
        <v/>
      </c>
      <c r="BF430" s="1" t="str">
        <f t="shared" si="299"/>
        <v/>
      </c>
      <c r="BG430" s="1" t="str">
        <f t="shared" si="299"/>
        <v/>
      </c>
      <c r="BH430" s="1" t="str">
        <f t="shared" si="299"/>
        <v/>
      </c>
      <c r="BI430" s="1" t="str">
        <f t="shared" si="299"/>
        <v/>
      </c>
      <c r="BJ430" s="1" t="str">
        <f t="shared" si="299"/>
        <v/>
      </c>
    </row>
    <row r="431" ht="14.25" customHeight="1" spans="1:62">
      <c r="A431" s="10"/>
      <c r="B431" s="36"/>
      <c r="C431" s="10"/>
      <c r="D431" s="10" t="str">
        <f t="shared" si="287"/>
        <v/>
      </c>
      <c r="E431" s="36"/>
      <c r="F431" s="35"/>
      <c r="G431" s="36"/>
      <c r="H431" s="10"/>
      <c r="I431" s="10"/>
      <c r="J431" s="10"/>
      <c r="K431" s="10"/>
      <c r="L431" s="10"/>
      <c r="M431" s="10"/>
      <c r="N431" s="10"/>
      <c r="O431" s="10"/>
      <c r="P431" s="10"/>
      <c r="Q431" s="10"/>
      <c r="R431" s="10"/>
      <c r="S431" s="10" t="str">
        <f t="shared" si="212"/>
        <v/>
      </c>
      <c r="T431" s="10" t="str">
        <f t="shared" si="213"/>
        <v/>
      </c>
      <c r="U431" s="10" t="str">
        <f t="shared" si="214"/>
        <v/>
      </c>
      <c r="V431" s="10" t="str">
        <f t="shared" si="215"/>
        <v/>
      </c>
      <c r="W431" s="10" t="str">
        <f t="shared" si="216"/>
        <v/>
      </c>
      <c r="X431" s="10" t="str">
        <f t="shared" si="217"/>
        <v/>
      </c>
      <c r="Y431" s="10" t="str">
        <f t="shared" si="218"/>
        <v/>
      </c>
      <c r="Z431" s="10" t="str">
        <f t="shared" si="219"/>
        <v/>
      </c>
      <c r="AA431" s="10" t="str">
        <f t="shared" si="220"/>
        <v/>
      </c>
      <c r="AB431" s="10" t="str">
        <f t="shared" si="221"/>
        <v/>
      </c>
      <c r="AC431" s="10" t="str">
        <f t="shared" si="222"/>
        <v/>
      </c>
      <c r="AD431" s="10" t="str">
        <f t="shared" si="223"/>
        <v/>
      </c>
      <c r="AE431" s="10" t="str">
        <f t="shared" si="224"/>
        <v/>
      </c>
      <c r="AF431" s="10" t="str">
        <f t="shared" si="225"/>
        <v/>
      </c>
      <c r="AG431" s="10" t="str">
        <f t="shared" si="226"/>
        <v/>
      </c>
      <c r="AH431" s="10" t="str">
        <f t="shared" si="227"/>
        <v/>
      </c>
      <c r="AI431" s="10" t="str">
        <f>IF(OR(S431="",'4_BENCHMARK'!$C$4=""),"",ABS(S431-'4_BENCHMARK'!$C$4))</f>
        <v/>
      </c>
      <c r="AJ431" s="10" t="str">
        <f>IF(OR(T431="",'4_BENCHMARK'!$C$5=""),"",ABS(T431-'4_BENCHMARK'!$C$5))</f>
        <v/>
      </c>
      <c r="AK431" s="10" t="str">
        <f>IF(OR(U431="",'4_BENCHMARK'!$C$6=""),"",ABS(U431-'4_BENCHMARK'!$C$6))</f>
        <v/>
      </c>
      <c r="AL431" s="10" t="str">
        <f>IF(OR(V431="",'4_BENCHMARK'!$C$7=""),"",ABS(V431-'4_BENCHMARK'!$C$7))</f>
        <v/>
      </c>
      <c r="AM431" s="10" t="str">
        <f>IF(OR(W431="",'4_BENCHMARK'!$C$8=""),"",ABS(W431-'4_BENCHMARK'!$C$8))</f>
        <v/>
      </c>
      <c r="AN431" s="10" t="str">
        <f>IF(OR(X431="",'4_BENCHMARK'!$C$9=""),"",ABS(X431-'4_BENCHMARK'!$C$9))</f>
        <v/>
      </c>
      <c r="AO431" s="10" t="str">
        <f>IF(OR(Y431="",'4_BENCHMARK'!$C$10=""),"",ABS(Y431-'4_BENCHMARK'!$C$10))</f>
        <v/>
      </c>
      <c r="AP431" s="10" t="str">
        <f>IF(OR(Z431="",'4_BENCHMARK'!$C$11=""),"",ABS(Z431-'4_BENCHMARK'!$C$11))</f>
        <v/>
      </c>
      <c r="AQ431" s="13" t="str">
        <f t="shared" si="228"/>
        <v/>
      </c>
      <c r="AR431" s="10"/>
      <c r="AS431" s="36"/>
      <c r="AT431" s="13" t="str">
        <f t="shared" si="229"/>
        <v/>
      </c>
      <c r="AU431" s="1" t="str">
        <f t="shared" ref="AU431:BB431" si="300">IF(AND($I403="yes",$C403&lt;=1949,K431&lt;&gt;""),K431,"")</f>
        <v/>
      </c>
      <c r="AV431" s="1" t="str">
        <f t="shared" si="300"/>
        <v/>
      </c>
      <c r="AW431" s="1" t="str">
        <f t="shared" si="300"/>
        <v/>
      </c>
      <c r="AX431" s="1" t="str">
        <f t="shared" si="300"/>
        <v/>
      </c>
      <c r="AY431" s="1" t="str">
        <f t="shared" si="300"/>
        <v/>
      </c>
      <c r="AZ431" s="1" t="str">
        <f t="shared" si="300"/>
        <v/>
      </c>
      <c r="BA431" s="1" t="str">
        <f t="shared" si="300"/>
        <v/>
      </c>
      <c r="BB431" s="1" t="str">
        <f t="shared" si="300"/>
        <v/>
      </c>
      <c r="BC431" s="1" t="str">
        <f t="shared" ref="BC431:BJ431" si="301">IF(AND($I403="yes",$C403&gt;=2000,K431&lt;&gt;""),K431,"")</f>
        <v/>
      </c>
      <c r="BD431" s="1" t="str">
        <f t="shared" si="301"/>
        <v/>
      </c>
      <c r="BE431" s="1" t="str">
        <f t="shared" si="301"/>
        <v/>
      </c>
      <c r="BF431" s="1" t="str">
        <f t="shared" si="301"/>
        <v/>
      </c>
      <c r="BG431" s="1" t="str">
        <f t="shared" si="301"/>
        <v/>
      </c>
      <c r="BH431" s="1" t="str">
        <f t="shared" si="301"/>
        <v/>
      </c>
      <c r="BI431" s="1" t="str">
        <f t="shared" si="301"/>
        <v/>
      </c>
      <c r="BJ431" s="1" t="str">
        <f t="shared" si="301"/>
        <v/>
      </c>
    </row>
    <row r="432" ht="14.25" customHeight="1" spans="1:62">
      <c r="A432" s="10"/>
      <c r="B432" s="36"/>
      <c r="C432" s="10"/>
      <c r="D432" s="10" t="str">
        <f t="shared" si="287"/>
        <v/>
      </c>
      <c r="E432" s="36"/>
      <c r="F432" s="35"/>
      <c r="G432" s="36"/>
      <c r="H432" s="10"/>
      <c r="I432" s="10"/>
      <c r="J432" s="10"/>
      <c r="K432" s="10"/>
      <c r="L432" s="10"/>
      <c r="M432" s="10"/>
      <c r="N432" s="10"/>
      <c r="O432" s="10"/>
      <c r="P432" s="10"/>
      <c r="Q432" s="10"/>
      <c r="R432" s="10"/>
      <c r="S432" s="10" t="str">
        <f t="shared" si="212"/>
        <v/>
      </c>
      <c r="T432" s="10" t="str">
        <f t="shared" si="213"/>
        <v/>
      </c>
      <c r="U432" s="10" t="str">
        <f t="shared" si="214"/>
        <v/>
      </c>
      <c r="V432" s="10" t="str">
        <f t="shared" si="215"/>
        <v/>
      </c>
      <c r="W432" s="10" t="str">
        <f t="shared" si="216"/>
        <v/>
      </c>
      <c r="X432" s="10" t="str">
        <f t="shared" si="217"/>
        <v/>
      </c>
      <c r="Y432" s="10" t="str">
        <f t="shared" si="218"/>
        <v/>
      </c>
      <c r="Z432" s="10" t="str">
        <f t="shared" si="219"/>
        <v/>
      </c>
      <c r="AA432" s="10" t="str">
        <f t="shared" si="220"/>
        <v/>
      </c>
      <c r="AB432" s="10" t="str">
        <f t="shared" si="221"/>
        <v/>
      </c>
      <c r="AC432" s="10" t="str">
        <f t="shared" si="222"/>
        <v/>
      </c>
      <c r="AD432" s="10" t="str">
        <f t="shared" si="223"/>
        <v/>
      </c>
      <c r="AE432" s="10" t="str">
        <f t="shared" si="224"/>
        <v/>
      </c>
      <c r="AF432" s="10" t="str">
        <f t="shared" si="225"/>
        <v/>
      </c>
      <c r="AG432" s="10" t="str">
        <f t="shared" si="226"/>
        <v/>
      </c>
      <c r="AH432" s="10" t="str">
        <f t="shared" si="227"/>
        <v/>
      </c>
      <c r="AI432" s="10" t="str">
        <f>IF(OR(S432="",'4_BENCHMARK'!$C$4=""),"",ABS(S432-'4_BENCHMARK'!$C$4))</f>
        <v/>
      </c>
      <c r="AJ432" s="10" t="str">
        <f>IF(OR(T432="",'4_BENCHMARK'!$C$5=""),"",ABS(T432-'4_BENCHMARK'!$C$5))</f>
        <v/>
      </c>
      <c r="AK432" s="10" t="str">
        <f>IF(OR(U432="",'4_BENCHMARK'!$C$6=""),"",ABS(U432-'4_BENCHMARK'!$C$6))</f>
        <v/>
      </c>
      <c r="AL432" s="10" t="str">
        <f>IF(OR(V432="",'4_BENCHMARK'!$C$7=""),"",ABS(V432-'4_BENCHMARK'!$C$7))</f>
        <v/>
      </c>
      <c r="AM432" s="10" t="str">
        <f>IF(OR(W432="",'4_BENCHMARK'!$C$8=""),"",ABS(W432-'4_BENCHMARK'!$C$8))</f>
        <v/>
      </c>
      <c r="AN432" s="10" t="str">
        <f>IF(OR(X432="",'4_BENCHMARK'!$C$9=""),"",ABS(X432-'4_BENCHMARK'!$C$9))</f>
        <v/>
      </c>
      <c r="AO432" s="10" t="str">
        <f>IF(OR(Y432="",'4_BENCHMARK'!$C$10=""),"",ABS(Y432-'4_BENCHMARK'!$C$10))</f>
        <v/>
      </c>
      <c r="AP432" s="10" t="str">
        <f>IF(OR(Z432="",'4_BENCHMARK'!$C$11=""),"",ABS(Z432-'4_BENCHMARK'!$C$11))</f>
        <v/>
      </c>
      <c r="AQ432" s="13" t="str">
        <f t="shared" si="228"/>
        <v/>
      </c>
      <c r="AR432" s="10"/>
      <c r="AS432" s="36"/>
      <c r="AT432" s="13" t="str">
        <f t="shared" si="229"/>
        <v/>
      </c>
      <c r="AU432" s="1" t="str">
        <f t="shared" ref="AU432:BB432" si="302">IF(AND($I403="yes",$C403&lt;=1949,K432&lt;&gt;""),K432,"")</f>
        <v/>
      </c>
      <c r="AV432" s="1" t="str">
        <f t="shared" si="302"/>
        <v/>
      </c>
      <c r="AW432" s="1" t="str">
        <f t="shared" si="302"/>
        <v/>
      </c>
      <c r="AX432" s="1" t="str">
        <f t="shared" si="302"/>
        <v/>
      </c>
      <c r="AY432" s="1" t="str">
        <f t="shared" si="302"/>
        <v/>
      </c>
      <c r="AZ432" s="1" t="str">
        <f t="shared" si="302"/>
        <v/>
      </c>
      <c r="BA432" s="1" t="str">
        <f t="shared" si="302"/>
        <v/>
      </c>
      <c r="BB432" s="1" t="str">
        <f t="shared" si="302"/>
        <v/>
      </c>
      <c r="BC432" s="1" t="str">
        <f t="shared" ref="BC432:BJ432" si="303">IF(AND($I403="yes",$C403&gt;=2000,K432&lt;&gt;""),K432,"")</f>
        <v/>
      </c>
      <c r="BD432" s="1" t="str">
        <f t="shared" si="303"/>
        <v/>
      </c>
      <c r="BE432" s="1" t="str">
        <f t="shared" si="303"/>
        <v/>
      </c>
      <c r="BF432" s="1" t="str">
        <f t="shared" si="303"/>
        <v/>
      </c>
      <c r="BG432" s="1" t="str">
        <f t="shared" si="303"/>
        <v/>
      </c>
      <c r="BH432" s="1" t="str">
        <f t="shared" si="303"/>
        <v/>
      </c>
      <c r="BI432" s="1" t="str">
        <f t="shared" si="303"/>
        <v/>
      </c>
      <c r="BJ432" s="1" t="str">
        <f t="shared" si="303"/>
        <v/>
      </c>
    </row>
    <row r="433" ht="14.25" customHeight="1" spans="1:62">
      <c r="A433" s="10"/>
      <c r="B433" s="36"/>
      <c r="C433" s="10"/>
      <c r="D433" s="10" t="str">
        <f t="shared" si="287"/>
        <v/>
      </c>
      <c r="E433" s="36"/>
      <c r="F433" s="35"/>
      <c r="G433" s="36"/>
      <c r="H433" s="10"/>
      <c r="I433" s="10"/>
      <c r="J433" s="10"/>
      <c r="K433" s="10"/>
      <c r="L433" s="10"/>
      <c r="M433" s="10"/>
      <c r="N433" s="10"/>
      <c r="O433" s="10"/>
      <c r="P433" s="10"/>
      <c r="Q433" s="10"/>
      <c r="R433" s="10"/>
      <c r="S433" s="10" t="str">
        <f t="shared" si="212"/>
        <v/>
      </c>
      <c r="T433" s="10" t="str">
        <f t="shared" si="213"/>
        <v/>
      </c>
      <c r="U433" s="10" t="str">
        <f t="shared" si="214"/>
        <v/>
      </c>
      <c r="V433" s="10" t="str">
        <f t="shared" si="215"/>
        <v/>
      </c>
      <c r="W433" s="10" t="str">
        <f t="shared" si="216"/>
        <v/>
      </c>
      <c r="X433" s="10" t="str">
        <f t="shared" si="217"/>
        <v/>
      </c>
      <c r="Y433" s="10" t="str">
        <f t="shared" si="218"/>
        <v/>
      </c>
      <c r="Z433" s="10" t="str">
        <f t="shared" si="219"/>
        <v/>
      </c>
      <c r="AA433" s="10" t="str">
        <f t="shared" si="220"/>
        <v/>
      </c>
      <c r="AB433" s="10" t="str">
        <f t="shared" si="221"/>
        <v/>
      </c>
      <c r="AC433" s="10" t="str">
        <f t="shared" si="222"/>
        <v/>
      </c>
      <c r="AD433" s="10" t="str">
        <f t="shared" si="223"/>
        <v/>
      </c>
      <c r="AE433" s="10" t="str">
        <f t="shared" si="224"/>
        <v/>
      </c>
      <c r="AF433" s="10" t="str">
        <f t="shared" si="225"/>
        <v/>
      </c>
      <c r="AG433" s="10" t="str">
        <f t="shared" si="226"/>
        <v/>
      </c>
      <c r="AH433" s="10" t="str">
        <f t="shared" si="227"/>
        <v/>
      </c>
      <c r="AI433" s="10" t="str">
        <f>IF(OR(S433="",'4_BENCHMARK'!$C$4=""),"",ABS(S433-'4_BENCHMARK'!$C$4))</f>
        <v/>
      </c>
      <c r="AJ433" s="10" t="str">
        <f>IF(OR(T433="",'4_BENCHMARK'!$C$5=""),"",ABS(T433-'4_BENCHMARK'!$C$5))</f>
        <v/>
      </c>
      <c r="AK433" s="10" t="str">
        <f>IF(OR(U433="",'4_BENCHMARK'!$C$6=""),"",ABS(U433-'4_BENCHMARK'!$C$6))</f>
        <v/>
      </c>
      <c r="AL433" s="10" t="str">
        <f>IF(OR(V433="",'4_BENCHMARK'!$C$7=""),"",ABS(V433-'4_BENCHMARK'!$C$7))</f>
        <v/>
      </c>
      <c r="AM433" s="10" t="str">
        <f>IF(OR(W433="",'4_BENCHMARK'!$C$8=""),"",ABS(W433-'4_BENCHMARK'!$C$8))</f>
        <v/>
      </c>
      <c r="AN433" s="10" t="str">
        <f>IF(OR(X433="",'4_BENCHMARK'!$C$9=""),"",ABS(X433-'4_BENCHMARK'!$C$9))</f>
        <v/>
      </c>
      <c r="AO433" s="10" t="str">
        <f>IF(OR(Y433="",'4_BENCHMARK'!$C$10=""),"",ABS(Y433-'4_BENCHMARK'!$C$10))</f>
        <v/>
      </c>
      <c r="AP433" s="10" t="str">
        <f>IF(OR(Z433="",'4_BENCHMARK'!$C$11=""),"",ABS(Z433-'4_BENCHMARK'!$C$11))</f>
        <v/>
      </c>
      <c r="AQ433" s="13" t="str">
        <f t="shared" si="228"/>
        <v/>
      </c>
      <c r="AR433" s="10"/>
      <c r="AS433" s="36"/>
      <c r="AT433" s="13" t="str">
        <f t="shared" si="229"/>
        <v/>
      </c>
      <c r="AU433" s="1" t="str">
        <f t="shared" ref="AU433:BB433" si="304">IF(AND($I403="yes",$C403&lt;=1949,K433&lt;&gt;""),K433,"")</f>
        <v/>
      </c>
      <c r="AV433" s="1" t="str">
        <f t="shared" si="304"/>
        <v/>
      </c>
      <c r="AW433" s="1" t="str">
        <f t="shared" si="304"/>
        <v/>
      </c>
      <c r="AX433" s="1" t="str">
        <f t="shared" si="304"/>
        <v/>
      </c>
      <c r="AY433" s="1" t="str">
        <f t="shared" si="304"/>
        <v/>
      </c>
      <c r="AZ433" s="1" t="str">
        <f t="shared" si="304"/>
        <v/>
      </c>
      <c r="BA433" s="1" t="str">
        <f t="shared" si="304"/>
        <v/>
      </c>
      <c r="BB433" s="1" t="str">
        <f t="shared" si="304"/>
        <v/>
      </c>
      <c r="BC433" s="1" t="str">
        <f t="shared" ref="BC433:BJ433" si="305">IF(AND($I403="yes",$C403&gt;=2000,K433&lt;&gt;""),K433,"")</f>
        <v/>
      </c>
      <c r="BD433" s="1" t="str">
        <f t="shared" si="305"/>
        <v/>
      </c>
      <c r="BE433" s="1" t="str">
        <f t="shared" si="305"/>
        <v/>
      </c>
      <c r="BF433" s="1" t="str">
        <f t="shared" si="305"/>
        <v/>
      </c>
      <c r="BG433" s="1" t="str">
        <f t="shared" si="305"/>
        <v/>
      </c>
      <c r="BH433" s="1" t="str">
        <f t="shared" si="305"/>
        <v/>
      </c>
      <c r="BI433" s="1" t="str">
        <f t="shared" si="305"/>
        <v/>
      </c>
      <c r="BJ433" s="1" t="str">
        <f t="shared" si="305"/>
        <v/>
      </c>
    </row>
    <row r="434" ht="14.25" customHeight="1" spans="1:62">
      <c r="A434" s="10"/>
      <c r="B434" s="36"/>
      <c r="C434" s="10"/>
      <c r="D434" s="10" t="str">
        <f t="shared" si="287"/>
        <v/>
      </c>
      <c r="E434" s="36"/>
      <c r="F434" s="35"/>
      <c r="G434" s="36"/>
      <c r="H434" s="10"/>
      <c r="I434" s="10"/>
      <c r="J434" s="10"/>
      <c r="K434" s="10"/>
      <c r="L434" s="10"/>
      <c r="M434" s="10"/>
      <c r="N434" s="10"/>
      <c r="O434" s="10"/>
      <c r="P434" s="10"/>
      <c r="Q434" s="10"/>
      <c r="R434" s="10"/>
      <c r="S434" s="10" t="str">
        <f t="shared" si="212"/>
        <v/>
      </c>
      <c r="T434" s="10" t="str">
        <f t="shared" si="213"/>
        <v/>
      </c>
      <c r="U434" s="10" t="str">
        <f t="shared" si="214"/>
        <v/>
      </c>
      <c r="V434" s="10" t="str">
        <f t="shared" si="215"/>
        <v/>
      </c>
      <c r="W434" s="10" t="str">
        <f t="shared" si="216"/>
        <v/>
      </c>
      <c r="X434" s="10" t="str">
        <f t="shared" si="217"/>
        <v/>
      </c>
      <c r="Y434" s="10" t="str">
        <f t="shared" si="218"/>
        <v/>
      </c>
      <c r="Z434" s="10" t="str">
        <f t="shared" si="219"/>
        <v/>
      </c>
      <c r="AA434" s="10" t="str">
        <f t="shared" si="220"/>
        <v/>
      </c>
      <c r="AB434" s="10" t="str">
        <f t="shared" si="221"/>
        <v/>
      </c>
      <c r="AC434" s="10" t="str">
        <f t="shared" si="222"/>
        <v/>
      </c>
      <c r="AD434" s="10" t="str">
        <f t="shared" si="223"/>
        <v/>
      </c>
      <c r="AE434" s="10" t="str">
        <f t="shared" si="224"/>
        <v/>
      </c>
      <c r="AF434" s="10" t="str">
        <f t="shared" si="225"/>
        <v/>
      </c>
      <c r="AG434" s="10" t="str">
        <f t="shared" si="226"/>
        <v/>
      </c>
      <c r="AH434" s="10" t="str">
        <f t="shared" si="227"/>
        <v/>
      </c>
      <c r="AI434" s="10" t="str">
        <f>IF(OR(S434="",'4_BENCHMARK'!$C$4=""),"",ABS(S434-'4_BENCHMARK'!$C$4))</f>
        <v/>
      </c>
      <c r="AJ434" s="10" t="str">
        <f>IF(OR(T434="",'4_BENCHMARK'!$C$5=""),"",ABS(T434-'4_BENCHMARK'!$C$5))</f>
        <v/>
      </c>
      <c r="AK434" s="10" t="str">
        <f>IF(OR(U434="",'4_BENCHMARK'!$C$6=""),"",ABS(U434-'4_BENCHMARK'!$C$6))</f>
        <v/>
      </c>
      <c r="AL434" s="10" t="str">
        <f>IF(OR(V434="",'4_BENCHMARK'!$C$7=""),"",ABS(V434-'4_BENCHMARK'!$C$7))</f>
        <v/>
      </c>
      <c r="AM434" s="10" t="str">
        <f>IF(OR(W434="",'4_BENCHMARK'!$C$8=""),"",ABS(W434-'4_BENCHMARK'!$C$8))</f>
        <v/>
      </c>
      <c r="AN434" s="10" t="str">
        <f>IF(OR(X434="",'4_BENCHMARK'!$C$9=""),"",ABS(X434-'4_BENCHMARK'!$C$9))</f>
        <v/>
      </c>
      <c r="AO434" s="10" t="str">
        <f>IF(OR(Y434="",'4_BENCHMARK'!$C$10=""),"",ABS(Y434-'4_BENCHMARK'!$C$10))</f>
        <v/>
      </c>
      <c r="AP434" s="10" t="str">
        <f>IF(OR(Z434="",'4_BENCHMARK'!$C$11=""),"",ABS(Z434-'4_BENCHMARK'!$C$11))</f>
        <v/>
      </c>
      <c r="AQ434" s="13" t="str">
        <f t="shared" si="228"/>
        <v/>
      </c>
      <c r="AR434" s="10"/>
      <c r="AS434" s="36"/>
      <c r="AT434" s="13" t="str">
        <f t="shared" si="229"/>
        <v/>
      </c>
      <c r="AU434" s="1" t="str">
        <f t="shared" ref="AU434:BB434" si="306">IF(AND($I403="yes",$C403&lt;=1949,K434&lt;&gt;""),K434,"")</f>
        <v/>
      </c>
      <c r="AV434" s="1" t="str">
        <f t="shared" si="306"/>
        <v/>
      </c>
      <c r="AW434" s="1" t="str">
        <f t="shared" si="306"/>
        <v/>
      </c>
      <c r="AX434" s="1" t="str">
        <f t="shared" si="306"/>
        <v/>
      </c>
      <c r="AY434" s="1" t="str">
        <f t="shared" si="306"/>
        <v/>
      </c>
      <c r="AZ434" s="1" t="str">
        <f t="shared" si="306"/>
        <v/>
      </c>
      <c r="BA434" s="1" t="str">
        <f t="shared" si="306"/>
        <v/>
      </c>
      <c r="BB434" s="1" t="str">
        <f t="shared" si="306"/>
        <v/>
      </c>
      <c r="BC434" s="1" t="str">
        <f t="shared" ref="BC434:BJ434" si="307">IF(AND($I403="yes",$C403&gt;=2000,K434&lt;&gt;""),K434,"")</f>
        <v/>
      </c>
      <c r="BD434" s="1" t="str">
        <f t="shared" si="307"/>
        <v/>
      </c>
      <c r="BE434" s="1" t="str">
        <f t="shared" si="307"/>
        <v/>
      </c>
      <c r="BF434" s="1" t="str">
        <f t="shared" si="307"/>
        <v/>
      </c>
      <c r="BG434" s="1" t="str">
        <f t="shared" si="307"/>
        <v/>
      </c>
      <c r="BH434" s="1" t="str">
        <f t="shared" si="307"/>
        <v/>
      </c>
      <c r="BI434" s="1" t="str">
        <f t="shared" si="307"/>
        <v/>
      </c>
      <c r="BJ434" s="1" t="str">
        <f t="shared" si="307"/>
        <v/>
      </c>
    </row>
    <row r="435" ht="14.25" customHeight="1" spans="1:62">
      <c r="A435" s="10"/>
      <c r="B435" s="36"/>
      <c r="C435" s="10"/>
      <c r="D435" s="10" t="str">
        <f t="shared" si="287"/>
        <v/>
      </c>
      <c r="E435" s="36"/>
      <c r="F435" s="35"/>
      <c r="G435" s="36"/>
      <c r="H435" s="10"/>
      <c r="I435" s="10"/>
      <c r="J435" s="10"/>
      <c r="K435" s="10"/>
      <c r="L435" s="10"/>
      <c r="M435" s="10"/>
      <c r="N435" s="10"/>
      <c r="O435" s="10"/>
      <c r="P435" s="10"/>
      <c r="Q435" s="10"/>
      <c r="R435" s="10"/>
      <c r="S435" s="10" t="str">
        <f t="shared" si="212"/>
        <v/>
      </c>
      <c r="T435" s="10" t="str">
        <f t="shared" si="213"/>
        <v/>
      </c>
      <c r="U435" s="10" t="str">
        <f t="shared" si="214"/>
        <v/>
      </c>
      <c r="V435" s="10" t="str">
        <f t="shared" si="215"/>
        <v/>
      </c>
      <c r="W435" s="10" t="str">
        <f t="shared" si="216"/>
        <v/>
      </c>
      <c r="X435" s="10" t="str">
        <f t="shared" si="217"/>
        <v/>
      </c>
      <c r="Y435" s="10" t="str">
        <f t="shared" si="218"/>
        <v/>
      </c>
      <c r="Z435" s="10" t="str">
        <f t="shared" si="219"/>
        <v/>
      </c>
      <c r="AA435" s="10" t="str">
        <f t="shared" si="220"/>
        <v/>
      </c>
      <c r="AB435" s="10" t="str">
        <f t="shared" si="221"/>
        <v/>
      </c>
      <c r="AC435" s="10" t="str">
        <f t="shared" si="222"/>
        <v/>
      </c>
      <c r="AD435" s="10" t="str">
        <f t="shared" si="223"/>
        <v/>
      </c>
      <c r="AE435" s="10" t="str">
        <f t="shared" si="224"/>
        <v/>
      </c>
      <c r="AF435" s="10" t="str">
        <f t="shared" si="225"/>
        <v/>
      </c>
      <c r="AG435" s="10" t="str">
        <f t="shared" si="226"/>
        <v/>
      </c>
      <c r="AH435" s="10" t="str">
        <f t="shared" si="227"/>
        <v/>
      </c>
      <c r="AI435" s="10" t="str">
        <f>IF(OR(S435="",'4_BENCHMARK'!$C$4=""),"",ABS(S435-'4_BENCHMARK'!$C$4))</f>
        <v/>
      </c>
      <c r="AJ435" s="10" t="str">
        <f>IF(OR(T435="",'4_BENCHMARK'!$C$5=""),"",ABS(T435-'4_BENCHMARK'!$C$5))</f>
        <v/>
      </c>
      <c r="AK435" s="10" t="str">
        <f>IF(OR(U435="",'4_BENCHMARK'!$C$6=""),"",ABS(U435-'4_BENCHMARK'!$C$6))</f>
        <v/>
      </c>
      <c r="AL435" s="10" t="str">
        <f>IF(OR(V435="",'4_BENCHMARK'!$C$7=""),"",ABS(V435-'4_BENCHMARK'!$C$7))</f>
        <v/>
      </c>
      <c r="AM435" s="10" t="str">
        <f>IF(OR(W435="",'4_BENCHMARK'!$C$8=""),"",ABS(W435-'4_BENCHMARK'!$C$8))</f>
        <v/>
      </c>
      <c r="AN435" s="10" t="str">
        <f>IF(OR(X435="",'4_BENCHMARK'!$C$9=""),"",ABS(X435-'4_BENCHMARK'!$C$9))</f>
        <v/>
      </c>
      <c r="AO435" s="10" t="str">
        <f>IF(OR(Y435="",'4_BENCHMARK'!$C$10=""),"",ABS(Y435-'4_BENCHMARK'!$C$10))</f>
        <v/>
      </c>
      <c r="AP435" s="10" t="str">
        <f>IF(OR(Z435="",'4_BENCHMARK'!$C$11=""),"",ABS(Z435-'4_BENCHMARK'!$C$11))</f>
        <v/>
      </c>
      <c r="AQ435" s="13" t="str">
        <f t="shared" si="228"/>
        <v/>
      </c>
      <c r="AR435" s="10"/>
      <c r="AS435" s="36"/>
      <c r="AT435" s="13" t="str">
        <f t="shared" si="229"/>
        <v/>
      </c>
      <c r="AU435" s="1" t="str">
        <f t="shared" ref="AU435:BB435" si="308">IF(AND($I403="yes",$C403&lt;=1949,K435&lt;&gt;""),K435,"")</f>
        <v/>
      </c>
      <c r="AV435" s="1" t="str">
        <f t="shared" si="308"/>
        <v/>
      </c>
      <c r="AW435" s="1" t="str">
        <f t="shared" si="308"/>
        <v/>
      </c>
      <c r="AX435" s="1" t="str">
        <f t="shared" si="308"/>
        <v/>
      </c>
      <c r="AY435" s="1" t="str">
        <f t="shared" si="308"/>
        <v/>
      </c>
      <c r="AZ435" s="1" t="str">
        <f t="shared" si="308"/>
        <v/>
      </c>
      <c r="BA435" s="1" t="str">
        <f t="shared" si="308"/>
        <v/>
      </c>
      <c r="BB435" s="1" t="str">
        <f t="shared" si="308"/>
        <v/>
      </c>
      <c r="BC435" s="1" t="str">
        <f t="shared" ref="BC435:BJ435" si="309">IF(AND($I403="yes",$C403&gt;=2000,K435&lt;&gt;""),K435,"")</f>
        <v/>
      </c>
      <c r="BD435" s="1" t="str">
        <f t="shared" si="309"/>
        <v/>
      </c>
      <c r="BE435" s="1" t="str">
        <f t="shared" si="309"/>
        <v/>
      </c>
      <c r="BF435" s="1" t="str">
        <f t="shared" si="309"/>
        <v/>
      </c>
      <c r="BG435" s="1" t="str">
        <f t="shared" si="309"/>
        <v/>
      </c>
      <c r="BH435" s="1" t="str">
        <f t="shared" si="309"/>
        <v/>
      </c>
      <c r="BI435" s="1" t="str">
        <f t="shared" si="309"/>
        <v/>
      </c>
      <c r="BJ435" s="1" t="str">
        <f t="shared" si="309"/>
        <v/>
      </c>
    </row>
    <row r="436" ht="14.25" customHeight="1" spans="1:62">
      <c r="A436" s="10"/>
      <c r="B436" s="36"/>
      <c r="C436" s="10"/>
      <c r="D436" s="10" t="str">
        <f t="shared" si="287"/>
        <v/>
      </c>
      <c r="E436" s="36"/>
      <c r="F436" s="35"/>
      <c r="G436" s="36"/>
      <c r="H436" s="10"/>
      <c r="I436" s="10"/>
      <c r="J436" s="10"/>
      <c r="K436" s="10"/>
      <c r="L436" s="10"/>
      <c r="M436" s="10"/>
      <c r="N436" s="10"/>
      <c r="O436" s="10"/>
      <c r="P436" s="10"/>
      <c r="Q436" s="10"/>
      <c r="R436" s="10"/>
      <c r="S436" s="10" t="str">
        <f t="shared" si="212"/>
        <v/>
      </c>
      <c r="T436" s="10" t="str">
        <f t="shared" si="213"/>
        <v/>
      </c>
      <c r="U436" s="10" t="str">
        <f t="shared" si="214"/>
        <v/>
      </c>
      <c r="V436" s="10" t="str">
        <f t="shared" si="215"/>
        <v/>
      </c>
      <c r="W436" s="10" t="str">
        <f t="shared" si="216"/>
        <v/>
      </c>
      <c r="X436" s="10" t="str">
        <f t="shared" si="217"/>
        <v/>
      </c>
      <c r="Y436" s="10" t="str">
        <f t="shared" si="218"/>
        <v/>
      </c>
      <c r="Z436" s="10" t="str">
        <f t="shared" si="219"/>
        <v/>
      </c>
      <c r="AA436" s="10" t="str">
        <f t="shared" si="220"/>
        <v/>
      </c>
      <c r="AB436" s="10" t="str">
        <f t="shared" si="221"/>
        <v/>
      </c>
      <c r="AC436" s="10" t="str">
        <f t="shared" si="222"/>
        <v/>
      </c>
      <c r="AD436" s="10" t="str">
        <f t="shared" si="223"/>
        <v/>
      </c>
      <c r="AE436" s="10" t="str">
        <f t="shared" si="224"/>
        <v/>
      </c>
      <c r="AF436" s="10" t="str">
        <f t="shared" si="225"/>
        <v/>
      </c>
      <c r="AG436" s="10" t="str">
        <f t="shared" si="226"/>
        <v/>
      </c>
      <c r="AH436" s="10" t="str">
        <f t="shared" si="227"/>
        <v/>
      </c>
      <c r="AI436" s="10" t="str">
        <f>IF(OR(S436="",'4_BENCHMARK'!$C$4=""),"",ABS(S436-'4_BENCHMARK'!$C$4))</f>
        <v/>
      </c>
      <c r="AJ436" s="10" t="str">
        <f>IF(OR(T436="",'4_BENCHMARK'!$C$5=""),"",ABS(T436-'4_BENCHMARK'!$C$5))</f>
        <v/>
      </c>
      <c r="AK436" s="10" t="str">
        <f>IF(OR(U436="",'4_BENCHMARK'!$C$6=""),"",ABS(U436-'4_BENCHMARK'!$C$6))</f>
        <v/>
      </c>
      <c r="AL436" s="10" t="str">
        <f>IF(OR(V436="",'4_BENCHMARK'!$C$7=""),"",ABS(V436-'4_BENCHMARK'!$C$7))</f>
        <v/>
      </c>
      <c r="AM436" s="10" t="str">
        <f>IF(OR(W436="",'4_BENCHMARK'!$C$8=""),"",ABS(W436-'4_BENCHMARK'!$C$8))</f>
        <v/>
      </c>
      <c r="AN436" s="10" t="str">
        <f>IF(OR(X436="",'4_BENCHMARK'!$C$9=""),"",ABS(X436-'4_BENCHMARK'!$C$9))</f>
        <v/>
      </c>
      <c r="AO436" s="10" t="str">
        <f>IF(OR(Y436="",'4_BENCHMARK'!$C$10=""),"",ABS(Y436-'4_BENCHMARK'!$C$10))</f>
        <v/>
      </c>
      <c r="AP436" s="10" t="str">
        <f>IF(OR(Z436="",'4_BENCHMARK'!$C$11=""),"",ABS(Z436-'4_BENCHMARK'!$C$11))</f>
        <v/>
      </c>
      <c r="AQ436" s="13" t="str">
        <f t="shared" si="228"/>
        <v/>
      </c>
      <c r="AR436" s="10"/>
      <c r="AS436" s="36"/>
      <c r="AT436" s="13" t="str">
        <f t="shared" si="229"/>
        <v/>
      </c>
      <c r="AU436" s="1" t="str">
        <f t="shared" ref="AU436:BB436" si="310">IF(AND($I403="yes",$C403&lt;=1949,K436&lt;&gt;""),K436,"")</f>
        <v/>
      </c>
      <c r="AV436" s="1" t="str">
        <f t="shared" si="310"/>
        <v/>
      </c>
      <c r="AW436" s="1" t="str">
        <f t="shared" si="310"/>
        <v/>
      </c>
      <c r="AX436" s="1" t="str">
        <f t="shared" si="310"/>
        <v/>
      </c>
      <c r="AY436" s="1" t="str">
        <f t="shared" si="310"/>
        <v/>
      </c>
      <c r="AZ436" s="1" t="str">
        <f t="shared" si="310"/>
        <v/>
      </c>
      <c r="BA436" s="1" t="str">
        <f t="shared" si="310"/>
        <v/>
      </c>
      <c r="BB436" s="1" t="str">
        <f t="shared" si="310"/>
        <v/>
      </c>
      <c r="BC436" s="1" t="str">
        <f t="shared" ref="BC436:BJ436" si="311">IF(AND($I403="yes",$C403&gt;=2000,K436&lt;&gt;""),K436,"")</f>
        <v/>
      </c>
      <c r="BD436" s="1" t="str">
        <f t="shared" si="311"/>
        <v/>
      </c>
      <c r="BE436" s="1" t="str">
        <f t="shared" si="311"/>
        <v/>
      </c>
      <c r="BF436" s="1" t="str">
        <f t="shared" si="311"/>
        <v/>
      </c>
      <c r="BG436" s="1" t="str">
        <f t="shared" si="311"/>
        <v/>
      </c>
      <c r="BH436" s="1" t="str">
        <f t="shared" si="311"/>
        <v/>
      </c>
      <c r="BI436" s="1" t="str">
        <f t="shared" si="311"/>
        <v/>
      </c>
      <c r="BJ436" s="1" t="str">
        <f t="shared" si="311"/>
        <v/>
      </c>
    </row>
    <row r="437" ht="14.25" customHeight="1" spans="1:62">
      <c r="A437" s="10"/>
      <c r="B437" s="36"/>
      <c r="C437" s="10"/>
      <c r="D437" s="10" t="str">
        <f t="shared" si="287"/>
        <v/>
      </c>
      <c r="E437" s="36"/>
      <c r="F437" s="35"/>
      <c r="G437" s="36"/>
      <c r="H437" s="10"/>
      <c r="I437" s="10"/>
      <c r="J437" s="10"/>
      <c r="K437" s="10"/>
      <c r="L437" s="10"/>
      <c r="M437" s="10"/>
      <c r="N437" s="10"/>
      <c r="O437" s="10"/>
      <c r="P437" s="10"/>
      <c r="Q437" s="10"/>
      <c r="R437" s="10"/>
      <c r="S437" s="10" t="str">
        <f t="shared" si="212"/>
        <v/>
      </c>
      <c r="T437" s="10" t="str">
        <f t="shared" si="213"/>
        <v/>
      </c>
      <c r="U437" s="10" t="str">
        <f t="shared" si="214"/>
        <v/>
      </c>
      <c r="V437" s="10" t="str">
        <f t="shared" si="215"/>
        <v/>
      </c>
      <c r="W437" s="10" t="str">
        <f t="shared" si="216"/>
        <v/>
      </c>
      <c r="X437" s="10" t="str">
        <f t="shared" si="217"/>
        <v/>
      </c>
      <c r="Y437" s="10" t="str">
        <f t="shared" si="218"/>
        <v/>
      </c>
      <c r="Z437" s="10" t="str">
        <f t="shared" si="219"/>
        <v/>
      </c>
      <c r="AA437" s="10" t="str">
        <f t="shared" si="220"/>
        <v/>
      </c>
      <c r="AB437" s="10" t="str">
        <f t="shared" si="221"/>
        <v/>
      </c>
      <c r="AC437" s="10" t="str">
        <f t="shared" si="222"/>
        <v/>
      </c>
      <c r="AD437" s="10" t="str">
        <f t="shared" si="223"/>
        <v/>
      </c>
      <c r="AE437" s="10" t="str">
        <f t="shared" si="224"/>
        <v/>
      </c>
      <c r="AF437" s="10" t="str">
        <f t="shared" si="225"/>
        <v/>
      </c>
      <c r="AG437" s="10" t="str">
        <f t="shared" si="226"/>
        <v/>
      </c>
      <c r="AH437" s="10" t="str">
        <f t="shared" si="227"/>
        <v/>
      </c>
      <c r="AI437" s="10" t="str">
        <f>IF(OR(S437="",'4_BENCHMARK'!$C$4=""),"",ABS(S437-'4_BENCHMARK'!$C$4))</f>
        <v/>
      </c>
      <c r="AJ437" s="10" t="str">
        <f>IF(OR(T437="",'4_BENCHMARK'!$C$5=""),"",ABS(T437-'4_BENCHMARK'!$C$5))</f>
        <v/>
      </c>
      <c r="AK437" s="10" t="str">
        <f>IF(OR(U437="",'4_BENCHMARK'!$C$6=""),"",ABS(U437-'4_BENCHMARK'!$C$6))</f>
        <v/>
      </c>
      <c r="AL437" s="10" t="str">
        <f>IF(OR(V437="",'4_BENCHMARK'!$C$7=""),"",ABS(V437-'4_BENCHMARK'!$C$7))</f>
        <v/>
      </c>
      <c r="AM437" s="10" t="str">
        <f>IF(OR(W437="",'4_BENCHMARK'!$C$8=""),"",ABS(W437-'4_BENCHMARK'!$C$8))</f>
        <v/>
      </c>
      <c r="AN437" s="10" t="str">
        <f>IF(OR(X437="",'4_BENCHMARK'!$C$9=""),"",ABS(X437-'4_BENCHMARK'!$C$9))</f>
        <v/>
      </c>
      <c r="AO437" s="10" t="str">
        <f>IF(OR(Y437="",'4_BENCHMARK'!$C$10=""),"",ABS(Y437-'4_BENCHMARK'!$C$10))</f>
        <v/>
      </c>
      <c r="AP437" s="10" t="str">
        <f>IF(OR(Z437="",'4_BENCHMARK'!$C$11=""),"",ABS(Z437-'4_BENCHMARK'!$C$11))</f>
        <v/>
      </c>
      <c r="AQ437" s="13" t="str">
        <f t="shared" si="228"/>
        <v/>
      </c>
      <c r="AR437" s="10"/>
      <c r="AS437" s="36"/>
      <c r="AT437" s="13" t="str">
        <f t="shared" si="229"/>
        <v/>
      </c>
      <c r="AU437" s="1" t="str">
        <f t="shared" ref="AU437:BB437" si="312">IF(AND($I403="yes",$C403&lt;=1949,K437&lt;&gt;""),K437,"")</f>
        <v/>
      </c>
      <c r="AV437" s="1" t="str">
        <f t="shared" si="312"/>
        <v/>
      </c>
      <c r="AW437" s="1" t="str">
        <f t="shared" si="312"/>
        <v/>
      </c>
      <c r="AX437" s="1" t="str">
        <f t="shared" si="312"/>
        <v/>
      </c>
      <c r="AY437" s="1" t="str">
        <f t="shared" si="312"/>
        <v/>
      </c>
      <c r="AZ437" s="1" t="str">
        <f t="shared" si="312"/>
        <v/>
      </c>
      <c r="BA437" s="1" t="str">
        <f t="shared" si="312"/>
        <v/>
      </c>
      <c r="BB437" s="1" t="str">
        <f t="shared" si="312"/>
        <v/>
      </c>
      <c r="BC437" s="1" t="str">
        <f t="shared" ref="BC437:BJ437" si="313">IF(AND($I403="yes",$C403&gt;=2000,K437&lt;&gt;""),K437,"")</f>
        <v/>
      </c>
      <c r="BD437" s="1" t="str">
        <f t="shared" si="313"/>
        <v/>
      </c>
      <c r="BE437" s="1" t="str">
        <f t="shared" si="313"/>
        <v/>
      </c>
      <c r="BF437" s="1" t="str">
        <f t="shared" si="313"/>
        <v/>
      </c>
      <c r="BG437" s="1" t="str">
        <f t="shared" si="313"/>
        <v/>
      </c>
      <c r="BH437" s="1" t="str">
        <f t="shared" si="313"/>
        <v/>
      </c>
      <c r="BI437" s="1" t="str">
        <f t="shared" si="313"/>
        <v/>
      </c>
      <c r="BJ437" s="1" t="str">
        <f t="shared" si="313"/>
        <v/>
      </c>
    </row>
    <row r="438" ht="14.25" customHeight="1" spans="1:62">
      <c r="A438" s="10"/>
      <c r="B438" s="36"/>
      <c r="C438" s="10"/>
      <c r="D438" s="10" t="str">
        <f t="shared" si="287"/>
        <v/>
      </c>
      <c r="E438" s="36"/>
      <c r="F438" s="35"/>
      <c r="G438" s="36"/>
      <c r="H438" s="10"/>
      <c r="I438" s="10"/>
      <c r="J438" s="10"/>
      <c r="K438" s="10"/>
      <c r="L438" s="10"/>
      <c r="M438" s="10"/>
      <c r="N438" s="10"/>
      <c r="O438" s="10"/>
      <c r="P438" s="10"/>
      <c r="Q438" s="10"/>
      <c r="R438" s="10"/>
      <c r="S438" s="10" t="str">
        <f t="shared" si="212"/>
        <v/>
      </c>
      <c r="T438" s="10" t="str">
        <f t="shared" si="213"/>
        <v/>
      </c>
      <c r="U438" s="10" t="str">
        <f t="shared" si="214"/>
        <v/>
      </c>
      <c r="V438" s="10" t="str">
        <f t="shared" si="215"/>
        <v/>
      </c>
      <c r="W438" s="10" t="str">
        <f t="shared" si="216"/>
        <v/>
      </c>
      <c r="X438" s="10" t="str">
        <f t="shared" si="217"/>
        <v/>
      </c>
      <c r="Y438" s="10" t="str">
        <f t="shared" si="218"/>
        <v/>
      </c>
      <c r="Z438" s="10" t="str">
        <f t="shared" si="219"/>
        <v/>
      </c>
      <c r="AA438" s="10" t="str">
        <f t="shared" si="220"/>
        <v/>
      </c>
      <c r="AB438" s="10" t="str">
        <f t="shared" si="221"/>
        <v/>
      </c>
      <c r="AC438" s="10" t="str">
        <f t="shared" si="222"/>
        <v/>
      </c>
      <c r="AD438" s="10" t="str">
        <f t="shared" si="223"/>
        <v/>
      </c>
      <c r="AE438" s="10" t="str">
        <f t="shared" si="224"/>
        <v/>
      </c>
      <c r="AF438" s="10" t="str">
        <f t="shared" si="225"/>
        <v/>
      </c>
      <c r="AG438" s="10" t="str">
        <f t="shared" si="226"/>
        <v/>
      </c>
      <c r="AH438" s="10" t="str">
        <f t="shared" si="227"/>
        <v/>
      </c>
      <c r="AI438" s="10" t="str">
        <f>IF(OR(S438="",'4_BENCHMARK'!$C$4=""),"",ABS(S438-'4_BENCHMARK'!$C$4))</f>
        <v/>
      </c>
      <c r="AJ438" s="10" t="str">
        <f>IF(OR(T438="",'4_BENCHMARK'!$C$5=""),"",ABS(T438-'4_BENCHMARK'!$C$5))</f>
        <v/>
      </c>
      <c r="AK438" s="10" t="str">
        <f>IF(OR(U438="",'4_BENCHMARK'!$C$6=""),"",ABS(U438-'4_BENCHMARK'!$C$6))</f>
        <v/>
      </c>
      <c r="AL438" s="10" t="str">
        <f>IF(OR(V438="",'4_BENCHMARK'!$C$7=""),"",ABS(V438-'4_BENCHMARK'!$C$7))</f>
        <v/>
      </c>
      <c r="AM438" s="10" t="str">
        <f>IF(OR(W438="",'4_BENCHMARK'!$C$8=""),"",ABS(W438-'4_BENCHMARK'!$C$8))</f>
        <v/>
      </c>
      <c r="AN438" s="10" t="str">
        <f>IF(OR(X438="",'4_BENCHMARK'!$C$9=""),"",ABS(X438-'4_BENCHMARK'!$C$9))</f>
        <v/>
      </c>
      <c r="AO438" s="10" t="str">
        <f>IF(OR(Y438="",'4_BENCHMARK'!$C$10=""),"",ABS(Y438-'4_BENCHMARK'!$C$10))</f>
        <v/>
      </c>
      <c r="AP438" s="10" t="str">
        <f>IF(OR(Z438="",'4_BENCHMARK'!$C$11=""),"",ABS(Z438-'4_BENCHMARK'!$C$11))</f>
        <v/>
      </c>
      <c r="AQ438" s="13" t="str">
        <f t="shared" si="228"/>
        <v/>
      </c>
      <c r="AR438" s="10"/>
      <c r="AS438" s="36"/>
      <c r="AT438" s="13" t="str">
        <f t="shared" si="229"/>
        <v/>
      </c>
      <c r="AU438" s="1" t="str">
        <f t="shared" ref="AU438:BB438" si="314">IF(AND($I403="yes",$C403&lt;=1949,K438&lt;&gt;""),K438,"")</f>
        <v/>
      </c>
      <c r="AV438" s="1" t="str">
        <f t="shared" si="314"/>
        <v/>
      </c>
      <c r="AW438" s="1" t="str">
        <f t="shared" si="314"/>
        <v/>
      </c>
      <c r="AX438" s="1" t="str">
        <f t="shared" si="314"/>
        <v/>
      </c>
      <c r="AY438" s="1" t="str">
        <f t="shared" si="314"/>
        <v/>
      </c>
      <c r="AZ438" s="1" t="str">
        <f t="shared" si="314"/>
        <v/>
      </c>
      <c r="BA438" s="1" t="str">
        <f t="shared" si="314"/>
        <v/>
      </c>
      <c r="BB438" s="1" t="str">
        <f t="shared" si="314"/>
        <v/>
      </c>
      <c r="BC438" s="1" t="str">
        <f t="shared" ref="BC438:BJ438" si="315">IF(AND($I403="yes",$C403&gt;=2000,K438&lt;&gt;""),K438,"")</f>
        <v/>
      </c>
      <c r="BD438" s="1" t="str">
        <f t="shared" si="315"/>
        <v/>
      </c>
      <c r="BE438" s="1" t="str">
        <f t="shared" si="315"/>
        <v/>
      </c>
      <c r="BF438" s="1" t="str">
        <f t="shared" si="315"/>
        <v/>
      </c>
      <c r="BG438" s="1" t="str">
        <f t="shared" si="315"/>
        <v/>
      </c>
      <c r="BH438" s="1" t="str">
        <f t="shared" si="315"/>
        <v/>
      </c>
      <c r="BI438" s="1" t="str">
        <f t="shared" si="315"/>
        <v/>
      </c>
      <c r="BJ438" s="1" t="str">
        <f t="shared" si="315"/>
        <v/>
      </c>
    </row>
    <row r="439" ht="14.25" customHeight="1" spans="1:62">
      <c r="A439" s="10"/>
      <c r="B439" s="36"/>
      <c r="C439" s="10"/>
      <c r="D439" s="10" t="str">
        <f t="shared" si="287"/>
        <v/>
      </c>
      <c r="E439" s="36"/>
      <c r="F439" s="35"/>
      <c r="G439" s="36"/>
      <c r="H439" s="10"/>
      <c r="I439" s="10"/>
      <c r="J439" s="10"/>
      <c r="K439" s="10"/>
      <c r="L439" s="10"/>
      <c r="M439" s="10"/>
      <c r="N439" s="10"/>
      <c r="O439" s="10"/>
      <c r="P439" s="10"/>
      <c r="Q439" s="10"/>
      <c r="R439" s="10"/>
      <c r="S439" s="10" t="str">
        <f t="shared" si="212"/>
        <v/>
      </c>
      <c r="T439" s="10" t="str">
        <f t="shared" si="213"/>
        <v/>
      </c>
      <c r="U439" s="10" t="str">
        <f t="shared" si="214"/>
        <v/>
      </c>
      <c r="V439" s="10" t="str">
        <f t="shared" si="215"/>
        <v/>
      </c>
      <c r="W439" s="10" t="str">
        <f t="shared" si="216"/>
        <v/>
      </c>
      <c r="X439" s="10" t="str">
        <f t="shared" si="217"/>
        <v/>
      </c>
      <c r="Y439" s="10" t="str">
        <f t="shared" si="218"/>
        <v/>
      </c>
      <c r="Z439" s="10" t="str">
        <f t="shared" si="219"/>
        <v/>
      </c>
      <c r="AA439" s="10" t="str">
        <f t="shared" si="220"/>
        <v/>
      </c>
      <c r="AB439" s="10" t="str">
        <f t="shared" si="221"/>
        <v/>
      </c>
      <c r="AC439" s="10" t="str">
        <f t="shared" si="222"/>
        <v/>
      </c>
      <c r="AD439" s="10" t="str">
        <f t="shared" si="223"/>
        <v/>
      </c>
      <c r="AE439" s="10" t="str">
        <f t="shared" si="224"/>
        <v/>
      </c>
      <c r="AF439" s="10" t="str">
        <f t="shared" si="225"/>
        <v/>
      </c>
      <c r="AG439" s="10" t="str">
        <f t="shared" si="226"/>
        <v/>
      </c>
      <c r="AH439" s="10" t="str">
        <f t="shared" si="227"/>
        <v/>
      </c>
      <c r="AI439" s="10" t="str">
        <f>IF(OR(S439="",'4_BENCHMARK'!$C$4=""),"",ABS(S439-'4_BENCHMARK'!$C$4))</f>
        <v/>
      </c>
      <c r="AJ439" s="10" t="str">
        <f>IF(OR(T439="",'4_BENCHMARK'!$C$5=""),"",ABS(T439-'4_BENCHMARK'!$C$5))</f>
        <v/>
      </c>
      <c r="AK439" s="10" t="str">
        <f>IF(OR(U439="",'4_BENCHMARK'!$C$6=""),"",ABS(U439-'4_BENCHMARK'!$C$6))</f>
        <v/>
      </c>
      <c r="AL439" s="10" t="str">
        <f>IF(OR(V439="",'4_BENCHMARK'!$C$7=""),"",ABS(V439-'4_BENCHMARK'!$C$7))</f>
        <v/>
      </c>
      <c r="AM439" s="10" t="str">
        <f>IF(OR(W439="",'4_BENCHMARK'!$C$8=""),"",ABS(W439-'4_BENCHMARK'!$C$8))</f>
        <v/>
      </c>
      <c r="AN439" s="10" t="str">
        <f>IF(OR(X439="",'4_BENCHMARK'!$C$9=""),"",ABS(X439-'4_BENCHMARK'!$C$9))</f>
        <v/>
      </c>
      <c r="AO439" s="10" t="str">
        <f>IF(OR(Y439="",'4_BENCHMARK'!$C$10=""),"",ABS(Y439-'4_BENCHMARK'!$C$10))</f>
        <v/>
      </c>
      <c r="AP439" s="10" t="str">
        <f>IF(OR(Z439="",'4_BENCHMARK'!$C$11=""),"",ABS(Z439-'4_BENCHMARK'!$C$11))</f>
        <v/>
      </c>
      <c r="AQ439" s="13" t="str">
        <f t="shared" si="228"/>
        <v/>
      </c>
      <c r="AR439" s="10"/>
      <c r="AS439" s="36"/>
      <c r="AT439" s="13" t="str">
        <f t="shared" si="229"/>
        <v/>
      </c>
      <c r="AU439" s="1" t="str">
        <f t="shared" ref="AU439:BB439" si="316">IF(AND($I403="yes",$C403&lt;=1949,K439&lt;&gt;""),K439,"")</f>
        <v/>
      </c>
      <c r="AV439" s="1" t="str">
        <f t="shared" si="316"/>
        <v/>
      </c>
      <c r="AW439" s="1" t="str">
        <f t="shared" si="316"/>
        <v/>
      </c>
      <c r="AX439" s="1" t="str">
        <f t="shared" si="316"/>
        <v/>
      </c>
      <c r="AY439" s="1" t="str">
        <f t="shared" si="316"/>
        <v/>
      </c>
      <c r="AZ439" s="1" t="str">
        <f t="shared" si="316"/>
        <v/>
      </c>
      <c r="BA439" s="1" t="str">
        <f t="shared" si="316"/>
        <v/>
      </c>
      <c r="BB439" s="1" t="str">
        <f t="shared" si="316"/>
        <v/>
      </c>
      <c r="BC439" s="1" t="str">
        <f t="shared" ref="BC439:BJ439" si="317">IF(AND($I403="yes",$C403&gt;=2000,K439&lt;&gt;""),K439,"")</f>
        <v/>
      </c>
      <c r="BD439" s="1" t="str">
        <f t="shared" si="317"/>
        <v/>
      </c>
      <c r="BE439" s="1" t="str">
        <f t="shared" si="317"/>
        <v/>
      </c>
      <c r="BF439" s="1" t="str">
        <f t="shared" si="317"/>
        <v/>
      </c>
      <c r="BG439" s="1" t="str">
        <f t="shared" si="317"/>
        <v/>
      </c>
      <c r="BH439" s="1" t="str">
        <f t="shared" si="317"/>
        <v/>
      </c>
      <c r="BI439" s="1" t="str">
        <f t="shared" si="317"/>
        <v/>
      </c>
      <c r="BJ439" s="1" t="str">
        <f t="shared" si="317"/>
        <v/>
      </c>
    </row>
    <row r="440" ht="14.25" customHeight="1" spans="1:62">
      <c r="A440" s="10"/>
      <c r="B440" s="36"/>
      <c r="C440" s="10"/>
      <c r="D440" s="10" t="str">
        <f t="shared" si="287"/>
        <v/>
      </c>
      <c r="E440" s="36"/>
      <c r="F440" s="35"/>
      <c r="G440" s="36"/>
      <c r="H440" s="10"/>
      <c r="I440" s="10"/>
      <c r="J440" s="10"/>
      <c r="K440" s="10"/>
      <c r="L440" s="10"/>
      <c r="M440" s="10"/>
      <c r="N440" s="10"/>
      <c r="O440" s="10"/>
      <c r="P440" s="10"/>
      <c r="Q440" s="10"/>
      <c r="R440" s="10"/>
      <c r="S440" s="10" t="str">
        <f t="shared" si="212"/>
        <v/>
      </c>
      <c r="T440" s="10" t="str">
        <f t="shared" si="213"/>
        <v/>
      </c>
      <c r="U440" s="10" t="str">
        <f t="shared" si="214"/>
        <v/>
      </c>
      <c r="V440" s="10" t="str">
        <f t="shared" si="215"/>
        <v/>
      </c>
      <c r="W440" s="10" t="str">
        <f t="shared" si="216"/>
        <v/>
      </c>
      <c r="X440" s="10" t="str">
        <f t="shared" si="217"/>
        <v/>
      </c>
      <c r="Y440" s="10" t="str">
        <f t="shared" si="218"/>
        <v/>
      </c>
      <c r="Z440" s="10" t="str">
        <f t="shared" si="219"/>
        <v/>
      </c>
      <c r="AA440" s="10" t="str">
        <f t="shared" si="220"/>
        <v/>
      </c>
      <c r="AB440" s="10" t="str">
        <f t="shared" si="221"/>
        <v/>
      </c>
      <c r="AC440" s="10" t="str">
        <f t="shared" si="222"/>
        <v/>
      </c>
      <c r="AD440" s="10" t="str">
        <f t="shared" si="223"/>
        <v/>
      </c>
      <c r="AE440" s="10" t="str">
        <f t="shared" si="224"/>
        <v/>
      </c>
      <c r="AF440" s="10" t="str">
        <f t="shared" si="225"/>
        <v/>
      </c>
      <c r="AG440" s="10" t="str">
        <f t="shared" si="226"/>
        <v/>
      </c>
      <c r="AH440" s="10" t="str">
        <f t="shared" si="227"/>
        <v/>
      </c>
      <c r="AI440" s="10" t="str">
        <f>IF(OR(S440="",'4_BENCHMARK'!$C$4=""),"",ABS(S440-'4_BENCHMARK'!$C$4))</f>
        <v/>
      </c>
      <c r="AJ440" s="10" t="str">
        <f>IF(OR(T440="",'4_BENCHMARK'!$C$5=""),"",ABS(T440-'4_BENCHMARK'!$C$5))</f>
        <v/>
      </c>
      <c r="AK440" s="10" t="str">
        <f>IF(OR(U440="",'4_BENCHMARK'!$C$6=""),"",ABS(U440-'4_BENCHMARK'!$C$6))</f>
        <v/>
      </c>
      <c r="AL440" s="10" t="str">
        <f>IF(OR(V440="",'4_BENCHMARK'!$C$7=""),"",ABS(V440-'4_BENCHMARK'!$C$7))</f>
        <v/>
      </c>
      <c r="AM440" s="10" t="str">
        <f>IF(OR(W440="",'4_BENCHMARK'!$C$8=""),"",ABS(W440-'4_BENCHMARK'!$C$8))</f>
        <v/>
      </c>
      <c r="AN440" s="10" t="str">
        <f>IF(OR(X440="",'4_BENCHMARK'!$C$9=""),"",ABS(X440-'4_BENCHMARK'!$C$9))</f>
        <v/>
      </c>
      <c r="AO440" s="10" t="str">
        <f>IF(OR(Y440="",'4_BENCHMARK'!$C$10=""),"",ABS(Y440-'4_BENCHMARK'!$C$10))</f>
        <v/>
      </c>
      <c r="AP440" s="10" t="str">
        <f>IF(OR(Z440="",'4_BENCHMARK'!$C$11=""),"",ABS(Z440-'4_BENCHMARK'!$C$11))</f>
        <v/>
      </c>
      <c r="AQ440" s="13" t="str">
        <f t="shared" si="228"/>
        <v/>
      </c>
      <c r="AR440" s="10"/>
      <c r="AS440" s="36"/>
      <c r="AT440" s="13" t="str">
        <f t="shared" si="229"/>
        <v/>
      </c>
      <c r="AU440" s="1" t="str">
        <f t="shared" ref="AU440:BB440" si="318">IF(AND($I403="yes",$C403&lt;=1949,K440&lt;&gt;""),K440,"")</f>
        <v/>
      </c>
      <c r="AV440" s="1" t="str">
        <f t="shared" si="318"/>
        <v/>
      </c>
      <c r="AW440" s="1" t="str">
        <f t="shared" si="318"/>
        <v/>
      </c>
      <c r="AX440" s="1" t="str">
        <f t="shared" si="318"/>
        <v/>
      </c>
      <c r="AY440" s="1" t="str">
        <f t="shared" si="318"/>
        <v/>
      </c>
      <c r="AZ440" s="1" t="str">
        <f t="shared" si="318"/>
        <v/>
      </c>
      <c r="BA440" s="1" t="str">
        <f t="shared" si="318"/>
        <v/>
      </c>
      <c r="BB440" s="1" t="str">
        <f t="shared" si="318"/>
        <v/>
      </c>
      <c r="BC440" s="1" t="str">
        <f t="shared" ref="BC440:BJ440" si="319">IF(AND($I403="yes",$C403&gt;=2000,K440&lt;&gt;""),K440,"")</f>
        <v/>
      </c>
      <c r="BD440" s="1" t="str">
        <f t="shared" si="319"/>
        <v/>
      </c>
      <c r="BE440" s="1" t="str">
        <f t="shared" si="319"/>
        <v/>
      </c>
      <c r="BF440" s="1" t="str">
        <f t="shared" si="319"/>
        <v/>
      </c>
      <c r="BG440" s="1" t="str">
        <f t="shared" si="319"/>
        <v/>
      </c>
      <c r="BH440" s="1" t="str">
        <f t="shared" si="319"/>
        <v/>
      </c>
      <c r="BI440" s="1" t="str">
        <f t="shared" si="319"/>
        <v/>
      </c>
      <c r="BJ440" s="1" t="str">
        <f t="shared" si="319"/>
        <v/>
      </c>
    </row>
    <row r="441" ht="14.25" customHeight="1" spans="1:62">
      <c r="A441" s="10"/>
      <c r="B441" s="36"/>
      <c r="C441" s="10"/>
      <c r="D441" s="10" t="str">
        <f t="shared" si="287"/>
        <v/>
      </c>
      <c r="E441" s="36"/>
      <c r="F441" s="35"/>
      <c r="G441" s="36"/>
      <c r="H441" s="10"/>
      <c r="I441" s="10"/>
      <c r="J441" s="10"/>
      <c r="K441" s="10"/>
      <c r="L441" s="10"/>
      <c r="M441" s="10"/>
      <c r="N441" s="10"/>
      <c r="O441" s="10"/>
      <c r="P441" s="10"/>
      <c r="Q441" s="10"/>
      <c r="R441" s="10"/>
      <c r="S441" s="10" t="str">
        <f t="shared" si="212"/>
        <v/>
      </c>
      <c r="T441" s="10" t="str">
        <f t="shared" si="213"/>
        <v/>
      </c>
      <c r="U441" s="10" t="str">
        <f t="shared" si="214"/>
        <v/>
      </c>
      <c r="V441" s="10" t="str">
        <f t="shared" si="215"/>
        <v/>
      </c>
      <c r="W441" s="10" t="str">
        <f t="shared" si="216"/>
        <v/>
      </c>
      <c r="X441" s="10" t="str">
        <f t="shared" si="217"/>
        <v/>
      </c>
      <c r="Y441" s="10" t="str">
        <f t="shared" si="218"/>
        <v/>
      </c>
      <c r="Z441" s="10" t="str">
        <f t="shared" si="219"/>
        <v/>
      </c>
      <c r="AA441" s="10" t="str">
        <f t="shared" si="220"/>
        <v/>
      </c>
      <c r="AB441" s="10" t="str">
        <f t="shared" si="221"/>
        <v/>
      </c>
      <c r="AC441" s="10" t="str">
        <f t="shared" si="222"/>
        <v/>
      </c>
      <c r="AD441" s="10" t="str">
        <f t="shared" si="223"/>
        <v/>
      </c>
      <c r="AE441" s="10" t="str">
        <f t="shared" si="224"/>
        <v/>
      </c>
      <c r="AF441" s="10" t="str">
        <f t="shared" si="225"/>
        <v/>
      </c>
      <c r="AG441" s="10" t="str">
        <f t="shared" si="226"/>
        <v/>
      </c>
      <c r="AH441" s="10" t="str">
        <f t="shared" si="227"/>
        <v/>
      </c>
      <c r="AI441" s="10" t="str">
        <f>IF(OR(S441="",'4_BENCHMARK'!$C$4=""),"",ABS(S441-'4_BENCHMARK'!$C$4))</f>
        <v/>
      </c>
      <c r="AJ441" s="10" t="str">
        <f>IF(OR(T441="",'4_BENCHMARK'!$C$5=""),"",ABS(T441-'4_BENCHMARK'!$C$5))</f>
        <v/>
      </c>
      <c r="AK441" s="10" t="str">
        <f>IF(OR(U441="",'4_BENCHMARK'!$C$6=""),"",ABS(U441-'4_BENCHMARK'!$C$6))</f>
        <v/>
      </c>
      <c r="AL441" s="10" t="str">
        <f>IF(OR(V441="",'4_BENCHMARK'!$C$7=""),"",ABS(V441-'4_BENCHMARK'!$C$7))</f>
        <v/>
      </c>
      <c r="AM441" s="10" t="str">
        <f>IF(OR(W441="",'4_BENCHMARK'!$C$8=""),"",ABS(W441-'4_BENCHMARK'!$C$8))</f>
        <v/>
      </c>
      <c r="AN441" s="10" t="str">
        <f>IF(OR(X441="",'4_BENCHMARK'!$C$9=""),"",ABS(X441-'4_BENCHMARK'!$C$9))</f>
        <v/>
      </c>
      <c r="AO441" s="10" t="str">
        <f>IF(OR(Y441="",'4_BENCHMARK'!$C$10=""),"",ABS(Y441-'4_BENCHMARK'!$C$10))</f>
        <v/>
      </c>
      <c r="AP441" s="10" t="str">
        <f>IF(OR(Z441="",'4_BENCHMARK'!$C$11=""),"",ABS(Z441-'4_BENCHMARK'!$C$11))</f>
        <v/>
      </c>
      <c r="AQ441" s="13" t="str">
        <f t="shared" si="228"/>
        <v/>
      </c>
      <c r="AR441" s="10"/>
      <c r="AS441" s="36"/>
      <c r="AT441" s="13" t="str">
        <f t="shared" si="229"/>
        <v/>
      </c>
      <c r="AU441" s="1" t="str">
        <f t="shared" ref="AU441:BB441" si="320">IF(AND($I403="yes",$C403&lt;=1949,K441&lt;&gt;""),K441,"")</f>
        <v/>
      </c>
      <c r="AV441" s="1" t="str">
        <f t="shared" si="320"/>
        <v/>
      </c>
      <c r="AW441" s="1" t="str">
        <f t="shared" si="320"/>
        <v/>
      </c>
      <c r="AX441" s="1" t="str">
        <f t="shared" si="320"/>
        <v/>
      </c>
      <c r="AY441" s="1" t="str">
        <f t="shared" si="320"/>
        <v/>
      </c>
      <c r="AZ441" s="1" t="str">
        <f t="shared" si="320"/>
        <v/>
      </c>
      <c r="BA441" s="1" t="str">
        <f t="shared" si="320"/>
        <v/>
      </c>
      <c r="BB441" s="1" t="str">
        <f t="shared" si="320"/>
        <v/>
      </c>
      <c r="BC441" s="1" t="str">
        <f t="shared" ref="BC441:BJ441" si="321">IF(AND($I403="yes",$C403&gt;=2000,K441&lt;&gt;""),K441,"")</f>
        <v/>
      </c>
      <c r="BD441" s="1" t="str">
        <f t="shared" si="321"/>
        <v/>
      </c>
      <c r="BE441" s="1" t="str">
        <f t="shared" si="321"/>
        <v/>
      </c>
      <c r="BF441" s="1" t="str">
        <f t="shared" si="321"/>
        <v/>
      </c>
      <c r="BG441" s="1" t="str">
        <f t="shared" si="321"/>
        <v/>
      </c>
      <c r="BH441" s="1" t="str">
        <f t="shared" si="321"/>
        <v/>
      </c>
      <c r="BI441" s="1" t="str">
        <f t="shared" si="321"/>
        <v/>
      </c>
      <c r="BJ441" s="1" t="str">
        <f t="shared" si="321"/>
        <v/>
      </c>
    </row>
    <row r="442" ht="14.25" customHeight="1" spans="1:62">
      <c r="A442" s="10"/>
      <c r="B442" s="36"/>
      <c r="C442" s="10"/>
      <c r="D442" s="10" t="str">
        <f t="shared" si="287"/>
        <v/>
      </c>
      <c r="E442" s="36"/>
      <c r="F442" s="35"/>
      <c r="G442" s="36"/>
      <c r="H442" s="10"/>
      <c r="I442" s="10"/>
      <c r="J442" s="10"/>
      <c r="K442" s="10"/>
      <c r="L442" s="10"/>
      <c r="M442" s="10"/>
      <c r="N442" s="10"/>
      <c r="O442" s="10"/>
      <c r="P442" s="10"/>
      <c r="Q442" s="10"/>
      <c r="R442" s="10"/>
      <c r="S442" s="10" t="str">
        <f t="shared" si="212"/>
        <v/>
      </c>
      <c r="T442" s="10" t="str">
        <f t="shared" si="213"/>
        <v/>
      </c>
      <c r="U442" s="10" t="str">
        <f t="shared" si="214"/>
        <v/>
      </c>
      <c r="V442" s="10" t="str">
        <f t="shared" si="215"/>
        <v/>
      </c>
      <c r="W442" s="10" t="str">
        <f t="shared" si="216"/>
        <v/>
      </c>
      <c r="X442" s="10" t="str">
        <f t="shared" si="217"/>
        <v/>
      </c>
      <c r="Y442" s="10" t="str">
        <f t="shared" si="218"/>
        <v/>
      </c>
      <c r="Z442" s="10" t="str">
        <f t="shared" si="219"/>
        <v/>
      </c>
      <c r="AA442" s="10" t="str">
        <f t="shared" si="220"/>
        <v/>
      </c>
      <c r="AB442" s="10" t="str">
        <f t="shared" si="221"/>
        <v/>
      </c>
      <c r="AC442" s="10" t="str">
        <f t="shared" si="222"/>
        <v/>
      </c>
      <c r="AD442" s="10" t="str">
        <f t="shared" si="223"/>
        <v/>
      </c>
      <c r="AE442" s="10" t="str">
        <f t="shared" si="224"/>
        <v/>
      </c>
      <c r="AF442" s="10" t="str">
        <f t="shared" si="225"/>
        <v/>
      </c>
      <c r="AG442" s="10" t="str">
        <f t="shared" si="226"/>
        <v/>
      </c>
      <c r="AH442" s="10" t="str">
        <f t="shared" si="227"/>
        <v/>
      </c>
      <c r="AI442" s="10" t="str">
        <f>IF(OR(S442="",'4_BENCHMARK'!$C$4=""),"",ABS(S442-'4_BENCHMARK'!$C$4))</f>
        <v/>
      </c>
      <c r="AJ442" s="10" t="str">
        <f>IF(OR(T442="",'4_BENCHMARK'!$C$5=""),"",ABS(T442-'4_BENCHMARK'!$C$5))</f>
        <v/>
      </c>
      <c r="AK442" s="10" t="str">
        <f>IF(OR(U442="",'4_BENCHMARK'!$C$6=""),"",ABS(U442-'4_BENCHMARK'!$C$6))</f>
        <v/>
      </c>
      <c r="AL442" s="10" t="str">
        <f>IF(OR(V442="",'4_BENCHMARK'!$C$7=""),"",ABS(V442-'4_BENCHMARK'!$C$7))</f>
        <v/>
      </c>
      <c r="AM442" s="10" t="str">
        <f>IF(OR(W442="",'4_BENCHMARK'!$C$8=""),"",ABS(W442-'4_BENCHMARK'!$C$8))</f>
        <v/>
      </c>
      <c r="AN442" s="10" t="str">
        <f>IF(OR(X442="",'4_BENCHMARK'!$C$9=""),"",ABS(X442-'4_BENCHMARK'!$C$9))</f>
        <v/>
      </c>
      <c r="AO442" s="10" t="str">
        <f>IF(OR(Y442="",'4_BENCHMARK'!$C$10=""),"",ABS(Y442-'4_BENCHMARK'!$C$10))</f>
        <v/>
      </c>
      <c r="AP442" s="10" t="str">
        <f>IF(OR(Z442="",'4_BENCHMARK'!$C$11=""),"",ABS(Z442-'4_BENCHMARK'!$C$11))</f>
        <v/>
      </c>
      <c r="AQ442" s="13" t="str">
        <f t="shared" si="228"/>
        <v/>
      </c>
      <c r="AR442" s="10"/>
      <c r="AS442" s="36"/>
      <c r="AT442" s="13" t="str">
        <f t="shared" si="229"/>
        <v/>
      </c>
      <c r="AU442" s="1" t="str">
        <f t="shared" ref="AU442:BB442" si="322">IF(AND($I403="yes",$C403&lt;=1949,K442&lt;&gt;""),K442,"")</f>
        <v/>
      </c>
      <c r="AV442" s="1" t="str">
        <f t="shared" si="322"/>
        <v/>
      </c>
      <c r="AW442" s="1" t="str">
        <f t="shared" si="322"/>
        <v/>
      </c>
      <c r="AX442" s="1" t="str">
        <f t="shared" si="322"/>
        <v/>
      </c>
      <c r="AY442" s="1" t="str">
        <f t="shared" si="322"/>
        <v/>
      </c>
      <c r="AZ442" s="1" t="str">
        <f t="shared" si="322"/>
        <v/>
      </c>
      <c r="BA442" s="1" t="str">
        <f t="shared" si="322"/>
        <v/>
      </c>
      <c r="BB442" s="1" t="str">
        <f t="shared" si="322"/>
        <v/>
      </c>
      <c r="BC442" s="1" t="str">
        <f t="shared" ref="BC442:BJ442" si="323">IF(AND($I403="yes",$C403&gt;=2000,K442&lt;&gt;""),K442,"")</f>
        <v/>
      </c>
      <c r="BD442" s="1" t="str">
        <f t="shared" si="323"/>
        <v/>
      </c>
      <c r="BE442" s="1" t="str">
        <f t="shared" si="323"/>
        <v/>
      </c>
      <c r="BF442" s="1" t="str">
        <f t="shared" si="323"/>
        <v/>
      </c>
      <c r="BG442" s="1" t="str">
        <f t="shared" si="323"/>
        <v/>
      </c>
      <c r="BH442" s="1" t="str">
        <f t="shared" si="323"/>
        <v/>
      </c>
      <c r="BI442" s="1" t="str">
        <f t="shared" si="323"/>
        <v/>
      </c>
      <c r="BJ442" s="1" t="str">
        <f t="shared" si="323"/>
        <v/>
      </c>
    </row>
    <row r="443" ht="14.25" customHeight="1" spans="1:62">
      <c r="A443" s="10"/>
      <c r="B443" s="36"/>
      <c r="C443" s="10"/>
      <c r="D443" s="10" t="str">
        <f t="shared" si="287"/>
        <v/>
      </c>
      <c r="E443" s="36"/>
      <c r="F443" s="35"/>
      <c r="G443" s="36"/>
      <c r="H443" s="10"/>
      <c r="I443" s="10"/>
      <c r="J443" s="10"/>
      <c r="K443" s="10"/>
      <c r="L443" s="10"/>
      <c r="M443" s="10"/>
      <c r="N443" s="10"/>
      <c r="O443" s="10"/>
      <c r="P443" s="10"/>
      <c r="Q443" s="10"/>
      <c r="R443" s="10"/>
      <c r="S443" s="10" t="str">
        <f t="shared" si="212"/>
        <v/>
      </c>
      <c r="T443" s="10" t="str">
        <f t="shared" si="213"/>
        <v/>
      </c>
      <c r="U443" s="10" t="str">
        <f t="shared" si="214"/>
        <v/>
      </c>
      <c r="V443" s="10" t="str">
        <f t="shared" si="215"/>
        <v/>
      </c>
      <c r="W443" s="10" t="str">
        <f t="shared" si="216"/>
        <v/>
      </c>
      <c r="X443" s="10" t="str">
        <f t="shared" si="217"/>
        <v/>
      </c>
      <c r="Y443" s="10" t="str">
        <f t="shared" si="218"/>
        <v/>
      </c>
      <c r="Z443" s="10" t="str">
        <f t="shared" si="219"/>
        <v/>
      </c>
      <c r="AA443" s="10" t="str">
        <f t="shared" si="220"/>
        <v/>
      </c>
      <c r="AB443" s="10" t="str">
        <f t="shared" si="221"/>
        <v/>
      </c>
      <c r="AC443" s="10" t="str">
        <f t="shared" si="222"/>
        <v/>
      </c>
      <c r="AD443" s="10" t="str">
        <f t="shared" si="223"/>
        <v/>
      </c>
      <c r="AE443" s="10" t="str">
        <f t="shared" si="224"/>
        <v/>
      </c>
      <c r="AF443" s="10" t="str">
        <f t="shared" si="225"/>
        <v/>
      </c>
      <c r="AG443" s="10" t="str">
        <f t="shared" si="226"/>
        <v/>
      </c>
      <c r="AH443" s="10" t="str">
        <f t="shared" si="227"/>
        <v/>
      </c>
      <c r="AI443" s="10" t="str">
        <f>IF(OR(S443="",'4_BENCHMARK'!$C$4=""),"",ABS(S443-'4_BENCHMARK'!$C$4))</f>
        <v/>
      </c>
      <c r="AJ443" s="10" t="str">
        <f>IF(OR(T443="",'4_BENCHMARK'!$C$5=""),"",ABS(T443-'4_BENCHMARK'!$C$5))</f>
        <v/>
      </c>
      <c r="AK443" s="10" t="str">
        <f>IF(OR(U443="",'4_BENCHMARK'!$C$6=""),"",ABS(U443-'4_BENCHMARK'!$C$6))</f>
        <v/>
      </c>
      <c r="AL443" s="10" t="str">
        <f>IF(OR(V443="",'4_BENCHMARK'!$C$7=""),"",ABS(V443-'4_BENCHMARK'!$C$7))</f>
        <v/>
      </c>
      <c r="AM443" s="10" t="str">
        <f>IF(OR(W443="",'4_BENCHMARK'!$C$8=""),"",ABS(W443-'4_BENCHMARK'!$C$8))</f>
        <v/>
      </c>
      <c r="AN443" s="10" t="str">
        <f>IF(OR(X443="",'4_BENCHMARK'!$C$9=""),"",ABS(X443-'4_BENCHMARK'!$C$9))</f>
        <v/>
      </c>
      <c r="AO443" s="10" t="str">
        <f>IF(OR(Y443="",'4_BENCHMARK'!$C$10=""),"",ABS(Y443-'4_BENCHMARK'!$C$10))</f>
        <v/>
      </c>
      <c r="AP443" s="10" t="str">
        <f>IF(OR(Z443="",'4_BENCHMARK'!$C$11=""),"",ABS(Z443-'4_BENCHMARK'!$C$11))</f>
        <v/>
      </c>
      <c r="AQ443" s="13" t="str">
        <f t="shared" si="228"/>
        <v/>
      </c>
      <c r="AR443" s="10"/>
      <c r="AS443" s="36"/>
      <c r="AT443" s="13" t="str">
        <f t="shared" si="229"/>
        <v/>
      </c>
      <c r="AU443" s="1" t="str">
        <f t="shared" ref="AU443:BB443" si="324">IF(AND($I403="yes",$C403&lt;=1949,K443&lt;&gt;""),K443,"")</f>
        <v/>
      </c>
      <c r="AV443" s="1" t="str">
        <f t="shared" si="324"/>
        <v/>
      </c>
      <c r="AW443" s="1" t="str">
        <f t="shared" si="324"/>
        <v/>
      </c>
      <c r="AX443" s="1" t="str">
        <f t="shared" si="324"/>
        <v/>
      </c>
      <c r="AY443" s="1" t="str">
        <f t="shared" si="324"/>
        <v/>
      </c>
      <c r="AZ443" s="1" t="str">
        <f t="shared" si="324"/>
        <v/>
      </c>
      <c r="BA443" s="1" t="str">
        <f t="shared" si="324"/>
        <v/>
      </c>
      <c r="BB443" s="1" t="str">
        <f t="shared" si="324"/>
        <v/>
      </c>
      <c r="BC443" s="1" t="str">
        <f t="shared" ref="BC443:BJ443" si="325">IF(AND($I403="yes",$C403&gt;=2000,K443&lt;&gt;""),K443,"")</f>
        <v/>
      </c>
      <c r="BD443" s="1" t="str">
        <f t="shared" si="325"/>
        <v/>
      </c>
      <c r="BE443" s="1" t="str">
        <f t="shared" si="325"/>
        <v/>
      </c>
      <c r="BF443" s="1" t="str">
        <f t="shared" si="325"/>
        <v/>
      </c>
      <c r="BG443" s="1" t="str">
        <f t="shared" si="325"/>
        <v/>
      </c>
      <c r="BH443" s="1" t="str">
        <f t="shared" si="325"/>
        <v/>
      </c>
      <c r="BI443" s="1" t="str">
        <f t="shared" si="325"/>
        <v/>
      </c>
      <c r="BJ443" s="1" t="str">
        <f t="shared" si="325"/>
        <v/>
      </c>
    </row>
    <row r="444" ht="14.25" customHeight="1" spans="1:62">
      <c r="A444" s="10"/>
      <c r="B444" s="36"/>
      <c r="C444" s="10"/>
      <c r="D444" s="10" t="str">
        <f t="shared" si="287"/>
        <v/>
      </c>
      <c r="E444" s="36"/>
      <c r="F444" s="35"/>
      <c r="G444" s="36"/>
      <c r="H444" s="10"/>
      <c r="I444" s="10"/>
      <c r="J444" s="10"/>
      <c r="K444" s="10"/>
      <c r="L444" s="10"/>
      <c r="M444" s="10"/>
      <c r="N444" s="10"/>
      <c r="O444" s="10"/>
      <c r="P444" s="10"/>
      <c r="Q444" s="10"/>
      <c r="R444" s="10"/>
      <c r="S444" s="10" t="str">
        <f t="shared" si="212"/>
        <v/>
      </c>
      <c r="T444" s="10" t="str">
        <f t="shared" si="213"/>
        <v/>
      </c>
      <c r="U444" s="10" t="str">
        <f t="shared" si="214"/>
        <v/>
      </c>
      <c r="V444" s="10" t="str">
        <f t="shared" si="215"/>
        <v/>
      </c>
      <c r="W444" s="10" t="str">
        <f t="shared" si="216"/>
        <v/>
      </c>
      <c r="X444" s="10" t="str">
        <f t="shared" si="217"/>
        <v/>
      </c>
      <c r="Y444" s="10" t="str">
        <f t="shared" si="218"/>
        <v/>
      </c>
      <c r="Z444" s="10" t="str">
        <f t="shared" si="219"/>
        <v/>
      </c>
      <c r="AA444" s="10" t="str">
        <f t="shared" si="220"/>
        <v/>
      </c>
      <c r="AB444" s="10" t="str">
        <f t="shared" si="221"/>
        <v/>
      </c>
      <c r="AC444" s="10" t="str">
        <f t="shared" si="222"/>
        <v/>
      </c>
      <c r="AD444" s="10" t="str">
        <f t="shared" si="223"/>
        <v/>
      </c>
      <c r="AE444" s="10" t="str">
        <f t="shared" si="224"/>
        <v/>
      </c>
      <c r="AF444" s="10" t="str">
        <f t="shared" si="225"/>
        <v/>
      </c>
      <c r="AG444" s="10" t="str">
        <f t="shared" si="226"/>
        <v/>
      </c>
      <c r="AH444" s="10" t="str">
        <f t="shared" si="227"/>
        <v/>
      </c>
      <c r="AI444" s="10" t="str">
        <f>IF(OR(S444="",'4_BENCHMARK'!$C$4=""),"",ABS(S444-'4_BENCHMARK'!$C$4))</f>
        <v/>
      </c>
      <c r="AJ444" s="10" t="str">
        <f>IF(OR(T444="",'4_BENCHMARK'!$C$5=""),"",ABS(T444-'4_BENCHMARK'!$C$5))</f>
        <v/>
      </c>
      <c r="AK444" s="10" t="str">
        <f>IF(OR(U444="",'4_BENCHMARK'!$C$6=""),"",ABS(U444-'4_BENCHMARK'!$C$6))</f>
        <v/>
      </c>
      <c r="AL444" s="10" t="str">
        <f>IF(OR(V444="",'4_BENCHMARK'!$C$7=""),"",ABS(V444-'4_BENCHMARK'!$C$7))</f>
        <v/>
      </c>
      <c r="AM444" s="10" t="str">
        <f>IF(OR(W444="",'4_BENCHMARK'!$C$8=""),"",ABS(W444-'4_BENCHMARK'!$C$8))</f>
        <v/>
      </c>
      <c r="AN444" s="10" t="str">
        <f>IF(OR(X444="",'4_BENCHMARK'!$C$9=""),"",ABS(X444-'4_BENCHMARK'!$C$9))</f>
        <v/>
      </c>
      <c r="AO444" s="10" t="str">
        <f>IF(OR(Y444="",'4_BENCHMARK'!$C$10=""),"",ABS(Y444-'4_BENCHMARK'!$C$10))</f>
        <v/>
      </c>
      <c r="AP444" s="10" t="str">
        <f>IF(OR(Z444="",'4_BENCHMARK'!$C$11=""),"",ABS(Z444-'4_BENCHMARK'!$C$11))</f>
        <v/>
      </c>
      <c r="AQ444" s="13" t="str">
        <f t="shared" si="228"/>
        <v/>
      </c>
      <c r="AR444" s="10"/>
      <c r="AS444" s="36"/>
      <c r="AT444" s="13" t="str">
        <f t="shared" si="229"/>
        <v/>
      </c>
      <c r="AU444" s="1" t="str">
        <f t="shared" ref="AU444:BB444" si="326">IF(AND($I403="yes",$C403&lt;=1949,K444&lt;&gt;""),K444,"")</f>
        <v/>
      </c>
      <c r="AV444" s="1" t="str">
        <f t="shared" si="326"/>
        <v/>
      </c>
      <c r="AW444" s="1" t="str">
        <f t="shared" si="326"/>
        <v/>
      </c>
      <c r="AX444" s="1" t="str">
        <f t="shared" si="326"/>
        <v/>
      </c>
      <c r="AY444" s="1" t="str">
        <f t="shared" si="326"/>
        <v/>
      </c>
      <c r="AZ444" s="1" t="str">
        <f t="shared" si="326"/>
        <v/>
      </c>
      <c r="BA444" s="1" t="str">
        <f t="shared" si="326"/>
        <v/>
      </c>
      <c r="BB444" s="1" t="str">
        <f t="shared" si="326"/>
        <v/>
      </c>
      <c r="BC444" s="1" t="str">
        <f t="shared" ref="BC444:BJ444" si="327">IF(AND($I403="yes",$C403&gt;=2000,K444&lt;&gt;""),K444,"")</f>
        <v/>
      </c>
      <c r="BD444" s="1" t="str">
        <f t="shared" si="327"/>
        <v/>
      </c>
      <c r="BE444" s="1" t="str">
        <f t="shared" si="327"/>
        <v/>
      </c>
      <c r="BF444" s="1" t="str">
        <f t="shared" si="327"/>
        <v/>
      </c>
      <c r="BG444" s="1" t="str">
        <f t="shared" si="327"/>
        <v/>
      </c>
      <c r="BH444" s="1" t="str">
        <f t="shared" si="327"/>
        <v/>
      </c>
      <c r="BI444" s="1" t="str">
        <f t="shared" si="327"/>
        <v/>
      </c>
      <c r="BJ444" s="1" t="str">
        <f t="shared" si="327"/>
        <v/>
      </c>
    </row>
    <row r="445" ht="14.25" customHeight="1" spans="1:62">
      <c r="A445" s="10"/>
      <c r="B445" s="36"/>
      <c r="C445" s="10"/>
      <c r="D445" s="10" t="str">
        <f t="shared" si="287"/>
        <v/>
      </c>
      <c r="E445" s="36"/>
      <c r="F445" s="35"/>
      <c r="G445" s="36"/>
      <c r="H445" s="10"/>
      <c r="I445" s="10"/>
      <c r="J445" s="10"/>
      <c r="K445" s="10"/>
      <c r="L445" s="10"/>
      <c r="M445" s="10"/>
      <c r="N445" s="10"/>
      <c r="O445" s="10"/>
      <c r="P445" s="10"/>
      <c r="Q445" s="10"/>
      <c r="R445" s="10"/>
      <c r="S445" s="10" t="str">
        <f t="shared" si="212"/>
        <v/>
      </c>
      <c r="T445" s="10" t="str">
        <f t="shared" si="213"/>
        <v/>
      </c>
      <c r="U445" s="10" t="str">
        <f t="shared" si="214"/>
        <v/>
      </c>
      <c r="V445" s="10" t="str">
        <f t="shared" si="215"/>
        <v/>
      </c>
      <c r="W445" s="10" t="str">
        <f t="shared" si="216"/>
        <v/>
      </c>
      <c r="X445" s="10" t="str">
        <f t="shared" si="217"/>
        <v/>
      </c>
      <c r="Y445" s="10" t="str">
        <f t="shared" si="218"/>
        <v/>
      </c>
      <c r="Z445" s="10" t="str">
        <f t="shared" si="219"/>
        <v/>
      </c>
      <c r="AA445" s="10" t="str">
        <f t="shared" si="220"/>
        <v/>
      </c>
      <c r="AB445" s="10" t="str">
        <f t="shared" si="221"/>
        <v/>
      </c>
      <c r="AC445" s="10" t="str">
        <f t="shared" si="222"/>
        <v/>
      </c>
      <c r="AD445" s="10" t="str">
        <f t="shared" si="223"/>
        <v/>
      </c>
      <c r="AE445" s="10" t="str">
        <f t="shared" si="224"/>
        <v/>
      </c>
      <c r="AF445" s="10" t="str">
        <f t="shared" si="225"/>
        <v/>
      </c>
      <c r="AG445" s="10" t="str">
        <f t="shared" si="226"/>
        <v/>
      </c>
      <c r="AH445" s="10" t="str">
        <f t="shared" si="227"/>
        <v/>
      </c>
      <c r="AI445" s="10" t="str">
        <f>IF(OR(S445="",'4_BENCHMARK'!$C$4=""),"",ABS(S445-'4_BENCHMARK'!$C$4))</f>
        <v/>
      </c>
      <c r="AJ445" s="10" t="str">
        <f>IF(OR(T445="",'4_BENCHMARK'!$C$5=""),"",ABS(T445-'4_BENCHMARK'!$C$5))</f>
        <v/>
      </c>
      <c r="AK445" s="10" t="str">
        <f>IF(OR(U445="",'4_BENCHMARK'!$C$6=""),"",ABS(U445-'4_BENCHMARK'!$C$6))</f>
        <v/>
      </c>
      <c r="AL445" s="10" t="str">
        <f>IF(OR(V445="",'4_BENCHMARK'!$C$7=""),"",ABS(V445-'4_BENCHMARK'!$C$7))</f>
        <v/>
      </c>
      <c r="AM445" s="10" t="str">
        <f>IF(OR(W445="",'4_BENCHMARK'!$C$8=""),"",ABS(W445-'4_BENCHMARK'!$C$8))</f>
        <v/>
      </c>
      <c r="AN445" s="10" t="str">
        <f>IF(OR(X445="",'4_BENCHMARK'!$C$9=""),"",ABS(X445-'4_BENCHMARK'!$C$9))</f>
        <v/>
      </c>
      <c r="AO445" s="10" t="str">
        <f>IF(OR(Y445="",'4_BENCHMARK'!$C$10=""),"",ABS(Y445-'4_BENCHMARK'!$C$10))</f>
        <v/>
      </c>
      <c r="AP445" s="10" t="str">
        <f>IF(OR(Z445="",'4_BENCHMARK'!$C$11=""),"",ABS(Z445-'4_BENCHMARK'!$C$11))</f>
        <v/>
      </c>
      <c r="AQ445" s="13" t="str">
        <f t="shared" si="228"/>
        <v/>
      </c>
      <c r="AR445" s="10"/>
      <c r="AS445" s="36"/>
      <c r="AT445" s="13" t="str">
        <f t="shared" si="229"/>
        <v/>
      </c>
      <c r="AU445" s="1" t="str">
        <f t="shared" ref="AU445:BB445" si="328">IF(AND($I403="yes",$C403&lt;=1949,K445&lt;&gt;""),K445,"")</f>
        <v/>
      </c>
      <c r="AV445" s="1" t="str">
        <f t="shared" si="328"/>
        <v/>
      </c>
      <c r="AW445" s="1" t="str">
        <f t="shared" si="328"/>
        <v/>
      </c>
      <c r="AX445" s="1" t="str">
        <f t="shared" si="328"/>
        <v/>
      </c>
      <c r="AY445" s="1" t="str">
        <f t="shared" si="328"/>
        <v/>
      </c>
      <c r="AZ445" s="1" t="str">
        <f t="shared" si="328"/>
        <v/>
      </c>
      <c r="BA445" s="1" t="str">
        <f t="shared" si="328"/>
        <v/>
      </c>
      <c r="BB445" s="1" t="str">
        <f t="shared" si="328"/>
        <v/>
      </c>
      <c r="BC445" s="1" t="str">
        <f t="shared" ref="BC445:BJ445" si="329">IF(AND($I403="yes",$C403&gt;=2000,K445&lt;&gt;""),K445,"")</f>
        <v/>
      </c>
      <c r="BD445" s="1" t="str">
        <f t="shared" si="329"/>
        <v/>
      </c>
      <c r="BE445" s="1" t="str">
        <f t="shared" si="329"/>
        <v/>
      </c>
      <c r="BF445" s="1" t="str">
        <f t="shared" si="329"/>
        <v/>
      </c>
      <c r="BG445" s="1" t="str">
        <f t="shared" si="329"/>
        <v/>
      </c>
      <c r="BH445" s="1" t="str">
        <f t="shared" si="329"/>
        <v/>
      </c>
      <c r="BI445" s="1" t="str">
        <f t="shared" si="329"/>
        <v/>
      </c>
      <c r="BJ445" s="1" t="str">
        <f t="shared" si="329"/>
        <v/>
      </c>
    </row>
    <row r="446" ht="14.25" customHeight="1" spans="1:62">
      <c r="A446" s="10"/>
      <c r="B446" s="36"/>
      <c r="C446" s="10"/>
      <c r="D446" s="10" t="str">
        <f t="shared" si="287"/>
        <v/>
      </c>
      <c r="E446" s="36"/>
      <c r="F446" s="35"/>
      <c r="G446" s="36"/>
      <c r="H446" s="10"/>
      <c r="I446" s="10"/>
      <c r="J446" s="10"/>
      <c r="K446" s="10"/>
      <c r="L446" s="10"/>
      <c r="M446" s="10"/>
      <c r="N446" s="10"/>
      <c r="O446" s="10"/>
      <c r="P446" s="10"/>
      <c r="Q446" s="10"/>
      <c r="R446" s="10"/>
      <c r="S446" s="10" t="str">
        <f t="shared" si="212"/>
        <v/>
      </c>
      <c r="T446" s="10" t="str">
        <f t="shared" si="213"/>
        <v/>
      </c>
      <c r="U446" s="10" t="str">
        <f t="shared" si="214"/>
        <v/>
      </c>
      <c r="V446" s="10" t="str">
        <f t="shared" si="215"/>
        <v/>
      </c>
      <c r="W446" s="10" t="str">
        <f t="shared" si="216"/>
        <v/>
      </c>
      <c r="X446" s="10" t="str">
        <f t="shared" si="217"/>
        <v/>
      </c>
      <c r="Y446" s="10" t="str">
        <f t="shared" si="218"/>
        <v/>
      </c>
      <c r="Z446" s="10" t="str">
        <f t="shared" si="219"/>
        <v/>
      </c>
      <c r="AA446" s="10" t="str">
        <f t="shared" si="220"/>
        <v/>
      </c>
      <c r="AB446" s="10" t="str">
        <f t="shared" si="221"/>
        <v/>
      </c>
      <c r="AC446" s="10" t="str">
        <f t="shared" si="222"/>
        <v/>
      </c>
      <c r="AD446" s="10" t="str">
        <f t="shared" si="223"/>
        <v/>
      </c>
      <c r="AE446" s="10" t="str">
        <f t="shared" si="224"/>
        <v/>
      </c>
      <c r="AF446" s="10" t="str">
        <f t="shared" si="225"/>
        <v/>
      </c>
      <c r="AG446" s="10" t="str">
        <f t="shared" si="226"/>
        <v/>
      </c>
      <c r="AH446" s="10" t="str">
        <f t="shared" si="227"/>
        <v/>
      </c>
      <c r="AI446" s="10" t="str">
        <f>IF(OR(S446="",'4_BENCHMARK'!$C$4=""),"",ABS(S446-'4_BENCHMARK'!$C$4))</f>
        <v/>
      </c>
      <c r="AJ446" s="10" t="str">
        <f>IF(OR(T446="",'4_BENCHMARK'!$C$5=""),"",ABS(T446-'4_BENCHMARK'!$C$5))</f>
        <v/>
      </c>
      <c r="AK446" s="10" t="str">
        <f>IF(OR(U446="",'4_BENCHMARK'!$C$6=""),"",ABS(U446-'4_BENCHMARK'!$C$6))</f>
        <v/>
      </c>
      <c r="AL446" s="10" t="str">
        <f>IF(OR(V446="",'4_BENCHMARK'!$C$7=""),"",ABS(V446-'4_BENCHMARK'!$C$7))</f>
        <v/>
      </c>
      <c r="AM446" s="10" t="str">
        <f>IF(OR(W446="",'4_BENCHMARK'!$C$8=""),"",ABS(W446-'4_BENCHMARK'!$C$8))</f>
        <v/>
      </c>
      <c r="AN446" s="10" t="str">
        <f>IF(OR(X446="",'4_BENCHMARK'!$C$9=""),"",ABS(X446-'4_BENCHMARK'!$C$9))</f>
        <v/>
      </c>
      <c r="AO446" s="10" t="str">
        <f>IF(OR(Y446="",'4_BENCHMARK'!$C$10=""),"",ABS(Y446-'4_BENCHMARK'!$C$10))</f>
        <v/>
      </c>
      <c r="AP446" s="10" t="str">
        <f>IF(OR(Z446="",'4_BENCHMARK'!$C$11=""),"",ABS(Z446-'4_BENCHMARK'!$C$11))</f>
        <v/>
      </c>
      <c r="AQ446" s="13" t="str">
        <f t="shared" si="228"/>
        <v/>
      </c>
      <c r="AR446" s="10"/>
      <c r="AS446" s="36"/>
      <c r="AT446" s="13" t="str">
        <f t="shared" si="229"/>
        <v/>
      </c>
      <c r="AU446" s="1" t="str">
        <f t="shared" ref="AU446:BB446" si="330">IF(AND($I403="yes",$C403&lt;=1949,K446&lt;&gt;""),K446,"")</f>
        <v/>
      </c>
      <c r="AV446" s="1" t="str">
        <f t="shared" si="330"/>
        <v/>
      </c>
      <c r="AW446" s="1" t="str">
        <f t="shared" si="330"/>
        <v/>
      </c>
      <c r="AX446" s="1" t="str">
        <f t="shared" si="330"/>
        <v/>
      </c>
      <c r="AY446" s="1" t="str">
        <f t="shared" si="330"/>
        <v/>
      </c>
      <c r="AZ446" s="1" t="str">
        <f t="shared" si="330"/>
        <v/>
      </c>
      <c r="BA446" s="1" t="str">
        <f t="shared" si="330"/>
        <v/>
      </c>
      <c r="BB446" s="1" t="str">
        <f t="shared" si="330"/>
        <v/>
      </c>
      <c r="BC446" s="1" t="str">
        <f t="shared" ref="BC446:BJ446" si="331">IF(AND($I403="yes",$C403&gt;=2000,K446&lt;&gt;""),K446,"")</f>
        <v/>
      </c>
      <c r="BD446" s="1" t="str">
        <f t="shared" si="331"/>
        <v/>
      </c>
      <c r="BE446" s="1" t="str">
        <f t="shared" si="331"/>
        <v/>
      </c>
      <c r="BF446" s="1" t="str">
        <f t="shared" si="331"/>
        <v/>
      </c>
      <c r="BG446" s="1" t="str">
        <f t="shared" si="331"/>
        <v/>
      </c>
      <c r="BH446" s="1" t="str">
        <f t="shared" si="331"/>
        <v/>
      </c>
      <c r="BI446" s="1" t="str">
        <f t="shared" si="331"/>
        <v/>
      </c>
      <c r="BJ446" s="1" t="str">
        <f t="shared" si="331"/>
        <v/>
      </c>
    </row>
    <row r="447" ht="14.25" customHeight="1" spans="1:62">
      <c r="A447" s="10"/>
      <c r="B447" s="36"/>
      <c r="C447" s="10"/>
      <c r="D447" s="10" t="str">
        <f t="shared" si="287"/>
        <v/>
      </c>
      <c r="E447" s="36"/>
      <c r="F447" s="35"/>
      <c r="G447" s="36"/>
      <c r="H447" s="10"/>
      <c r="I447" s="10"/>
      <c r="J447" s="10"/>
      <c r="K447" s="10"/>
      <c r="L447" s="10"/>
      <c r="M447" s="10"/>
      <c r="N447" s="10"/>
      <c r="O447" s="10"/>
      <c r="P447" s="10"/>
      <c r="Q447" s="10"/>
      <c r="R447" s="10"/>
      <c r="S447" s="10" t="str">
        <f t="shared" si="212"/>
        <v/>
      </c>
      <c r="T447" s="10" t="str">
        <f t="shared" si="213"/>
        <v/>
      </c>
      <c r="U447" s="10" t="str">
        <f t="shared" si="214"/>
        <v/>
      </c>
      <c r="V447" s="10" t="str">
        <f t="shared" si="215"/>
        <v/>
      </c>
      <c r="W447" s="10" t="str">
        <f t="shared" si="216"/>
        <v/>
      </c>
      <c r="X447" s="10" t="str">
        <f t="shared" si="217"/>
        <v/>
      </c>
      <c r="Y447" s="10" t="str">
        <f t="shared" si="218"/>
        <v/>
      </c>
      <c r="Z447" s="10" t="str">
        <f t="shared" si="219"/>
        <v/>
      </c>
      <c r="AA447" s="10" t="str">
        <f t="shared" si="220"/>
        <v/>
      </c>
      <c r="AB447" s="10" t="str">
        <f t="shared" si="221"/>
        <v/>
      </c>
      <c r="AC447" s="10" t="str">
        <f t="shared" si="222"/>
        <v/>
      </c>
      <c r="AD447" s="10" t="str">
        <f t="shared" si="223"/>
        <v/>
      </c>
      <c r="AE447" s="10" t="str">
        <f t="shared" si="224"/>
        <v/>
      </c>
      <c r="AF447" s="10" t="str">
        <f t="shared" si="225"/>
        <v/>
      </c>
      <c r="AG447" s="10" t="str">
        <f t="shared" si="226"/>
        <v/>
      </c>
      <c r="AH447" s="10" t="str">
        <f t="shared" si="227"/>
        <v/>
      </c>
      <c r="AI447" s="10" t="str">
        <f>IF(OR(S447="",'4_BENCHMARK'!$C$4=""),"",ABS(S447-'4_BENCHMARK'!$C$4))</f>
        <v/>
      </c>
      <c r="AJ447" s="10" t="str">
        <f>IF(OR(T447="",'4_BENCHMARK'!$C$5=""),"",ABS(T447-'4_BENCHMARK'!$C$5))</f>
        <v/>
      </c>
      <c r="AK447" s="10" t="str">
        <f>IF(OR(U447="",'4_BENCHMARK'!$C$6=""),"",ABS(U447-'4_BENCHMARK'!$C$6))</f>
        <v/>
      </c>
      <c r="AL447" s="10" t="str">
        <f>IF(OR(V447="",'4_BENCHMARK'!$C$7=""),"",ABS(V447-'4_BENCHMARK'!$C$7))</f>
        <v/>
      </c>
      <c r="AM447" s="10" t="str">
        <f>IF(OR(W447="",'4_BENCHMARK'!$C$8=""),"",ABS(W447-'4_BENCHMARK'!$C$8))</f>
        <v/>
      </c>
      <c r="AN447" s="10" t="str">
        <f>IF(OR(X447="",'4_BENCHMARK'!$C$9=""),"",ABS(X447-'4_BENCHMARK'!$C$9))</f>
        <v/>
      </c>
      <c r="AO447" s="10" t="str">
        <f>IF(OR(Y447="",'4_BENCHMARK'!$C$10=""),"",ABS(Y447-'4_BENCHMARK'!$C$10))</f>
        <v/>
      </c>
      <c r="AP447" s="10" t="str">
        <f>IF(OR(Z447="",'4_BENCHMARK'!$C$11=""),"",ABS(Z447-'4_BENCHMARK'!$C$11))</f>
        <v/>
      </c>
      <c r="AQ447" s="13" t="str">
        <f t="shared" si="228"/>
        <v/>
      </c>
      <c r="AR447" s="10"/>
      <c r="AS447" s="36"/>
      <c r="AT447" s="13" t="str">
        <f t="shared" si="229"/>
        <v/>
      </c>
      <c r="AU447" s="1" t="str">
        <f t="shared" ref="AU447:BB447" si="332">IF(AND($I403="yes",$C403&lt;=1949,K447&lt;&gt;""),K447,"")</f>
        <v/>
      </c>
      <c r="AV447" s="1" t="str">
        <f t="shared" si="332"/>
        <v/>
      </c>
      <c r="AW447" s="1" t="str">
        <f t="shared" si="332"/>
        <v/>
      </c>
      <c r="AX447" s="1" t="str">
        <f t="shared" si="332"/>
        <v/>
      </c>
      <c r="AY447" s="1" t="str">
        <f t="shared" si="332"/>
        <v/>
      </c>
      <c r="AZ447" s="1" t="str">
        <f t="shared" si="332"/>
        <v/>
      </c>
      <c r="BA447" s="1" t="str">
        <f t="shared" si="332"/>
        <v/>
      </c>
      <c r="BB447" s="1" t="str">
        <f t="shared" si="332"/>
        <v/>
      </c>
      <c r="BC447" s="1" t="str">
        <f t="shared" ref="BC447:BJ447" si="333">IF(AND($I403="yes",$C403&gt;=2000,K447&lt;&gt;""),K447,"")</f>
        <v/>
      </c>
      <c r="BD447" s="1" t="str">
        <f t="shared" si="333"/>
        <v/>
      </c>
      <c r="BE447" s="1" t="str">
        <f t="shared" si="333"/>
        <v/>
      </c>
      <c r="BF447" s="1" t="str">
        <f t="shared" si="333"/>
        <v/>
      </c>
      <c r="BG447" s="1" t="str">
        <f t="shared" si="333"/>
        <v/>
      </c>
      <c r="BH447" s="1" t="str">
        <f t="shared" si="333"/>
        <v/>
      </c>
      <c r="BI447" s="1" t="str">
        <f t="shared" si="333"/>
        <v/>
      </c>
      <c r="BJ447" s="1" t="str">
        <f t="shared" si="333"/>
        <v/>
      </c>
    </row>
    <row r="448" ht="14.25" customHeight="1" spans="1:62">
      <c r="A448" s="10"/>
      <c r="B448" s="36"/>
      <c r="C448" s="10"/>
      <c r="D448" s="10" t="str">
        <f t="shared" si="287"/>
        <v/>
      </c>
      <c r="E448" s="36"/>
      <c r="F448" s="35"/>
      <c r="G448" s="36"/>
      <c r="H448" s="10"/>
      <c r="I448" s="10"/>
      <c r="J448" s="10"/>
      <c r="K448" s="10"/>
      <c r="L448" s="10"/>
      <c r="M448" s="10"/>
      <c r="N448" s="10"/>
      <c r="O448" s="10"/>
      <c r="P448" s="10"/>
      <c r="Q448" s="10"/>
      <c r="R448" s="10"/>
      <c r="S448" s="10" t="str">
        <f t="shared" si="212"/>
        <v/>
      </c>
      <c r="T448" s="10" t="str">
        <f t="shared" si="213"/>
        <v/>
      </c>
      <c r="U448" s="10" t="str">
        <f t="shared" si="214"/>
        <v/>
      </c>
      <c r="V448" s="10" t="str">
        <f t="shared" si="215"/>
        <v/>
      </c>
      <c r="W448" s="10" t="str">
        <f t="shared" si="216"/>
        <v/>
      </c>
      <c r="X448" s="10" t="str">
        <f t="shared" si="217"/>
        <v/>
      </c>
      <c r="Y448" s="10" t="str">
        <f t="shared" si="218"/>
        <v/>
      </c>
      <c r="Z448" s="10" t="str">
        <f t="shared" si="219"/>
        <v/>
      </c>
      <c r="AA448" s="10" t="str">
        <f t="shared" si="220"/>
        <v/>
      </c>
      <c r="AB448" s="10" t="str">
        <f t="shared" si="221"/>
        <v/>
      </c>
      <c r="AC448" s="10" t="str">
        <f t="shared" si="222"/>
        <v/>
      </c>
      <c r="AD448" s="10" t="str">
        <f t="shared" si="223"/>
        <v/>
      </c>
      <c r="AE448" s="10" t="str">
        <f t="shared" si="224"/>
        <v/>
      </c>
      <c r="AF448" s="10" t="str">
        <f t="shared" si="225"/>
        <v/>
      </c>
      <c r="AG448" s="10" t="str">
        <f t="shared" si="226"/>
        <v/>
      </c>
      <c r="AH448" s="10" t="str">
        <f t="shared" si="227"/>
        <v/>
      </c>
      <c r="AI448" s="10" t="str">
        <f>IF(OR(S448="",'4_BENCHMARK'!$C$4=""),"",ABS(S448-'4_BENCHMARK'!$C$4))</f>
        <v/>
      </c>
      <c r="AJ448" s="10" t="str">
        <f>IF(OR(T448="",'4_BENCHMARK'!$C$5=""),"",ABS(T448-'4_BENCHMARK'!$C$5))</f>
        <v/>
      </c>
      <c r="AK448" s="10" t="str">
        <f>IF(OR(U448="",'4_BENCHMARK'!$C$6=""),"",ABS(U448-'4_BENCHMARK'!$C$6))</f>
        <v/>
      </c>
      <c r="AL448" s="10" t="str">
        <f>IF(OR(V448="",'4_BENCHMARK'!$C$7=""),"",ABS(V448-'4_BENCHMARK'!$C$7))</f>
        <v/>
      </c>
      <c r="AM448" s="10" t="str">
        <f>IF(OR(W448="",'4_BENCHMARK'!$C$8=""),"",ABS(W448-'4_BENCHMARK'!$C$8))</f>
        <v/>
      </c>
      <c r="AN448" s="10" t="str">
        <f>IF(OR(X448="",'4_BENCHMARK'!$C$9=""),"",ABS(X448-'4_BENCHMARK'!$C$9))</f>
        <v/>
      </c>
      <c r="AO448" s="10" t="str">
        <f>IF(OR(Y448="",'4_BENCHMARK'!$C$10=""),"",ABS(Y448-'4_BENCHMARK'!$C$10))</f>
        <v/>
      </c>
      <c r="AP448" s="10" t="str">
        <f>IF(OR(Z448="",'4_BENCHMARK'!$C$11=""),"",ABS(Z448-'4_BENCHMARK'!$C$11))</f>
        <v/>
      </c>
      <c r="AQ448" s="13" t="str">
        <f t="shared" si="228"/>
        <v/>
      </c>
      <c r="AR448" s="10"/>
      <c r="AS448" s="36"/>
      <c r="AT448" s="13" t="str">
        <f t="shared" si="229"/>
        <v/>
      </c>
      <c r="AU448" s="1" t="str">
        <f t="shared" ref="AU448:BB448" si="334">IF(AND($I403="yes",$C403&lt;=1949,K448&lt;&gt;""),K448,"")</f>
        <v/>
      </c>
      <c r="AV448" s="1" t="str">
        <f t="shared" si="334"/>
        <v/>
      </c>
      <c r="AW448" s="1" t="str">
        <f t="shared" si="334"/>
        <v/>
      </c>
      <c r="AX448" s="1" t="str">
        <f t="shared" si="334"/>
        <v/>
      </c>
      <c r="AY448" s="1" t="str">
        <f t="shared" si="334"/>
        <v/>
      </c>
      <c r="AZ448" s="1" t="str">
        <f t="shared" si="334"/>
        <v/>
      </c>
      <c r="BA448" s="1" t="str">
        <f t="shared" si="334"/>
        <v/>
      </c>
      <c r="BB448" s="1" t="str">
        <f t="shared" si="334"/>
        <v/>
      </c>
      <c r="BC448" s="1" t="str">
        <f t="shared" ref="BC448:BJ448" si="335">IF(AND($I403="yes",$C403&gt;=2000,K448&lt;&gt;""),K448,"")</f>
        <v/>
      </c>
      <c r="BD448" s="1" t="str">
        <f t="shared" si="335"/>
        <v/>
      </c>
      <c r="BE448" s="1" t="str">
        <f t="shared" si="335"/>
        <v/>
      </c>
      <c r="BF448" s="1" t="str">
        <f t="shared" si="335"/>
        <v/>
      </c>
      <c r="BG448" s="1" t="str">
        <f t="shared" si="335"/>
        <v/>
      </c>
      <c r="BH448" s="1" t="str">
        <f t="shared" si="335"/>
        <v/>
      </c>
      <c r="BI448" s="1" t="str">
        <f t="shared" si="335"/>
        <v/>
      </c>
      <c r="BJ448" s="1" t="str">
        <f t="shared" si="335"/>
        <v/>
      </c>
    </row>
    <row r="449" ht="14.25" customHeight="1" spans="1:62">
      <c r="A449" s="10"/>
      <c r="B449" s="36"/>
      <c r="C449" s="10"/>
      <c r="D449" s="10" t="str">
        <f t="shared" si="287"/>
        <v/>
      </c>
      <c r="E449" s="36"/>
      <c r="F449" s="35"/>
      <c r="G449" s="36"/>
      <c r="H449" s="10"/>
      <c r="I449" s="10"/>
      <c r="J449" s="10"/>
      <c r="K449" s="10"/>
      <c r="L449" s="10"/>
      <c r="M449" s="10"/>
      <c r="N449" s="10"/>
      <c r="O449" s="10"/>
      <c r="P449" s="10"/>
      <c r="Q449" s="10"/>
      <c r="R449" s="10"/>
      <c r="S449" s="10" t="str">
        <f t="shared" si="212"/>
        <v/>
      </c>
      <c r="T449" s="10" t="str">
        <f t="shared" si="213"/>
        <v/>
      </c>
      <c r="U449" s="10" t="str">
        <f t="shared" si="214"/>
        <v/>
      </c>
      <c r="V449" s="10" t="str">
        <f t="shared" si="215"/>
        <v/>
      </c>
      <c r="W449" s="10" t="str">
        <f t="shared" si="216"/>
        <v/>
      </c>
      <c r="X449" s="10" t="str">
        <f t="shared" si="217"/>
        <v/>
      </c>
      <c r="Y449" s="10" t="str">
        <f t="shared" si="218"/>
        <v/>
      </c>
      <c r="Z449" s="10" t="str">
        <f t="shared" si="219"/>
        <v/>
      </c>
      <c r="AA449" s="10" t="str">
        <f t="shared" si="220"/>
        <v/>
      </c>
      <c r="AB449" s="10" t="str">
        <f t="shared" si="221"/>
        <v/>
      </c>
      <c r="AC449" s="10" t="str">
        <f t="shared" si="222"/>
        <v/>
      </c>
      <c r="AD449" s="10" t="str">
        <f t="shared" si="223"/>
        <v/>
      </c>
      <c r="AE449" s="10" t="str">
        <f t="shared" si="224"/>
        <v/>
      </c>
      <c r="AF449" s="10" t="str">
        <f t="shared" si="225"/>
        <v/>
      </c>
      <c r="AG449" s="10" t="str">
        <f t="shared" si="226"/>
        <v/>
      </c>
      <c r="AH449" s="10" t="str">
        <f t="shared" si="227"/>
        <v/>
      </c>
      <c r="AI449" s="10" t="str">
        <f>IF(OR(S449="",'4_BENCHMARK'!$C$4=""),"",ABS(S449-'4_BENCHMARK'!$C$4))</f>
        <v/>
      </c>
      <c r="AJ449" s="10" t="str">
        <f>IF(OR(T449="",'4_BENCHMARK'!$C$5=""),"",ABS(T449-'4_BENCHMARK'!$C$5))</f>
        <v/>
      </c>
      <c r="AK449" s="10" t="str">
        <f>IF(OR(U449="",'4_BENCHMARK'!$C$6=""),"",ABS(U449-'4_BENCHMARK'!$C$6))</f>
        <v/>
      </c>
      <c r="AL449" s="10" t="str">
        <f>IF(OR(V449="",'4_BENCHMARK'!$C$7=""),"",ABS(V449-'4_BENCHMARK'!$C$7))</f>
        <v/>
      </c>
      <c r="AM449" s="10" t="str">
        <f>IF(OR(W449="",'4_BENCHMARK'!$C$8=""),"",ABS(W449-'4_BENCHMARK'!$C$8))</f>
        <v/>
      </c>
      <c r="AN449" s="10" t="str">
        <f>IF(OR(X449="",'4_BENCHMARK'!$C$9=""),"",ABS(X449-'4_BENCHMARK'!$C$9))</f>
        <v/>
      </c>
      <c r="AO449" s="10" t="str">
        <f>IF(OR(Y449="",'4_BENCHMARK'!$C$10=""),"",ABS(Y449-'4_BENCHMARK'!$C$10))</f>
        <v/>
      </c>
      <c r="AP449" s="10" t="str">
        <f>IF(OR(Z449="",'4_BENCHMARK'!$C$11=""),"",ABS(Z449-'4_BENCHMARK'!$C$11))</f>
        <v/>
      </c>
      <c r="AQ449" s="13" t="str">
        <f t="shared" si="228"/>
        <v/>
      </c>
      <c r="AR449" s="10"/>
      <c r="AS449" s="36"/>
      <c r="AT449" s="13" t="str">
        <f t="shared" si="229"/>
        <v/>
      </c>
      <c r="AU449" s="1" t="str">
        <f t="shared" ref="AU449:BB449" si="336">IF(AND($I403="yes",$C403&lt;=1949,K449&lt;&gt;""),K449,"")</f>
        <v/>
      </c>
      <c r="AV449" s="1" t="str">
        <f t="shared" si="336"/>
        <v/>
      </c>
      <c r="AW449" s="1" t="str">
        <f t="shared" si="336"/>
        <v/>
      </c>
      <c r="AX449" s="1" t="str">
        <f t="shared" si="336"/>
        <v/>
      </c>
      <c r="AY449" s="1" t="str">
        <f t="shared" si="336"/>
        <v/>
      </c>
      <c r="AZ449" s="1" t="str">
        <f t="shared" si="336"/>
        <v/>
      </c>
      <c r="BA449" s="1" t="str">
        <f t="shared" si="336"/>
        <v/>
      </c>
      <c r="BB449" s="1" t="str">
        <f t="shared" si="336"/>
        <v/>
      </c>
      <c r="BC449" s="1" t="str">
        <f t="shared" ref="BC449:BJ449" si="337">IF(AND($I403="yes",$C403&gt;=2000,K449&lt;&gt;""),K449,"")</f>
        <v/>
      </c>
      <c r="BD449" s="1" t="str">
        <f t="shared" si="337"/>
        <v/>
      </c>
      <c r="BE449" s="1" t="str">
        <f t="shared" si="337"/>
        <v/>
      </c>
      <c r="BF449" s="1" t="str">
        <f t="shared" si="337"/>
        <v/>
      </c>
      <c r="BG449" s="1" t="str">
        <f t="shared" si="337"/>
        <v/>
      </c>
      <c r="BH449" s="1" t="str">
        <f t="shared" si="337"/>
        <v/>
      </c>
      <c r="BI449" s="1" t="str">
        <f t="shared" si="337"/>
        <v/>
      </c>
      <c r="BJ449" s="1" t="str">
        <f t="shared" si="337"/>
        <v/>
      </c>
    </row>
    <row r="450" ht="14.25" customHeight="1" spans="1:62">
      <c r="A450" s="10"/>
      <c r="B450" s="36"/>
      <c r="C450" s="10"/>
      <c r="D450" s="10" t="str">
        <f t="shared" si="287"/>
        <v/>
      </c>
      <c r="E450" s="36"/>
      <c r="F450" s="35"/>
      <c r="G450" s="36"/>
      <c r="H450" s="10"/>
      <c r="I450" s="10"/>
      <c r="J450" s="10"/>
      <c r="K450" s="10"/>
      <c r="L450" s="10"/>
      <c r="M450" s="10"/>
      <c r="N450" s="10"/>
      <c r="O450" s="10"/>
      <c r="P450" s="10"/>
      <c r="Q450" s="10"/>
      <c r="R450" s="10"/>
      <c r="S450" s="10" t="str">
        <f t="shared" si="212"/>
        <v/>
      </c>
      <c r="T450" s="10" t="str">
        <f t="shared" si="213"/>
        <v/>
      </c>
      <c r="U450" s="10" t="str">
        <f t="shared" si="214"/>
        <v/>
      </c>
      <c r="V450" s="10" t="str">
        <f t="shared" si="215"/>
        <v/>
      </c>
      <c r="W450" s="10" t="str">
        <f t="shared" si="216"/>
        <v/>
      </c>
      <c r="X450" s="10" t="str">
        <f t="shared" si="217"/>
        <v/>
      </c>
      <c r="Y450" s="10" t="str">
        <f t="shared" si="218"/>
        <v/>
      </c>
      <c r="Z450" s="10" t="str">
        <f t="shared" si="219"/>
        <v/>
      </c>
      <c r="AA450" s="10" t="str">
        <f t="shared" si="220"/>
        <v/>
      </c>
      <c r="AB450" s="10" t="str">
        <f t="shared" si="221"/>
        <v/>
      </c>
      <c r="AC450" s="10" t="str">
        <f t="shared" si="222"/>
        <v/>
      </c>
      <c r="AD450" s="10" t="str">
        <f t="shared" si="223"/>
        <v/>
      </c>
      <c r="AE450" s="10" t="str">
        <f t="shared" si="224"/>
        <v/>
      </c>
      <c r="AF450" s="10" t="str">
        <f t="shared" si="225"/>
        <v/>
      </c>
      <c r="AG450" s="10" t="str">
        <f t="shared" si="226"/>
        <v/>
      </c>
      <c r="AH450" s="10" t="str">
        <f t="shared" si="227"/>
        <v/>
      </c>
      <c r="AI450" s="10" t="str">
        <f>IF(OR(S450="",'4_BENCHMARK'!$C$4=""),"",ABS(S450-'4_BENCHMARK'!$C$4))</f>
        <v/>
      </c>
      <c r="AJ450" s="10" t="str">
        <f>IF(OR(T450="",'4_BENCHMARK'!$C$5=""),"",ABS(T450-'4_BENCHMARK'!$C$5))</f>
        <v/>
      </c>
      <c r="AK450" s="10" t="str">
        <f>IF(OR(U450="",'4_BENCHMARK'!$C$6=""),"",ABS(U450-'4_BENCHMARK'!$C$6))</f>
        <v/>
      </c>
      <c r="AL450" s="10" t="str">
        <f>IF(OR(V450="",'4_BENCHMARK'!$C$7=""),"",ABS(V450-'4_BENCHMARK'!$C$7))</f>
        <v/>
      </c>
      <c r="AM450" s="10" t="str">
        <f>IF(OR(W450="",'4_BENCHMARK'!$C$8=""),"",ABS(W450-'4_BENCHMARK'!$C$8))</f>
        <v/>
      </c>
      <c r="AN450" s="10" t="str">
        <f>IF(OR(X450="",'4_BENCHMARK'!$C$9=""),"",ABS(X450-'4_BENCHMARK'!$C$9))</f>
        <v/>
      </c>
      <c r="AO450" s="10" t="str">
        <f>IF(OR(Y450="",'4_BENCHMARK'!$C$10=""),"",ABS(Y450-'4_BENCHMARK'!$C$10))</f>
        <v/>
      </c>
      <c r="AP450" s="10" t="str">
        <f>IF(OR(Z450="",'4_BENCHMARK'!$C$11=""),"",ABS(Z450-'4_BENCHMARK'!$C$11))</f>
        <v/>
      </c>
      <c r="AQ450" s="13" t="str">
        <f t="shared" si="228"/>
        <v/>
      </c>
      <c r="AR450" s="10"/>
      <c r="AS450" s="36"/>
      <c r="AT450" s="13" t="str">
        <f t="shared" si="229"/>
        <v/>
      </c>
      <c r="AU450" s="1" t="str">
        <f t="shared" ref="AU450:BB450" si="338">IF(AND($I403="yes",$C403&lt;=1949,K450&lt;&gt;""),K450,"")</f>
        <v/>
      </c>
      <c r="AV450" s="1" t="str">
        <f t="shared" si="338"/>
        <v/>
      </c>
      <c r="AW450" s="1" t="str">
        <f t="shared" si="338"/>
        <v/>
      </c>
      <c r="AX450" s="1" t="str">
        <f t="shared" si="338"/>
        <v/>
      </c>
      <c r="AY450" s="1" t="str">
        <f t="shared" si="338"/>
        <v/>
      </c>
      <c r="AZ450" s="1" t="str">
        <f t="shared" si="338"/>
        <v/>
      </c>
      <c r="BA450" s="1" t="str">
        <f t="shared" si="338"/>
        <v/>
      </c>
      <c r="BB450" s="1" t="str">
        <f t="shared" si="338"/>
        <v/>
      </c>
      <c r="BC450" s="1" t="str">
        <f t="shared" ref="BC450:BJ450" si="339">IF(AND($I403="yes",$C403&gt;=2000,K450&lt;&gt;""),K450,"")</f>
        <v/>
      </c>
      <c r="BD450" s="1" t="str">
        <f t="shared" si="339"/>
        <v/>
      </c>
      <c r="BE450" s="1" t="str">
        <f t="shared" si="339"/>
        <v/>
      </c>
      <c r="BF450" s="1" t="str">
        <f t="shared" si="339"/>
        <v/>
      </c>
      <c r="BG450" s="1" t="str">
        <f t="shared" si="339"/>
        <v/>
      </c>
      <c r="BH450" s="1" t="str">
        <f t="shared" si="339"/>
        <v/>
      </c>
      <c r="BI450" s="1" t="str">
        <f t="shared" si="339"/>
        <v/>
      </c>
      <c r="BJ450" s="1" t="str">
        <f t="shared" si="339"/>
        <v/>
      </c>
    </row>
    <row r="451" ht="14.25" customHeight="1" spans="1:62">
      <c r="A451" s="10"/>
      <c r="B451" s="36"/>
      <c r="C451" s="10"/>
      <c r="D451" s="10" t="str">
        <f t="shared" si="287"/>
        <v/>
      </c>
      <c r="E451" s="36"/>
      <c r="F451" s="35"/>
      <c r="G451" s="36"/>
      <c r="H451" s="10"/>
      <c r="I451" s="10"/>
      <c r="J451" s="10"/>
      <c r="K451" s="10"/>
      <c r="L451" s="10"/>
      <c r="M451" s="10"/>
      <c r="N451" s="10"/>
      <c r="O451" s="10"/>
      <c r="P451" s="10"/>
      <c r="Q451" s="10"/>
      <c r="R451" s="10"/>
      <c r="S451" s="10" t="str">
        <f t="shared" si="212"/>
        <v/>
      </c>
      <c r="T451" s="10" t="str">
        <f t="shared" si="213"/>
        <v/>
      </c>
      <c r="U451" s="10" t="str">
        <f t="shared" si="214"/>
        <v/>
      </c>
      <c r="V451" s="10" t="str">
        <f t="shared" si="215"/>
        <v/>
      </c>
      <c r="W451" s="10" t="str">
        <f t="shared" si="216"/>
        <v/>
      </c>
      <c r="X451" s="10" t="str">
        <f t="shared" si="217"/>
        <v/>
      </c>
      <c r="Y451" s="10" t="str">
        <f t="shared" si="218"/>
        <v/>
      </c>
      <c r="Z451" s="10" t="str">
        <f t="shared" si="219"/>
        <v/>
      </c>
      <c r="AA451" s="10" t="str">
        <f t="shared" si="220"/>
        <v/>
      </c>
      <c r="AB451" s="10" t="str">
        <f t="shared" si="221"/>
        <v/>
      </c>
      <c r="AC451" s="10" t="str">
        <f t="shared" si="222"/>
        <v/>
      </c>
      <c r="AD451" s="10" t="str">
        <f t="shared" si="223"/>
        <v/>
      </c>
      <c r="AE451" s="10" t="str">
        <f t="shared" si="224"/>
        <v/>
      </c>
      <c r="AF451" s="10" t="str">
        <f t="shared" si="225"/>
        <v/>
      </c>
      <c r="AG451" s="10" t="str">
        <f t="shared" si="226"/>
        <v/>
      </c>
      <c r="AH451" s="10" t="str">
        <f t="shared" si="227"/>
        <v/>
      </c>
      <c r="AI451" s="10" t="str">
        <f>IF(OR(S451="",'4_BENCHMARK'!$C$4=""),"",ABS(S451-'4_BENCHMARK'!$C$4))</f>
        <v/>
      </c>
      <c r="AJ451" s="10" t="str">
        <f>IF(OR(T451="",'4_BENCHMARK'!$C$5=""),"",ABS(T451-'4_BENCHMARK'!$C$5))</f>
        <v/>
      </c>
      <c r="AK451" s="10" t="str">
        <f>IF(OR(U451="",'4_BENCHMARK'!$C$6=""),"",ABS(U451-'4_BENCHMARK'!$C$6))</f>
        <v/>
      </c>
      <c r="AL451" s="10" t="str">
        <f>IF(OR(V451="",'4_BENCHMARK'!$C$7=""),"",ABS(V451-'4_BENCHMARK'!$C$7))</f>
        <v/>
      </c>
      <c r="AM451" s="10" t="str">
        <f>IF(OR(W451="",'4_BENCHMARK'!$C$8=""),"",ABS(W451-'4_BENCHMARK'!$C$8))</f>
        <v/>
      </c>
      <c r="AN451" s="10" t="str">
        <f>IF(OR(X451="",'4_BENCHMARK'!$C$9=""),"",ABS(X451-'4_BENCHMARK'!$C$9))</f>
        <v/>
      </c>
      <c r="AO451" s="10" t="str">
        <f>IF(OR(Y451="",'4_BENCHMARK'!$C$10=""),"",ABS(Y451-'4_BENCHMARK'!$C$10))</f>
        <v/>
      </c>
      <c r="AP451" s="10" t="str">
        <f>IF(OR(Z451="",'4_BENCHMARK'!$C$11=""),"",ABS(Z451-'4_BENCHMARK'!$C$11))</f>
        <v/>
      </c>
      <c r="AQ451" s="13" t="str">
        <f t="shared" si="228"/>
        <v/>
      </c>
      <c r="AR451" s="10"/>
      <c r="AS451" s="36"/>
      <c r="AT451" s="13" t="str">
        <f t="shared" si="229"/>
        <v/>
      </c>
      <c r="AU451" s="1" t="str">
        <f t="shared" ref="AU451:BB451" si="340">IF(AND($I403="yes",$C403&lt;=1949,K451&lt;&gt;""),K451,"")</f>
        <v/>
      </c>
      <c r="AV451" s="1" t="str">
        <f t="shared" si="340"/>
        <v/>
      </c>
      <c r="AW451" s="1" t="str">
        <f t="shared" si="340"/>
        <v/>
      </c>
      <c r="AX451" s="1" t="str">
        <f t="shared" si="340"/>
        <v/>
      </c>
      <c r="AY451" s="1" t="str">
        <f t="shared" si="340"/>
        <v/>
      </c>
      <c r="AZ451" s="1" t="str">
        <f t="shared" si="340"/>
        <v/>
      </c>
      <c r="BA451" s="1" t="str">
        <f t="shared" si="340"/>
        <v/>
      </c>
      <c r="BB451" s="1" t="str">
        <f t="shared" si="340"/>
        <v/>
      </c>
      <c r="BC451" s="1" t="str">
        <f t="shared" ref="BC451:BJ451" si="341">IF(AND($I403="yes",$C403&gt;=2000,K451&lt;&gt;""),K451,"")</f>
        <v/>
      </c>
      <c r="BD451" s="1" t="str">
        <f t="shared" si="341"/>
        <v/>
      </c>
      <c r="BE451" s="1" t="str">
        <f t="shared" si="341"/>
        <v/>
      </c>
      <c r="BF451" s="1" t="str">
        <f t="shared" si="341"/>
        <v/>
      </c>
      <c r="BG451" s="1" t="str">
        <f t="shared" si="341"/>
        <v/>
      </c>
      <c r="BH451" s="1" t="str">
        <f t="shared" si="341"/>
        <v/>
      </c>
      <c r="BI451" s="1" t="str">
        <f t="shared" si="341"/>
        <v/>
      </c>
      <c r="BJ451" s="1" t="str">
        <f t="shared" si="341"/>
        <v/>
      </c>
    </row>
    <row r="452" ht="14.25" customHeight="1" spans="1:62">
      <c r="A452" s="10"/>
      <c r="B452" s="36"/>
      <c r="C452" s="10"/>
      <c r="D452" s="10" t="str">
        <f t="shared" si="287"/>
        <v/>
      </c>
      <c r="E452" s="36"/>
      <c r="F452" s="35"/>
      <c r="G452" s="36"/>
      <c r="H452" s="10"/>
      <c r="I452" s="10"/>
      <c r="J452" s="10"/>
      <c r="K452" s="10"/>
      <c r="L452" s="10"/>
      <c r="M452" s="10"/>
      <c r="N452" s="10"/>
      <c r="O452" s="10"/>
      <c r="P452" s="10"/>
      <c r="Q452" s="10"/>
      <c r="R452" s="10"/>
      <c r="S452" s="10" t="str">
        <f t="shared" si="212"/>
        <v/>
      </c>
      <c r="T452" s="10" t="str">
        <f t="shared" si="213"/>
        <v/>
      </c>
      <c r="U452" s="10" t="str">
        <f t="shared" si="214"/>
        <v/>
      </c>
      <c r="V452" s="10" t="str">
        <f t="shared" si="215"/>
        <v/>
      </c>
      <c r="W452" s="10" t="str">
        <f t="shared" si="216"/>
        <v/>
      </c>
      <c r="X452" s="10" t="str">
        <f t="shared" si="217"/>
        <v/>
      </c>
      <c r="Y452" s="10" t="str">
        <f t="shared" si="218"/>
        <v/>
      </c>
      <c r="Z452" s="10" t="str">
        <f t="shared" si="219"/>
        <v/>
      </c>
      <c r="AA452" s="10" t="str">
        <f t="shared" si="220"/>
        <v/>
      </c>
      <c r="AB452" s="10" t="str">
        <f t="shared" si="221"/>
        <v/>
      </c>
      <c r="AC452" s="10" t="str">
        <f t="shared" si="222"/>
        <v/>
      </c>
      <c r="AD452" s="10" t="str">
        <f t="shared" si="223"/>
        <v/>
      </c>
      <c r="AE452" s="10" t="str">
        <f t="shared" si="224"/>
        <v/>
      </c>
      <c r="AF452" s="10" t="str">
        <f t="shared" si="225"/>
        <v/>
      </c>
      <c r="AG452" s="10" t="str">
        <f t="shared" si="226"/>
        <v/>
      </c>
      <c r="AH452" s="10" t="str">
        <f t="shared" si="227"/>
        <v/>
      </c>
      <c r="AI452" s="10" t="str">
        <f>IF(OR(S452="",'4_BENCHMARK'!$C$4=""),"",ABS(S452-'4_BENCHMARK'!$C$4))</f>
        <v/>
      </c>
      <c r="AJ452" s="10" t="str">
        <f>IF(OR(T452="",'4_BENCHMARK'!$C$5=""),"",ABS(T452-'4_BENCHMARK'!$C$5))</f>
        <v/>
      </c>
      <c r="AK452" s="10" t="str">
        <f>IF(OR(U452="",'4_BENCHMARK'!$C$6=""),"",ABS(U452-'4_BENCHMARK'!$C$6))</f>
        <v/>
      </c>
      <c r="AL452" s="10" t="str">
        <f>IF(OR(V452="",'4_BENCHMARK'!$C$7=""),"",ABS(V452-'4_BENCHMARK'!$C$7))</f>
        <v/>
      </c>
      <c r="AM452" s="10" t="str">
        <f>IF(OR(W452="",'4_BENCHMARK'!$C$8=""),"",ABS(W452-'4_BENCHMARK'!$C$8))</f>
        <v/>
      </c>
      <c r="AN452" s="10" t="str">
        <f>IF(OR(X452="",'4_BENCHMARK'!$C$9=""),"",ABS(X452-'4_BENCHMARK'!$C$9))</f>
        <v/>
      </c>
      <c r="AO452" s="10" t="str">
        <f>IF(OR(Y452="",'4_BENCHMARK'!$C$10=""),"",ABS(Y452-'4_BENCHMARK'!$C$10))</f>
        <v/>
      </c>
      <c r="AP452" s="10" t="str">
        <f>IF(OR(Z452="",'4_BENCHMARK'!$C$11=""),"",ABS(Z452-'4_BENCHMARK'!$C$11))</f>
        <v/>
      </c>
      <c r="AQ452" s="13" t="str">
        <f t="shared" si="228"/>
        <v/>
      </c>
      <c r="AR452" s="10"/>
      <c r="AS452" s="36"/>
      <c r="AT452" s="13" t="str">
        <f t="shared" si="229"/>
        <v/>
      </c>
      <c r="AU452" s="1" t="str">
        <f t="shared" ref="AU452:BB452" si="342">IF(AND($I403="yes",$C403&lt;=1949,K452&lt;&gt;""),K452,"")</f>
        <v/>
      </c>
      <c r="AV452" s="1" t="str">
        <f t="shared" si="342"/>
        <v/>
      </c>
      <c r="AW452" s="1" t="str">
        <f t="shared" si="342"/>
        <v/>
      </c>
      <c r="AX452" s="1" t="str">
        <f t="shared" si="342"/>
        <v/>
      </c>
      <c r="AY452" s="1" t="str">
        <f t="shared" si="342"/>
        <v/>
      </c>
      <c r="AZ452" s="1" t="str">
        <f t="shared" si="342"/>
        <v/>
      </c>
      <c r="BA452" s="1" t="str">
        <f t="shared" si="342"/>
        <v/>
      </c>
      <c r="BB452" s="1" t="str">
        <f t="shared" si="342"/>
        <v/>
      </c>
      <c r="BC452" s="1" t="str">
        <f t="shared" ref="BC452:BJ452" si="343">IF(AND($I403="yes",$C403&gt;=2000,K452&lt;&gt;""),K452,"")</f>
        <v/>
      </c>
      <c r="BD452" s="1" t="str">
        <f t="shared" si="343"/>
        <v/>
      </c>
      <c r="BE452" s="1" t="str">
        <f t="shared" si="343"/>
        <v/>
      </c>
      <c r="BF452" s="1" t="str">
        <f t="shared" si="343"/>
        <v/>
      </c>
      <c r="BG452" s="1" t="str">
        <f t="shared" si="343"/>
        <v/>
      </c>
      <c r="BH452" s="1" t="str">
        <f t="shared" si="343"/>
        <v/>
      </c>
      <c r="BI452" s="1" t="str">
        <f t="shared" si="343"/>
        <v/>
      </c>
      <c r="BJ452" s="1" t="str">
        <f t="shared" si="343"/>
        <v/>
      </c>
    </row>
    <row r="453" ht="14.25" customHeight="1" spans="1:62">
      <c r="A453" s="10"/>
      <c r="B453" s="36"/>
      <c r="C453" s="10"/>
      <c r="D453" s="10" t="str">
        <f t="shared" si="287"/>
        <v/>
      </c>
      <c r="E453" s="36"/>
      <c r="F453" s="35"/>
      <c r="G453" s="36"/>
      <c r="H453" s="10"/>
      <c r="I453" s="10"/>
      <c r="J453" s="10"/>
      <c r="K453" s="10"/>
      <c r="L453" s="10"/>
      <c r="M453" s="10"/>
      <c r="N453" s="10"/>
      <c r="O453" s="10"/>
      <c r="P453" s="10"/>
      <c r="Q453" s="10"/>
      <c r="R453" s="10"/>
      <c r="S453" s="10" t="str">
        <f t="shared" ref="S453:S464" si="344">IF(K453="","",(K453-1)/4)</f>
        <v/>
      </c>
      <c r="T453" s="10" t="str">
        <f t="shared" ref="T453:T464" si="345">IF(L453="","",(L453-1)/4)</f>
        <v/>
      </c>
      <c r="U453" s="10" t="str">
        <f t="shared" ref="U453:U464" si="346">IF(M453="","",(M453-1)/4)</f>
        <v/>
      </c>
      <c r="V453" s="10" t="str">
        <f t="shared" ref="V453:V464" si="347">IF(N453="","",(N453-1)/4)</f>
        <v/>
      </c>
      <c r="W453" s="10" t="str">
        <f t="shared" ref="W453:W464" si="348">IF(O453="","",(O453-1)/4)</f>
        <v/>
      </c>
      <c r="X453" s="10" t="str">
        <f t="shared" ref="X453:X464" si="349">IF(P453="","",(P453-1)/4)</f>
        <v/>
      </c>
      <c r="Y453" s="10" t="str">
        <f t="shared" ref="Y453:Y464" si="350">IF(Q453="","",(Q453-1)/4)</f>
        <v/>
      </c>
      <c r="Z453" s="10" t="str">
        <f t="shared" ref="Z453:Z464" si="351">IF(R453="","",(R453-1)/4)</f>
        <v/>
      </c>
      <c r="AA453" s="10" t="str">
        <f t="shared" ref="AA453:AA464" si="352">IF(AND(S453&lt;&gt;"",C453&lt;=1949,I453="yes"),S453,"")</f>
        <v/>
      </c>
      <c r="AB453" s="10" t="str">
        <f t="shared" ref="AB453:AB464" si="353">IF(AND(T453&lt;&gt;"",C453&lt;=1949,I453="yes"),T453,"")</f>
        <v/>
      </c>
      <c r="AC453" s="10" t="str">
        <f t="shared" ref="AC453:AC464" si="354">IF(AND(U453&lt;&gt;"",C453&lt;=1949,I453="yes"),U453,"")</f>
        <v/>
      </c>
      <c r="AD453" s="10" t="str">
        <f t="shared" ref="AD453:AD464" si="355">IF(AND(V453&lt;&gt;"",C453&lt;=1949,I453="yes"),V453,"")</f>
        <v/>
      </c>
      <c r="AE453" s="10" t="str">
        <f t="shared" ref="AE453:AE464" si="356">IF(AND(W453&lt;&gt;"",C453&lt;=1949,I453="yes"),W453,"")</f>
        <v/>
      </c>
      <c r="AF453" s="10" t="str">
        <f t="shared" ref="AF453:AF464" si="357">IF(AND(X453&lt;&gt;"",C453&lt;=1949,I453="yes"),X453,"")</f>
        <v/>
      </c>
      <c r="AG453" s="10" t="str">
        <f t="shared" ref="AG453:AG464" si="358">IF(AND(Y453&lt;&gt;"",C453&lt;=1949,I453="yes"),Y453,"")</f>
        <v/>
      </c>
      <c r="AH453" s="10" t="str">
        <f t="shared" ref="AH453:AH464" si="359">IF(AND(Z453&lt;&gt;"",C453&lt;=1949,I453="yes"),Z453,"")</f>
        <v/>
      </c>
      <c r="AI453" s="10" t="str">
        <f>IF(OR(S453="",'4_BENCHMARK'!$C$4=""),"",ABS(S453-'4_BENCHMARK'!$C$4))</f>
        <v/>
      </c>
      <c r="AJ453" s="10" t="str">
        <f>IF(OR(T453="",'4_BENCHMARK'!$C$5=""),"",ABS(T453-'4_BENCHMARK'!$C$5))</f>
        <v/>
      </c>
      <c r="AK453" s="10" t="str">
        <f>IF(OR(U453="",'4_BENCHMARK'!$C$6=""),"",ABS(U453-'4_BENCHMARK'!$C$6))</f>
        <v/>
      </c>
      <c r="AL453" s="10" t="str">
        <f>IF(OR(V453="",'4_BENCHMARK'!$C$7=""),"",ABS(V453-'4_BENCHMARK'!$C$7))</f>
        <v/>
      </c>
      <c r="AM453" s="10" t="str">
        <f>IF(OR(W453="",'4_BENCHMARK'!$C$8=""),"",ABS(W453-'4_BENCHMARK'!$C$8))</f>
        <v/>
      </c>
      <c r="AN453" s="10" t="str">
        <f>IF(OR(X453="",'4_BENCHMARK'!$C$9=""),"",ABS(X453-'4_BENCHMARK'!$C$9))</f>
        <v/>
      </c>
      <c r="AO453" s="10" t="str">
        <f>IF(OR(Y453="",'4_BENCHMARK'!$C$10=""),"",ABS(Y453-'4_BENCHMARK'!$C$10))</f>
        <v/>
      </c>
      <c r="AP453" s="10" t="str">
        <f>IF(OR(Z453="",'4_BENCHMARK'!$C$11=""),"",ABS(Z453-'4_BENCHMARK'!$C$11))</f>
        <v/>
      </c>
      <c r="AQ453" s="13" t="str">
        <f t="shared" ref="AQ453:AQ464" si="360">IF(COUNT(AI453:AP453)&lt;8,"",1-AVERAGE(AI453:AP453))</f>
        <v/>
      </c>
      <c r="AR453" s="10"/>
      <c r="AS453" s="36"/>
      <c r="AT453" s="13" t="str">
        <f t="shared" ref="AT453:AT464" si="361">IF(COUNT(AI453:AL453,AO453:AP453)&lt;6,"",1-AVERAGE(AI453:AL453,AO453:AP453))</f>
        <v/>
      </c>
      <c r="AU453" s="1" t="str">
        <f t="shared" ref="AU453:BB453" si="362">IF(AND($I403="yes",$C403&lt;=1949,K453&lt;&gt;""),K453,"")</f>
        <v/>
      </c>
      <c r="AV453" s="1" t="str">
        <f t="shared" si="362"/>
        <v/>
      </c>
      <c r="AW453" s="1" t="str">
        <f t="shared" si="362"/>
        <v/>
      </c>
      <c r="AX453" s="1" t="str">
        <f t="shared" si="362"/>
        <v/>
      </c>
      <c r="AY453" s="1" t="str">
        <f t="shared" si="362"/>
        <v/>
      </c>
      <c r="AZ453" s="1" t="str">
        <f t="shared" si="362"/>
        <v/>
      </c>
      <c r="BA453" s="1" t="str">
        <f t="shared" si="362"/>
        <v/>
      </c>
      <c r="BB453" s="1" t="str">
        <f t="shared" si="362"/>
        <v/>
      </c>
      <c r="BC453" s="1" t="str">
        <f t="shared" ref="BC453:BJ453" si="363">IF(AND($I403="yes",$C403&gt;=2000,K453&lt;&gt;""),K453,"")</f>
        <v/>
      </c>
      <c r="BD453" s="1" t="str">
        <f t="shared" si="363"/>
        <v/>
      </c>
      <c r="BE453" s="1" t="str">
        <f t="shared" si="363"/>
        <v/>
      </c>
      <c r="BF453" s="1" t="str">
        <f t="shared" si="363"/>
        <v/>
      </c>
      <c r="BG453" s="1" t="str">
        <f t="shared" si="363"/>
        <v/>
      </c>
      <c r="BH453" s="1" t="str">
        <f t="shared" si="363"/>
        <v/>
      </c>
      <c r="BI453" s="1" t="str">
        <f t="shared" si="363"/>
        <v/>
      </c>
      <c r="BJ453" s="1" t="str">
        <f t="shared" si="363"/>
        <v/>
      </c>
    </row>
    <row r="454" ht="14.25" customHeight="1" spans="1:62">
      <c r="A454" s="10"/>
      <c r="B454" s="36"/>
      <c r="C454" s="10"/>
      <c r="D454" s="10" t="str">
        <f t="shared" si="287"/>
        <v/>
      </c>
      <c r="E454" s="36"/>
      <c r="F454" s="35"/>
      <c r="G454" s="36"/>
      <c r="H454" s="10"/>
      <c r="I454" s="10"/>
      <c r="J454" s="10"/>
      <c r="K454" s="10"/>
      <c r="L454" s="10"/>
      <c r="M454" s="10"/>
      <c r="N454" s="10"/>
      <c r="O454" s="10"/>
      <c r="P454" s="10"/>
      <c r="Q454" s="10"/>
      <c r="R454" s="10"/>
      <c r="S454" s="10" t="str">
        <f t="shared" si="344"/>
        <v/>
      </c>
      <c r="T454" s="10" t="str">
        <f t="shared" si="345"/>
        <v/>
      </c>
      <c r="U454" s="10" t="str">
        <f t="shared" si="346"/>
        <v/>
      </c>
      <c r="V454" s="10" t="str">
        <f t="shared" si="347"/>
        <v/>
      </c>
      <c r="W454" s="10" t="str">
        <f t="shared" si="348"/>
        <v/>
      </c>
      <c r="X454" s="10" t="str">
        <f t="shared" si="349"/>
        <v/>
      </c>
      <c r="Y454" s="10" t="str">
        <f t="shared" si="350"/>
        <v/>
      </c>
      <c r="Z454" s="10" t="str">
        <f t="shared" si="351"/>
        <v/>
      </c>
      <c r="AA454" s="10" t="str">
        <f t="shared" si="352"/>
        <v/>
      </c>
      <c r="AB454" s="10" t="str">
        <f t="shared" si="353"/>
        <v/>
      </c>
      <c r="AC454" s="10" t="str">
        <f t="shared" si="354"/>
        <v/>
      </c>
      <c r="AD454" s="10" t="str">
        <f t="shared" si="355"/>
        <v/>
      </c>
      <c r="AE454" s="10" t="str">
        <f t="shared" si="356"/>
        <v/>
      </c>
      <c r="AF454" s="10" t="str">
        <f t="shared" si="357"/>
        <v/>
      </c>
      <c r="AG454" s="10" t="str">
        <f t="shared" si="358"/>
        <v/>
      </c>
      <c r="AH454" s="10" t="str">
        <f t="shared" si="359"/>
        <v/>
      </c>
      <c r="AI454" s="10" t="str">
        <f>IF(OR(S454="",'4_BENCHMARK'!$C$4=""),"",ABS(S454-'4_BENCHMARK'!$C$4))</f>
        <v/>
      </c>
      <c r="AJ454" s="10" t="str">
        <f>IF(OR(T454="",'4_BENCHMARK'!$C$5=""),"",ABS(T454-'4_BENCHMARK'!$C$5))</f>
        <v/>
      </c>
      <c r="AK454" s="10" t="str">
        <f>IF(OR(U454="",'4_BENCHMARK'!$C$6=""),"",ABS(U454-'4_BENCHMARK'!$C$6))</f>
        <v/>
      </c>
      <c r="AL454" s="10" t="str">
        <f>IF(OR(V454="",'4_BENCHMARK'!$C$7=""),"",ABS(V454-'4_BENCHMARK'!$C$7))</f>
        <v/>
      </c>
      <c r="AM454" s="10" t="str">
        <f>IF(OR(W454="",'4_BENCHMARK'!$C$8=""),"",ABS(W454-'4_BENCHMARK'!$C$8))</f>
        <v/>
      </c>
      <c r="AN454" s="10" t="str">
        <f>IF(OR(X454="",'4_BENCHMARK'!$C$9=""),"",ABS(X454-'4_BENCHMARK'!$C$9))</f>
        <v/>
      </c>
      <c r="AO454" s="10" t="str">
        <f>IF(OR(Y454="",'4_BENCHMARK'!$C$10=""),"",ABS(Y454-'4_BENCHMARK'!$C$10))</f>
        <v/>
      </c>
      <c r="AP454" s="10" t="str">
        <f>IF(OR(Z454="",'4_BENCHMARK'!$C$11=""),"",ABS(Z454-'4_BENCHMARK'!$C$11))</f>
        <v/>
      </c>
      <c r="AQ454" s="13" t="str">
        <f t="shared" si="360"/>
        <v/>
      </c>
      <c r="AR454" s="10"/>
      <c r="AS454" s="36"/>
      <c r="AT454" s="13" t="str">
        <f t="shared" si="361"/>
        <v/>
      </c>
      <c r="AU454" s="1" t="str">
        <f t="shared" ref="AU454:BB454" si="364">IF(AND($I403="yes",$C403&lt;=1949,K454&lt;&gt;""),K454,"")</f>
        <v/>
      </c>
      <c r="AV454" s="1" t="str">
        <f t="shared" si="364"/>
        <v/>
      </c>
      <c r="AW454" s="1" t="str">
        <f t="shared" si="364"/>
        <v/>
      </c>
      <c r="AX454" s="1" t="str">
        <f t="shared" si="364"/>
        <v/>
      </c>
      <c r="AY454" s="1" t="str">
        <f t="shared" si="364"/>
        <v/>
      </c>
      <c r="AZ454" s="1" t="str">
        <f t="shared" si="364"/>
        <v/>
      </c>
      <c r="BA454" s="1" t="str">
        <f t="shared" si="364"/>
        <v/>
      </c>
      <c r="BB454" s="1" t="str">
        <f t="shared" si="364"/>
        <v/>
      </c>
      <c r="BC454" s="1" t="str">
        <f t="shared" ref="BC454:BJ454" si="365">IF(AND($I403="yes",$C403&gt;=2000,K454&lt;&gt;""),K454,"")</f>
        <v/>
      </c>
      <c r="BD454" s="1" t="str">
        <f t="shared" si="365"/>
        <v/>
      </c>
      <c r="BE454" s="1" t="str">
        <f t="shared" si="365"/>
        <v/>
      </c>
      <c r="BF454" s="1" t="str">
        <f t="shared" si="365"/>
        <v/>
      </c>
      <c r="BG454" s="1" t="str">
        <f t="shared" si="365"/>
        <v/>
      </c>
      <c r="BH454" s="1" t="str">
        <f t="shared" si="365"/>
        <v/>
      </c>
      <c r="BI454" s="1" t="str">
        <f t="shared" si="365"/>
        <v/>
      </c>
      <c r="BJ454" s="1" t="str">
        <f t="shared" si="365"/>
        <v/>
      </c>
    </row>
    <row r="455" ht="14.25" customHeight="1" spans="1:62">
      <c r="A455" s="10"/>
      <c r="B455" s="36"/>
      <c r="C455" s="10"/>
      <c r="D455" s="10" t="str">
        <f t="shared" si="287"/>
        <v/>
      </c>
      <c r="E455" s="36"/>
      <c r="F455" s="35"/>
      <c r="G455" s="36"/>
      <c r="H455" s="10"/>
      <c r="I455" s="10"/>
      <c r="J455" s="10"/>
      <c r="K455" s="10"/>
      <c r="L455" s="10"/>
      <c r="M455" s="10"/>
      <c r="N455" s="10"/>
      <c r="O455" s="10"/>
      <c r="P455" s="10"/>
      <c r="Q455" s="10"/>
      <c r="R455" s="10"/>
      <c r="S455" s="10" t="str">
        <f t="shared" si="344"/>
        <v/>
      </c>
      <c r="T455" s="10" t="str">
        <f t="shared" si="345"/>
        <v/>
      </c>
      <c r="U455" s="10" t="str">
        <f t="shared" si="346"/>
        <v/>
      </c>
      <c r="V455" s="10" t="str">
        <f t="shared" si="347"/>
        <v/>
      </c>
      <c r="W455" s="10" t="str">
        <f t="shared" si="348"/>
        <v/>
      </c>
      <c r="X455" s="10" t="str">
        <f t="shared" si="349"/>
        <v/>
      </c>
      <c r="Y455" s="10" t="str">
        <f t="shared" si="350"/>
        <v/>
      </c>
      <c r="Z455" s="10" t="str">
        <f t="shared" si="351"/>
        <v/>
      </c>
      <c r="AA455" s="10" t="str">
        <f t="shared" si="352"/>
        <v/>
      </c>
      <c r="AB455" s="10" t="str">
        <f t="shared" si="353"/>
        <v/>
      </c>
      <c r="AC455" s="10" t="str">
        <f t="shared" si="354"/>
        <v/>
      </c>
      <c r="AD455" s="10" t="str">
        <f t="shared" si="355"/>
        <v/>
      </c>
      <c r="AE455" s="10" t="str">
        <f t="shared" si="356"/>
        <v/>
      </c>
      <c r="AF455" s="10" t="str">
        <f t="shared" si="357"/>
        <v/>
      </c>
      <c r="AG455" s="10" t="str">
        <f t="shared" si="358"/>
        <v/>
      </c>
      <c r="AH455" s="10" t="str">
        <f t="shared" si="359"/>
        <v/>
      </c>
      <c r="AI455" s="10" t="str">
        <f>IF(OR(S455="",'4_BENCHMARK'!$C$4=""),"",ABS(S455-'4_BENCHMARK'!$C$4))</f>
        <v/>
      </c>
      <c r="AJ455" s="10" t="str">
        <f>IF(OR(T455="",'4_BENCHMARK'!$C$5=""),"",ABS(T455-'4_BENCHMARK'!$C$5))</f>
        <v/>
      </c>
      <c r="AK455" s="10" t="str">
        <f>IF(OR(U455="",'4_BENCHMARK'!$C$6=""),"",ABS(U455-'4_BENCHMARK'!$C$6))</f>
        <v/>
      </c>
      <c r="AL455" s="10" t="str">
        <f>IF(OR(V455="",'4_BENCHMARK'!$C$7=""),"",ABS(V455-'4_BENCHMARK'!$C$7))</f>
        <v/>
      </c>
      <c r="AM455" s="10" t="str">
        <f>IF(OR(W455="",'4_BENCHMARK'!$C$8=""),"",ABS(W455-'4_BENCHMARK'!$C$8))</f>
        <v/>
      </c>
      <c r="AN455" s="10" t="str">
        <f>IF(OR(X455="",'4_BENCHMARK'!$C$9=""),"",ABS(X455-'4_BENCHMARK'!$C$9))</f>
        <v/>
      </c>
      <c r="AO455" s="10" t="str">
        <f>IF(OR(Y455="",'4_BENCHMARK'!$C$10=""),"",ABS(Y455-'4_BENCHMARK'!$C$10))</f>
        <v/>
      </c>
      <c r="AP455" s="10" t="str">
        <f>IF(OR(Z455="",'4_BENCHMARK'!$C$11=""),"",ABS(Z455-'4_BENCHMARK'!$C$11))</f>
        <v/>
      </c>
      <c r="AQ455" s="13" t="str">
        <f t="shared" si="360"/>
        <v/>
      </c>
      <c r="AR455" s="10"/>
      <c r="AS455" s="36"/>
      <c r="AT455" s="13" t="str">
        <f t="shared" si="361"/>
        <v/>
      </c>
      <c r="AU455" s="1" t="str">
        <f t="shared" ref="AU455:BB455" si="366">IF(AND($I403="yes",$C403&lt;=1949,K455&lt;&gt;""),K455,"")</f>
        <v/>
      </c>
      <c r="AV455" s="1" t="str">
        <f t="shared" si="366"/>
        <v/>
      </c>
      <c r="AW455" s="1" t="str">
        <f t="shared" si="366"/>
        <v/>
      </c>
      <c r="AX455" s="1" t="str">
        <f t="shared" si="366"/>
        <v/>
      </c>
      <c r="AY455" s="1" t="str">
        <f t="shared" si="366"/>
        <v/>
      </c>
      <c r="AZ455" s="1" t="str">
        <f t="shared" si="366"/>
        <v/>
      </c>
      <c r="BA455" s="1" t="str">
        <f t="shared" si="366"/>
        <v/>
      </c>
      <c r="BB455" s="1" t="str">
        <f t="shared" si="366"/>
        <v/>
      </c>
      <c r="BC455" s="1" t="str">
        <f t="shared" ref="BC455:BJ455" si="367">IF(AND($I403="yes",$C403&gt;=2000,K455&lt;&gt;""),K455,"")</f>
        <v/>
      </c>
      <c r="BD455" s="1" t="str">
        <f t="shared" si="367"/>
        <v/>
      </c>
      <c r="BE455" s="1" t="str">
        <f t="shared" si="367"/>
        <v/>
      </c>
      <c r="BF455" s="1" t="str">
        <f t="shared" si="367"/>
        <v/>
      </c>
      <c r="BG455" s="1" t="str">
        <f t="shared" si="367"/>
        <v/>
      </c>
      <c r="BH455" s="1" t="str">
        <f t="shared" si="367"/>
        <v/>
      </c>
      <c r="BI455" s="1" t="str">
        <f t="shared" si="367"/>
        <v/>
      </c>
      <c r="BJ455" s="1" t="str">
        <f t="shared" si="367"/>
        <v/>
      </c>
    </row>
    <row r="456" ht="14.25" customHeight="1" spans="1:62">
      <c r="A456" s="10"/>
      <c r="B456" s="36"/>
      <c r="C456" s="10"/>
      <c r="D456" s="10" t="str">
        <f t="shared" si="287"/>
        <v/>
      </c>
      <c r="E456" s="36"/>
      <c r="F456" s="35"/>
      <c r="G456" s="36"/>
      <c r="H456" s="10"/>
      <c r="I456" s="10"/>
      <c r="J456" s="10"/>
      <c r="K456" s="10"/>
      <c r="L456" s="10"/>
      <c r="M456" s="10"/>
      <c r="N456" s="10"/>
      <c r="O456" s="10"/>
      <c r="P456" s="10"/>
      <c r="Q456" s="10"/>
      <c r="R456" s="10"/>
      <c r="S456" s="10" t="str">
        <f t="shared" si="344"/>
        <v/>
      </c>
      <c r="T456" s="10" t="str">
        <f t="shared" si="345"/>
        <v/>
      </c>
      <c r="U456" s="10" t="str">
        <f t="shared" si="346"/>
        <v/>
      </c>
      <c r="V456" s="10" t="str">
        <f t="shared" si="347"/>
        <v/>
      </c>
      <c r="W456" s="10" t="str">
        <f t="shared" si="348"/>
        <v/>
      </c>
      <c r="X456" s="10" t="str">
        <f t="shared" si="349"/>
        <v/>
      </c>
      <c r="Y456" s="10" t="str">
        <f t="shared" si="350"/>
        <v/>
      </c>
      <c r="Z456" s="10" t="str">
        <f t="shared" si="351"/>
        <v/>
      </c>
      <c r="AA456" s="10" t="str">
        <f t="shared" si="352"/>
        <v/>
      </c>
      <c r="AB456" s="10" t="str">
        <f t="shared" si="353"/>
        <v/>
      </c>
      <c r="AC456" s="10" t="str">
        <f t="shared" si="354"/>
        <v/>
      </c>
      <c r="AD456" s="10" t="str">
        <f t="shared" si="355"/>
        <v/>
      </c>
      <c r="AE456" s="10" t="str">
        <f t="shared" si="356"/>
        <v/>
      </c>
      <c r="AF456" s="10" t="str">
        <f t="shared" si="357"/>
        <v/>
      </c>
      <c r="AG456" s="10" t="str">
        <f t="shared" si="358"/>
        <v/>
      </c>
      <c r="AH456" s="10" t="str">
        <f t="shared" si="359"/>
        <v/>
      </c>
      <c r="AI456" s="10" t="str">
        <f>IF(OR(S456="",'4_BENCHMARK'!$C$4=""),"",ABS(S456-'4_BENCHMARK'!$C$4))</f>
        <v/>
      </c>
      <c r="AJ456" s="10" t="str">
        <f>IF(OR(T456="",'4_BENCHMARK'!$C$5=""),"",ABS(T456-'4_BENCHMARK'!$C$5))</f>
        <v/>
      </c>
      <c r="AK456" s="10" t="str">
        <f>IF(OR(U456="",'4_BENCHMARK'!$C$6=""),"",ABS(U456-'4_BENCHMARK'!$C$6))</f>
        <v/>
      </c>
      <c r="AL456" s="10" t="str">
        <f>IF(OR(V456="",'4_BENCHMARK'!$C$7=""),"",ABS(V456-'4_BENCHMARK'!$C$7))</f>
        <v/>
      </c>
      <c r="AM456" s="10" t="str">
        <f>IF(OR(W456="",'4_BENCHMARK'!$C$8=""),"",ABS(W456-'4_BENCHMARK'!$C$8))</f>
        <v/>
      </c>
      <c r="AN456" s="10" t="str">
        <f>IF(OR(X456="",'4_BENCHMARK'!$C$9=""),"",ABS(X456-'4_BENCHMARK'!$C$9))</f>
        <v/>
      </c>
      <c r="AO456" s="10" t="str">
        <f>IF(OR(Y456="",'4_BENCHMARK'!$C$10=""),"",ABS(Y456-'4_BENCHMARK'!$C$10))</f>
        <v/>
      </c>
      <c r="AP456" s="10" t="str">
        <f>IF(OR(Z456="",'4_BENCHMARK'!$C$11=""),"",ABS(Z456-'4_BENCHMARK'!$C$11))</f>
        <v/>
      </c>
      <c r="AQ456" s="13" t="str">
        <f t="shared" si="360"/>
        <v/>
      </c>
      <c r="AR456" s="10"/>
      <c r="AS456" s="36"/>
      <c r="AT456" s="13" t="str">
        <f t="shared" si="361"/>
        <v/>
      </c>
      <c r="AU456" s="1" t="str">
        <f t="shared" ref="AU456:BB456" si="368">IF(AND($I403="yes",$C403&lt;=1949,K456&lt;&gt;""),K456,"")</f>
        <v/>
      </c>
      <c r="AV456" s="1" t="str">
        <f t="shared" si="368"/>
        <v/>
      </c>
      <c r="AW456" s="1" t="str">
        <f t="shared" si="368"/>
        <v/>
      </c>
      <c r="AX456" s="1" t="str">
        <f t="shared" si="368"/>
        <v/>
      </c>
      <c r="AY456" s="1" t="str">
        <f t="shared" si="368"/>
        <v/>
      </c>
      <c r="AZ456" s="1" t="str">
        <f t="shared" si="368"/>
        <v/>
      </c>
      <c r="BA456" s="1" t="str">
        <f t="shared" si="368"/>
        <v/>
      </c>
      <c r="BB456" s="1" t="str">
        <f t="shared" si="368"/>
        <v/>
      </c>
      <c r="BC456" s="1" t="str">
        <f t="shared" ref="BC456:BJ456" si="369">IF(AND($I403="yes",$C403&gt;=2000,K456&lt;&gt;""),K456,"")</f>
        <v/>
      </c>
      <c r="BD456" s="1" t="str">
        <f t="shared" si="369"/>
        <v/>
      </c>
      <c r="BE456" s="1" t="str">
        <f t="shared" si="369"/>
        <v/>
      </c>
      <c r="BF456" s="1" t="str">
        <f t="shared" si="369"/>
        <v/>
      </c>
      <c r="BG456" s="1" t="str">
        <f t="shared" si="369"/>
        <v/>
      </c>
      <c r="BH456" s="1" t="str">
        <f t="shared" si="369"/>
        <v/>
      </c>
      <c r="BI456" s="1" t="str">
        <f t="shared" si="369"/>
        <v/>
      </c>
      <c r="BJ456" s="1" t="str">
        <f t="shared" si="369"/>
        <v/>
      </c>
    </row>
    <row r="457" ht="14.25" customHeight="1" spans="1:62">
      <c r="A457" s="10"/>
      <c r="B457" s="36"/>
      <c r="C457" s="10"/>
      <c r="D457" s="10" t="str">
        <f t="shared" ref="D457:D464" si="370">IF(C457="","",FLOOR(C457,10))</f>
        <v/>
      </c>
      <c r="E457" s="36"/>
      <c r="F457" s="35"/>
      <c r="G457" s="36"/>
      <c r="H457" s="10"/>
      <c r="I457" s="10"/>
      <c r="J457" s="10"/>
      <c r="K457" s="10"/>
      <c r="L457" s="10"/>
      <c r="M457" s="10"/>
      <c r="N457" s="10"/>
      <c r="O457" s="10"/>
      <c r="P457" s="10"/>
      <c r="Q457" s="10"/>
      <c r="R457" s="10"/>
      <c r="S457" s="10" t="str">
        <f t="shared" si="344"/>
        <v/>
      </c>
      <c r="T457" s="10" t="str">
        <f t="shared" si="345"/>
        <v/>
      </c>
      <c r="U457" s="10" t="str">
        <f t="shared" si="346"/>
        <v/>
      </c>
      <c r="V457" s="10" t="str">
        <f t="shared" si="347"/>
        <v/>
      </c>
      <c r="W457" s="10" t="str">
        <f t="shared" si="348"/>
        <v/>
      </c>
      <c r="X457" s="10" t="str">
        <f t="shared" si="349"/>
        <v/>
      </c>
      <c r="Y457" s="10" t="str">
        <f t="shared" si="350"/>
        <v/>
      </c>
      <c r="Z457" s="10" t="str">
        <f t="shared" si="351"/>
        <v/>
      </c>
      <c r="AA457" s="10" t="str">
        <f t="shared" si="352"/>
        <v/>
      </c>
      <c r="AB457" s="10" t="str">
        <f t="shared" si="353"/>
        <v/>
      </c>
      <c r="AC457" s="10" t="str">
        <f t="shared" si="354"/>
        <v/>
      </c>
      <c r="AD457" s="10" t="str">
        <f t="shared" si="355"/>
        <v/>
      </c>
      <c r="AE457" s="10" t="str">
        <f t="shared" si="356"/>
        <v/>
      </c>
      <c r="AF457" s="10" t="str">
        <f t="shared" si="357"/>
        <v/>
      </c>
      <c r="AG457" s="10" t="str">
        <f t="shared" si="358"/>
        <v/>
      </c>
      <c r="AH457" s="10" t="str">
        <f t="shared" si="359"/>
        <v/>
      </c>
      <c r="AI457" s="10" t="str">
        <f>IF(OR(S457="",'4_BENCHMARK'!$C$4=""),"",ABS(S457-'4_BENCHMARK'!$C$4))</f>
        <v/>
      </c>
      <c r="AJ457" s="10" t="str">
        <f>IF(OR(T457="",'4_BENCHMARK'!$C$5=""),"",ABS(T457-'4_BENCHMARK'!$C$5))</f>
        <v/>
      </c>
      <c r="AK457" s="10" t="str">
        <f>IF(OR(U457="",'4_BENCHMARK'!$C$6=""),"",ABS(U457-'4_BENCHMARK'!$C$6))</f>
        <v/>
      </c>
      <c r="AL457" s="10" t="str">
        <f>IF(OR(V457="",'4_BENCHMARK'!$C$7=""),"",ABS(V457-'4_BENCHMARK'!$C$7))</f>
        <v/>
      </c>
      <c r="AM457" s="10" t="str">
        <f>IF(OR(W457="",'4_BENCHMARK'!$C$8=""),"",ABS(W457-'4_BENCHMARK'!$C$8))</f>
        <v/>
      </c>
      <c r="AN457" s="10" t="str">
        <f>IF(OR(X457="",'4_BENCHMARK'!$C$9=""),"",ABS(X457-'4_BENCHMARK'!$C$9))</f>
        <v/>
      </c>
      <c r="AO457" s="10" t="str">
        <f>IF(OR(Y457="",'4_BENCHMARK'!$C$10=""),"",ABS(Y457-'4_BENCHMARK'!$C$10))</f>
        <v/>
      </c>
      <c r="AP457" s="10" t="str">
        <f>IF(OR(Z457="",'4_BENCHMARK'!$C$11=""),"",ABS(Z457-'4_BENCHMARK'!$C$11))</f>
        <v/>
      </c>
      <c r="AQ457" s="13" t="str">
        <f t="shared" si="360"/>
        <v/>
      </c>
      <c r="AR457" s="10"/>
      <c r="AS457" s="36"/>
      <c r="AT457" s="13" t="str">
        <f t="shared" si="361"/>
        <v/>
      </c>
      <c r="AU457" s="1" t="str">
        <f t="shared" ref="AU457:BB457" si="371">IF(AND($I403="yes",$C403&lt;=1949,K457&lt;&gt;""),K457,"")</f>
        <v/>
      </c>
      <c r="AV457" s="1" t="str">
        <f t="shared" si="371"/>
        <v/>
      </c>
      <c r="AW457" s="1" t="str">
        <f t="shared" si="371"/>
        <v/>
      </c>
      <c r="AX457" s="1" t="str">
        <f t="shared" si="371"/>
        <v/>
      </c>
      <c r="AY457" s="1" t="str">
        <f t="shared" si="371"/>
        <v/>
      </c>
      <c r="AZ457" s="1" t="str">
        <f t="shared" si="371"/>
        <v/>
      </c>
      <c r="BA457" s="1" t="str">
        <f t="shared" si="371"/>
        <v/>
      </c>
      <c r="BB457" s="1" t="str">
        <f t="shared" si="371"/>
        <v/>
      </c>
      <c r="BC457" s="1" t="str">
        <f t="shared" ref="BC457:BJ457" si="372">IF(AND($I403="yes",$C403&gt;=2000,K457&lt;&gt;""),K457,"")</f>
        <v/>
      </c>
      <c r="BD457" s="1" t="str">
        <f t="shared" si="372"/>
        <v/>
      </c>
      <c r="BE457" s="1" t="str">
        <f t="shared" si="372"/>
        <v/>
      </c>
      <c r="BF457" s="1" t="str">
        <f t="shared" si="372"/>
        <v/>
      </c>
      <c r="BG457" s="1" t="str">
        <f t="shared" si="372"/>
        <v/>
      </c>
      <c r="BH457" s="1" t="str">
        <f t="shared" si="372"/>
        <v/>
      </c>
      <c r="BI457" s="1" t="str">
        <f t="shared" si="372"/>
        <v/>
      </c>
      <c r="BJ457" s="1" t="str">
        <f t="shared" si="372"/>
        <v/>
      </c>
    </row>
    <row r="458" ht="14.25" customHeight="1" spans="1:62">
      <c r="A458" s="10"/>
      <c r="B458" s="36"/>
      <c r="C458" s="10"/>
      <c r="D458" s="10" t="str">
        <f t="shared" si="370"/>
        <v/>
      </c>
      <c r="E458" s="36"/>
      <c r="F458" s="35"/>
      <c r="G458" s="36"/>
      <c r="H458" s="10"/>
      <c r="I458" s="10"/>
      <c r="J458" s="10"/>
      <c r="K458" s="10"/>
      <c r="L458" s="10"/>
      <c r="M458" s="10"/>
      <c r="N458" s="10"/>
      <c r="O458" s="10"/>
      <c r="P458" s="10"/>
      <c r="Q458" s="10"/>
      <c r="R458" s="10"/>
      <c r="S458" s="10" t="str">
        <f t="shared" si="344"/>
        <v/>
      </c>
      <c r="T458" s="10" t="str">
        <f t="shared" si="345"/>
        <v/>
      </c>
      <c r="U458" s="10" t="str">
        <f t="shared" si="346"/>
        <v/>
      </c>
      <c r="V458" s="10" t="str">
        <f t="shared" si="347"/>
        <v/>
      </c>
      <c r="W458" s="10" t="str">
        <f t="shared" si="348"/>
        <v/>
      </c>
      <c r="X458" s="10" t="str">
        <f t="shared" si="349"/>
        <v/>
      </c>
      <c r="Y458" s="10" t="str">
        <f t="shared" si="350"/>
        <v/>
      </c>
      <c r="Z458" s="10" t="str">
        <f t="shared" si="351"/>
        <v/>
      </c>
      <c r="AA458" s="10" t="str">
        <f t="shared" si="352"/>
        <v/>
      </c>
      <c r="AB458" s="10" t="str">
        <f t="shared" si="353"/>
        <v/>
      </c>
      <c r="AC458" s="10" t="str">
        <f t="shared" si="354"/>
        <v/>
      </c>
      <c r="AD458" s="10" t="str">
        <f t="shared" si="355"/>
        <v/>
      </c>
      <c r="AE458" s="10" t="str">
        <f t="shared" si="356"/>
        <v/>
      </c>
      <c r="AF458" s="10" t="str">
        <f t="shared" si="357"/>
        <v/>
      </c>
      <c r="AG458" s="10" t="str">
        <f t="shared" si="358"/>
        <v/>
      </c>
      <c r="AH458" s="10" t="str">
        <f t="shared" si="359"/>
        <v/>
      </c>
      <c r="AI458" s="10" t="str">
        <f>IF(OR(S458="",'4_BENCHMARK'!$C$4=""),"",ABS(S458-'4_BENCHMARK'!$C$4))</f>
        <v/>
      </c>
      <c r="AJ458" s="10" t="str">
        <f>IF(OR(T458="",'4_BENCHMARK'!$C$5=""),"",ABS(T458-'4_BENCHMARK'!$C$5))</f>
        <v/>
      </c>
      <c r="AK458" s="10" t="str">
        <f>IF(OR(U458="",'4_BENCHMARK'!$C$6=""),"",ABS(U458-'4_BENCHMARK'!$C$6))</f>
        <v/>
      </c>
      <c r="AL458" s="10" t="str">
        <f>IF(OR(V458="",'4_BENCHMARK'!$C$7=""),"",ABS(V458-'4_BENCHMARK'!$C$7))</f>
        <v/>
      </c>
      <c r="AM458" s="10" t="str">
        <f>IF(OR(W458="",'4_BENCHMARK'!$C$8=""),"",ABS(W458-'4_BENCHMARK'!$C$8))</f>
        <v/>
      </c>
      <c r="AN458" s="10" t="str">
        <f>IF(OR(X458="",'4_BENCHMARK'!$C$9=""),"",ABS(X458-'4_BENCHMARK'!$C$9))</f>
        <v/>
      </c>
      <c r="AO458" s="10" t="str">
        <f>IF(OR(Y458="",'4_BENCHMARK'!$C$10=""),"",ABS(Y458-'4_BENCHMARK'!$C$10))</f>
        <v/>
      </c>
      <c r="AP458" s="10" t="str">
        <f>IF(OR(Z458="",'4_BENCHMARK'!$C$11=""),"",ABS(Z458-'4_BENCHMARK'!$C$11))</f>
        <v/>
      </c>
      <c r="AQ458" s="13" t="str">
        <f t="shared" si="360"/>
        <v/>
      </c>
      <c r="AR458" s="10"/>
      <c r="AS458" s="36"/>
      <c r="AT458" s="13" t="str">
        <f t="shared" si="361"/>
        <v/>
      </c>
      <c r="AU458" s="1" t="str">
        <f t="shared" ref="AU458:BB458" si="373">IF(AND($I403="yes",$C403&lt;=1949,K458&lt;&gt;""),K458,"")</f>
        <v/>
      </c>
      <c r="AV458" s="1" t="str">
        <f t="shared" si="373"/>
        <v/>
      </c>
      <c r="AW458" s="1" t="str">
        <f t="shared" si="373"/>
        <v/>
      </c>
      <c r="AX458" s="1" t="str">
        <f t="shared" si="373"/>
        <v/>
      </c>
      <c r="AY458" s="1" t="str">
        <f t="shared" si="373"/>
        <v/>
      </c>
      <c r="AZ458" s="1" t="str">
        <f t="shared" si="373"/>
        <v/>
      </c>
      <c r="BA458" s="1" t="str">
        <f t="shared" si="373"/>
        <v/>
      </c>
      <c r="BB458" s="1" t="str">
        <f t="shared" si="373"/>
        <v/>
      </c>
      <c r="BC458" s="1" t="str">
        <f t="shared" ref="BC458:BJ458" si="374">IF(AND($I403="yes",$C403&gt;=2000,K458&lt;&gt;""),K458,"")</f>
        <v/>
      </c>
      <c r="BD458" s="1" t="str">
        <f t="shared" si="374"/>
        <v/>
      </c>
      <c r="BE458" s="1" t="str">
        <f t="shared" si="374"/>
        <v/>
      </c>
      <c r="BF458" s="1" t="str">
        <f t="shared" si="374"/>
        <v/>
      </c>
      <c r="BG458" s="1" t="str">
        <f t="shared" si="374"/>
        <v/>
      </c>
      <c r="BH458" s="1" t="str">
        <f t="shared" si="374"/>
        <v/>
      </c>
      <c r="BI458" s="1" t="str">
        <f t="shared" si="374"/>
        <v/>
      </c>
      <c r="BJ458" s="1" t="str">
        <f t="shared" si="374"/>
        <v/>
      </c>
    </row>
    <row r="459" ht="14.25" customHeight="1" spans="1:62">
      <c r="A459" s="10"/>
      <c r="B459" s="36"/>
      <c r="C459" s="10"/>
      <c r="D459" s="10" t="str">
        <f t="shared" si="370"/>
        <v/>
      </c>
      <c r="E459" s="36"/>
      <c r="F459" s="35"/>
      <c r="G459" s="36"/>
      <c r="H459" s="10"/>
      <c r="I459" s="10"/>
      <c r="J459" s="10"/>
      <c r="K459" s="10"/>
      <c r="L459" s="10"/>
      <c r="M459" s="10"/>
      <c r="N459" s="10"/>
      <c r="O459" s="10"/>
      <c r="P459" s="10"/>
      <c r="Q459" s="10"/>
      <c r="R459" s="10"/>
      <c r="S459" s="10" t="str">
        <f t="shared" si="344"/>
        <v/>
      </c>
      <c r="T459" s="10" t="str">
        <f t="shared" si="345"/>
        <v/>
      </c>
      <c r="U459" s="10" t="str">
        <f t="shared" si="346"/>
        <v/>
      </c>
      <c r="V459" s="10" t="str">
        <f t="shared" si="347"/>
        <v/>
      </c>
      <c r="W459" s="10" t="str">
        <f t="shared" si="348"/>
        <v/>
      </c>
      <c r="X459" s="10" t="str">
        <f t="shared" si="349"/>
        <v/>
      </c>
      <c r="Y459" s="10" t="str">
        <f t="shared" si="350"/>
        <v/>
      </c>
      <c r="Z459" s="10" t="str">
        <f t="shared" si="351"/>
        <v/>
      </c>
      <c r="AA459" s="10" t="str">
        <f t="shared" si="352"/>
        <v/>
      </c>
      <c r="AB459" s="10" t="str">
        <f t="shared" si="353"/>
        <v/>
      </c>
      <c r="AC459" s="10" t="str">
        <f t="shared" si="354"/>
        <v/>
      </c>
      <c r="AD459" s="10" t="str">
        <f t="shared" si="355"/>
        <v/>
      </c>
      <c r="AE459" s="10" t="str">
        <f t="shared" si="356"/>
        <v/>
      </c>
      <c r="AF459" s="10" t="str">
        <f t="shared" si="357"/>
        <v/>
      </c>
      <c r="AG459" s="10" t="str">
        <f t="shared" si="358"/>
        <v/>
      </c>
      <c r="AH459" s="10" t="str">
        <f t="shared" si="359"/>
        <v/>
      </c>
      <c r="AI459" s="10" t="str">
        <f>IF(OR(S459="",'4_BENCHMARK'!$C$4=""),"",ABS(S459-'4_BENCHMARK'!$C$4))</f>
        <v/>
      </c>
      <c r="AJ459" s="10" t="str">
        <f>IF(OR(T459="",'4_BENCHMARK'!$C$5=""),"",ABS(T459-'4_BENCHMARK'!$C$5))</f>
        <v/>
      </c>
      <c r="AK459" s="10" t="str">
        <f>IF(OR(U459="",'4_BENCHMARK'!$C$6=""),"",ABS(U459-'4_BENCHMARK'!$C$6))</f>
        <v/>
      </c>
      <c r="AL459" s="10" t="str">
        <f>IF(OR(V459="",'4_BENCHMARK'!$C$7=""),"",ABS(V459-'4_BENCHMARK'!$C$7))</f>
        <v/>
      </c>
      <c r="AM459" s="10" t="str">
        <f>IF(OR(W459="",'4_BENCHMARK'!$C$8=""),"",ABS(W459-'4_BENCHMARK'!$C$8))</f>
        <v/>
      </c>
      <c r="AN459" s="10" t="str">
        <f>IF(OR(X459="",'4_BENCHMARK'!$C$9=""),"",ABS(X459-'4_BENCHMARK'!$C$9))</f>
        <v/>
      </c>
      <c r="AO459" s="10" t="str">
        <f>IF(OR(Y459="",'4_BENCHMARK'!$C$10=""),"",ABS(Y459-'4_BENCHMARK'!$C$10))</f>
        <v/>
      </c>
      <c r="AP459" s="10" t="str">
        <f>IF(OR(Z459="",'4_BENCHMARK'!$C$11=""),"",ABS(Z459-'4_BENCHMARK'!$C$11))</f>
        <v/>
      </c>
      <c r="AQ459" s="13" t="str">
        <f t="shared" si="360"/>
        <v/>
      </c>
      <c r="AR459" s="10"/>
      <c r="AS459" s="36"/>
      <c r="AT459" s="13" t="str">
        <f t="shared" si="361"/>
        <v/>
      </c>
      <c r="AU459" s="1" t="str">
        <f t="shared" ref="AU459:BB459" si="375">IF(AND($I403="yes",$C403&lt;=1949,K459&lt;&gt;""),K459,"")</f>
        <v/>
      </c>
      <c r="AV459" s="1" t="str">
        <f t="shared" si="375"/>
        <v/>
      </c>
      <c r="AW459" s="1" t="str">
        <f t="shared" si="375"/>
        <v/>
      </c>
      <c r="AX459" s="1" t="str">
        <f t="shared" si="375"/>
        <v/>
      </c>
      <c r="AY459" s="1" t="str">
        <f t="shared" si="375"/>
        <v/>
      </c>
      <c r="AZ459" s="1" t="str">
        <f t="shared" si="375"/>
        <v/>
      </c>
      <c r="BA459" s="1" t="str">
        <f t="shared" si="375"/>
        <v/>
      </c>
      <c r="BB459" s="1" t="str">
        <f t="shared" si="375"/>
        <v/>
      </c>
      <c r="BC459" s="1" t="str">
        <f t="shared" ref="BC459:BJ459" si="376">IF(AND($I403="yes",$C403&gt;=2000,K459&lt;&gt;""),K459,"")</f>
        <v/>
      </c>
      <c r="BD459" s="1" t="str">
        <f t="shared" si="376"/>
        <v/>
      </c>
      <c r="BE459" s="1" t="str">
        <f t="shared" si="376"/>
        <v/>
      </c>
      <c r="BF459" s="1" t="str">
        <f t="shared" si="376"/>
        <v/>
      </c>
      <c r="BG459" s="1" t="str">
        <f t="shared" si="376"/>
        <v/>
      </c>
      <c r="BH459" s="1" t="str">
        <f t="shared" si="376"/>
        <v/>
      </c>
      <c r="BI459" s="1" t="str">
        <f t="shared" si="376"/>
        <v/>
      </c>
      <c r="BJ459" s="1" t="str">
        <f t="shared" si="376"/>
        <v/>
      </c>
    </row>
    <row r="460" ht="14.25" customHeight="1" spans="1:62">
      <c r="A460" s="10"/>
      <c r="B460" s="36"/>
      <c r="C460" s="10"/>
      <c r="D460" s="10" t="str">
        <f t="shared" si="370"/>
        <v/>
      </c>
      <c r="E460" s="36"/>
      <c r="F460" s="35"/>
      <c r="G460" s="36"/>
      <c r="H460" s="10"/>
      <c r="I460" s="10"/>
      <c r="J460" s="10"/>
      <c r="K460" s="10"/>
      <c r="L460" s="10"/>
      <c r="M460" s="10"/>
      <c r="N460" s="10"/>
      <c r="O460" s="10"/>
      <c r="P460" s="10"/>
      <c r="Q460" s="10"/>
      <c r="R460" s="10"/>
      <c r="S460" s="10" t="str">
        <f t="shared" si="344"/>
        <v/>
      </c>
      <c r="T460" s="10" t="str">
        <f t="shared" si="345"/>
        <v/>
      </c>
      <c r="U460" s="10" t="str">
        <f t="shared" si="346"/>
        <v/>
      </c>
      <c r="V460" s="10" t="str">
        <f t="shared" si="347"/>
        <v/>
      </c>
      <c r="W460" s="10" t="str">
        <f t="shared" si="348"/>
        <v/>
      </c>
      <c r="X460" s="10" t="str">
        <f t="shared" si="349"/>
        <v/>
      </c>
      <c r="Y460" s="10" t="str">
        <f t="shared" si="350"/>
        <v/>
      </c>
      <c r="Z460" s="10" t="str">
        <f t="shared" si="351"/>
        <v/>
      </c>
      <c r="AA460" s="10" t="str">
        <f t="shared" si="352"/>
        <v/>
      </c>
      <c r="AB460" s="10" t="str">
        <f t="shared" si="353"/>
        <v/>
      </c>
      <c r="AC460" s="10" t="str">
        <f t="shared" si="354"/>
        <v/>
      </c>
      <c r="AD460" s="10" t="str">
        <f t="shared" si="355"/>
        <v/>
      </c>
      <c r="AE460" s="10" t="str">
        <f t="shared" si="356"/>
        <v/>
      </c>
      <c r="AF460" s="10" t="str">
        <f t="shared" si="357"/>
        <v/>
      </c>
      <c r="AG460" s="10" t="str">
        <f t="shared" si="358"/>
        <v/>
      </c>
      <c r="AH460" s="10" t="str">
        <f t="shared" si="359"/>
        <v/>
      </c>
      <c r="AI460" s="10" t="str">
        <f>IF(OR(S460="",'4_BENCHMARK'!$C$4=""),"",ABS(S460-'4_BENCHMARK'!$C$4))</f>
        <v/>
      </c>
      <c r="AJ460" s="10" t="str">
        <f>IF(OR(T460="",'4_BENCHMARK'!$C$5=""),"",ABS(T460-'4_BENCHMARK'!$C$5))</f>
        <v/>
      </c>
      <c r="AK460" s="10" t="str">
        <f>IF(OR(U460="",'4_BENCHMARK'!$C$6=""),"",ABS(U460-'4_BENCHMARK'!$C$6))</f>
        <v/>
      </c>
      <c r="AL460" s="10" t="str">
        <f>IF(OR(V460="",'4_BENCHMARK'!$C$7=""),"",ABS(V460-'4_BENCHMARK'!$C$7))</f>
        <v/>
      </c>
      <c r="AM460" s="10" t="str">
        <f>IF(OR(W460="",'4_BENCHMARK'!$C$8=""),"",ABS(W460-'4_BENCHMARK'!$C$8))</f>
        <v/>
      </c>
      <c r="AN460" s="10" t="str">
        <f>IF(OR(X460="",'4_BENCHMARK'!$C$9=""),"",ABS(X460-'4_BENCHMARK'!$C$9))</f>
        <v/>
      </c>
      <c r="AO460" s="10" t="str">
        <f>IF(OR(Y460="",'4_BENCHMARK'!$C$10=""),"",ABS(Y460-'4_BENCHMARK'!$C$10))</f>
        <v/>
      </c>
      <c r="AP460" s="10" t="str">
        <f>IF(OR(Z460="",'4_BENCHMARK'!$C$11=""),"",ABS(Z460-'4_BENCHMARK'!$C$11))</f>
        <v/>
      </c>
      <c r="AQ460" s="13" t="str">
        <f t="shared" si="360"/>
        <v/>
      </c>
      <c r="AR460" s="10"/>
      <c r="AS460" s="36"/>
      <c r="AT460" s="13" t="str">
        <f t="shared" si="361"/>
        <v/>
      </c>
      <c r="AU460" s="1" t="str">
        <f t="shared" ref="AU460:BB460" si="377">IF(AND($I403="yes",$C403&lt;=1949,K460&lt;&gt;""),K460,"")</f>
        <v/>
      </c>
      <c r="AV460" s="1" t="str">
        <f t="shared" si="377"/>
        <v/>
      </c>
      <c r="AW460" s="1" t="str">
        <f t="shared" si="377"/>
        <v/>
      </c>
      <c r="AX460" s="1" t="str">
        <f t="shared" si="377"/>
        <v/>
      </c>
      <c r="AY460" s="1" t="str">
        <f t="shared" si="377"/>
        <v/>
      </c>
      <c r="AZ460" s="1" t="str">
        <f t="shared" si="377"/>
        <v/>
      </c>
      <c r="BA460" s="1" t="str">
        <f t="shared" si="377"/>
        <v/>
      </c>
      <c r="BB460" s="1" t="str">
        <f t="shared" si="377"/>
        <v/>
      </c>
      <c r="BC460" s="1" t="str">
        <f t="shared" ref="BC460:BJ460" si="378">IF(AND($I403="yes",$C403&gt;=2000,K460&lt;&gt;""),K460,"")</f>
        <v/>
      </c>
      <c r="BD460" s="1" t="str">
        <f t="shared" si="378"/>
        <v/>
      </c>
      <c r="BE460" s="1" t="str">
        <f t="shared" si="378"/>
        <v/>
      </c>
      <c r="BF460" s="1" t="str">
        <f t="shared" si="378"/>
        <v/>
      </c>
      <c r="BG460" s="1" t="str">
        <f t="shared" si="378"/>
        <v/>
      </c>
      <c r="BH460" s="1" t="str">
        <f t="shared" si="378"/>
        <v/>
      </c>
      <c r="BI460" s="1" t="str">
        <f t="shared" si="378"/>
        <v/>
      </c>
      <c r="BJ460" s="1" t="str">
        <f t="shared" si="378"/>
        <v/>
      </c>
    </row>
    <row r="461" ht="14.25" customHeight="1" spans="1:62">
      <c r="A461" s="10"/>
      <c r="B461" s="36"/>
      <c r="C461" s="10"/>
      <c r="D461" s="10" t="str">
        <f t="shared" si="370"/>
        <v/>
      </c>
      <c r="E461" s="36"/>
      <c r="F461" s="35"/>
      <c r="G461" s="36"/>
      <c r="H461" s="10"/>
      <c r="I461" s="10"/>
      <c r="J461" s="10"/>
      <c r="K461" s="10"/>
      <c r="L461" s="10"/>
      <c r="M461" s="10"/>
      <c r="N461" s="10"/>
      <c r="O461" s="10"/>
      <c r="P461" s="10"/>
      <c r="Q461" s="10"/>
      <c r="R461" s="10"/>
      <c r="S461" s="10" t="str">
        <f t="shared" si="344"/>
        <v/>
      </c>
      <c r="T461" s="10" t="str">
        <f t="shared" si="345"/>
        <v/>
      </c>
      <c r="U461" s="10" t="str">
        <f t="shared" si="346"/>
        <v/>
      </c>
      <c r="V461" s="10" t="str">
        <f t="shared" si="347"/>
        <v/>
      </c>
      <c r="W461" s="10" t="str">
        <f t="shared" si="348"/>
        <v/>
      </c>
      <c r="X461" s="10" t="str">
        <f t="shared" si="349"/>
        <v/>
      </c>
      <c r="Y461" s="10" t="str">
        <f t="shared" si="350"/>
        <v/>
      </c>
      <c r="Z461" s="10" t="str">
        <f t="shared" si="351"/>
        <v/>
      </c>
      <c r="AA461" s="10" t="str">
        <f t="shared" si="352"/>
        <v/>
      </c>
      <c r="AB461" s="10" t="str">
        <f t="shared" si="353"/>
        <v/>
      </c>
      <c r="AC461" s="10" t="str">
        <f t="shared" si="354"/>
        <v/>
      </c>
      <c r="AD461" s="10" t="str">
        <f t="shared" si="355"/>
        <v/>
      </c>
      <c r="AE461" s="10" t="str">
        <f t="shared" si="356"/>
        <v/>
      </c>
      <c r="AF461" s="10" t="str">
        <f t="shared" si="357"/>
        <v/>
      </c>
      <c r="AG461" s="10" t="str">
        <f t="shared" si="358"/>
        <v/>
      </c>
      <c r="AH461" s="10" t="str">
        <f t="shared" si="359"/>
        <v/>
      </c>
      <c r="AI461" s="10" t="str">
        <f>IF(OR(S461="",'4_BENCHMARK'!$C$4=""),"",ABS(S461-'4_BENCHMARK'!$C$4))</f>
        <v/>
      </c>
      <c r="AJ461" s="10" t="str">
        <f>IF(OR(T461="",'4_BENCHMARK'!$C$5=""),"",ABS(T461-'4_BENCHMARK'!$C$5))</f>
        <v/>
      </c>
      <c r="AK461" s="10" t="str">
        <f>IF(OR(U461="",'4_BENCHMARK'!$C$6=""),"",ABS(U461-'4_BENCHMARK'!$C$6))</f>
        <v/>
      </c>
      <c r="AL461" s="10" t="str">
        <f>IF(OR(V461="",'4_BENCHMARK'!$C$7=""),"",ABS(V461-'4_BENCHMARK'!$C$7))</f>
        <v/>
      </c>
      <c r="AM461" s="10" t="str">
        <f>IF(OR(W461="",'4_BENCHMARK'!$C$8=""),"",ABS(W461-'4_BENCHMARK'!$C$8))</f>
        <v/>
      </c>
      <c r="AN461" s="10" t="str">
        <f>IF(OR(X461="",'4_BENCHMARK'!$C$9=""),"",ABS(X461-'4_BENCHMARK'!$C$9))</f>
        <v/>
      </c>
      <c r="AO461" s="10" t="str">
        <f>IF(OR(Y461="",'4_BENCHMARK'!$C$10=""),"",ABS(Y461-'4_BENCHMARK'!$C$10))</f>
        <v/>
      </c>
      <c r="AP461" s="10" t="str">
        <f>IF(OR(Z461="",'4_BENCHMARK'!$C$11=""),"",ABS(Z461-'4_BENCHMARK'!$C$11))</f>
        <v/>
      </c>
      <c r="AQ461" s="13" t="str">
        <f t="shared" si="360"/>
        <v/>
      </c>
      <c r="AR461" s="10"/>
      <c r="AS461" s="36"/>
      <c r="AT461" s="13" t="str">
        <f t="shared" si="361"/>
        <v/>
      </c>
      <c r="AU461" s="1" t="str">
        <f t="shared" ref="AU461:BB461" si="379">IF(AND($I403="yes",$C403&lt;=1949,K461&lt;&gt;""),K461,"")</f>
        <v/>
      </c>
      <c r="AV461" s="1" t="str">
        <f t="shared" si="379"/>
        <v/>
      </c>
      <c r="AW461" s="1" t="str">
        <f t="shared" si="379"/>
        <v/>
      </c>
      <c r="AX461" s="1" t="str">
        <f t="shared" si="379"/>
        <v/>
      </c>
      <c r="AY461" s="1" t="str">
        <f t="shared" si="379"/>
        <v/>
      </c>
      <c r="AZ461" s="1" t="str">
        <f t="shared" si="379"/>
        <v/>
      </c>
      <c r="BA461" s="1" t="str">
        <f t="shared" si="379"/>
        <v/>
      </c>
      <c r="BB461" s="1" t="str">
        <f t="shared" si="379"/>
        <v/>
      </c>
      <c r="BC461" s="1" t="str">
        <f t="shared" ref="BC461:BJ461" si="380">IF(AND($I403="yes",$C403&gt;=2000,K461&lt;&gt;""),K461,"")</f>
        <v/>
      </c>
      <c r="BD461" s="1" t="str">
        <f t="shared" si="380"/>
        <v/>
      </c>
      <c r="BE461" s="1" t="str">
        <f t="shared" si="380"/>
        <v/>
      </c>
      <c r="BF461" s="1" t="str">
        <f t="shared" si="380"/>
        <v/>
      </c>
      <c r="BG461" s="1" t="str">
        <f t="shared" si="380"/>
        <v/>
      </c>
      <c r="BH461" s="1" t="str">
        <f t="shared" si="380"/>
        <v/>
      </c>
      <c r="BI461" s="1" t="str">
        <f t="shared" si="380"/>
        <v/>
      </c>
      <c r="BJ461" s="1" t="str">
        <f t="shared" si="380"/>
        <v/>
      </c>
    </row>
    <row r="462" ht="14.25" customHeight="1" spans="1:62">
      <c r="A462" s="10"/>
      <c r="B462" s="36"/>
      <c r="C462" s="10"/>
      <c r="D462" s="10" t="str">
        <f t="shared" si="370"/>
        <v/>
      </c>
      <c r="E462" s="36"/>
      <c r="F462" s="35"/>
      <c r="G462" s="36"/>
      <c r="H462" s="10"/>
      <c r="I462" s="10"/>
      <c r="J462" s="10"/>
      <c r="K462" s="10"/>
      <c r="L462" s="10"/>
      <c r="M462" s="10"/>
      <c r="N462" s="10"/>
      <c r="O462" s="10"/>
      <c r="P462" s="10"/>
      <c r="Q462" s="10"/>
      <c r="R462" s="10"/>
      <c r="S462" s="10" t="str">
        <f t="shared" si="344"/>
        <v/>
      </c>
      <c r="T462" s="10" t="str">
        <f t="shared" si="345"/>
        <v/>
      </c>
      <c r="U462" s="10" t="str">
        <f t="shared" si="346"/>
        <v/>
      </c>
      <c r="V462" s="10" t="str">
        <f t="shared" si="347"/>
        <v/>
      </c>
      <c r="W462" s="10" t="str">
        <f t="shared" si="348"/>
        <v/>
      </c>
      <c r="X462" s="10" t="str">
        <f t="shared" si="349"/>
        <v/>
      </c>
      <c r="Y462" s="10" t="str">
        <f t="shared" si="350"/>
        <v/>
      </c>
      <c r="Z462" s="10" t="str">
        <f t="shared" si="351"/>
        <v/>
      </c>
      <c r="AA462" s="10" t="str">
        <f t="shared" si="352"/>
        <v/>
      </c>
      <c r="AB462" s="10" t="str">
        <f t="shared" si="353"/>
        <v/>
      </c>
      <c r="AC462" s="10" t="str">
        <f t="shared" si="354"/>
        <v/>
      </c>
      <c r="AD462" s="10" t="str">
        <f t="shared" si="355"/>
        <v/>
      </c>
      <c r="AE462" s="10" t="str">
        <f t="shared" si="356"/>
        <v/>
      </c>
      <c r="AF462" s="10" t="str">
        <f t="shared" si="357"/>
        <v/>
      </c>
      <c r="AG462" s="10" t="str">
        <f t="shared" si="358"/>
        <v/>
      </c>
      <c r="AH462" s="10" t="str">
        <f t="shared" si="359"/>
        <v/>
      </c>
      <c r="AI462" s="10" t="str">
        <f>IF(OR(S462="",'4_BENCHMARK'!$C$4=""),"",ABS(S462-'4_BENCHMARK'!$C$4))</f>
        <v/>
      </c>
      <c r="AJ462" s="10" t="str">
        <f>IF(OR(T462="",'4_BENCHMARK'!$C$5=""),"",ABS(T462-'4_BENCHMARK'!$C$5))</f>
        <v/>
      </c>
      <c r="AK462" s="10" t="str">
        <f>IF(OR(U462="",'4_BENCHMARK'!$C$6=""),"",ABS(U462-'4_BENCHMARK'!$C$6))</f>
        <v/>
      </c>
      <c r="AL462" s="10" t="str">
        <f>IF(OR(V462="",'4_BENCHMARK'!$C$7=""),"",ABS(V462-'4_BENCHMARK'!$C$7))</f>
        <v/>
      </c>
      <c r="AM462" s="10" t="str">
        <f>IF(OR(W462="",'4_BENCHMARK'!$C$8=""),"",ABS(W462-'4_BENCHMARK'!$C$8))</f>
        <v/>
      </c>
      <c r="AN462" s="10" t="str">
        <f>IF(OR(X462="",'4_BENCHMARK'!$C$9=""),"",ABS(X462-'4_BENCHMARK'!$C$9))</f>
        <v/>
      </c>
      <c r="AO462" s="10" t="str">
        <f>IF(OR(Y462="",'4_BENCHMARK'!$C$10=""),"",ABS(Y462-'4_BENCHMARK'!$C$10))</f>
        <v/>
      </c>
      <c r="AP462" s="10" t="str">
        <f>IF(OR(Z462="",'4_BENCHMARK'!$C$11=""),"",ABS(Z462-'4_BENCHMARK'!$C$11))</f>
        <v/>
      </c>
      <c r="AQ462" s="13" t="str">
        <f t="shared" si="360"/>
        <v/>
      </c>
      <c r="AR462" s="10"/>
      <c r="AS462" s="36"/>
      <c r="AT462" s="13" t="str">
        <f t="shared" si="361"/>
        <v/>
      </c>
      <c r="AU462" s="1" t="str">
        <f t="shared" ref="AU462:BB462" si="381">IF(AND($I403="yes",$C403&lt;=1949,K462&lt;&gt;""),K462,"")</f>
        <v/>
      </c>
      <c r="AV462" s="1" t="str">
        <f t="shared" si="381"/>
        <v/>
      </c>
      <c r="AW462" s="1" t="str">
        <f t="shared" si="381"/>
        <v/>
      </c>
      <c r="AX462" s="1" t="str">
        <f t="shared" si="381"/>
        <v/>
      </c>
      <c r="AY462" s="1" t="str">
        <f t="shared" si="381"/>
        <v/>
      </c>
      <c r="AZ462" s="1" t="str">
        <f t="shared" si="381"/>
        <v/>
      </c>
      <c r="BA462" s="1" t="str">
        <f t="shared" si="381"/>
        <v/>
      </c>
      <c r="BB462" s="1" t="str">
        <f t="shared" si="381"/>
        <v/>
      </c>
      <c r="BC462" s="1" t="str">
        <f t="shared" ref="BC462:BJ462" si="382">IF(AND($I403="yes",$C403&gt;=2000,K462&lt;&gt;""),K462,"")</f>
        <v/>
      </c>
      <c r="BD462" s="1" t="str">
        <f t="shared" si="382"/>
        <v/>
      </c>
      <c r="BE462" s="1" t="str">
        <f t="shared" si="382"/>
        <v/>
      </c>
      <c r="BF462" s="1" t="str">
        <f t="shared" si="382"/>
        <v/>
      </c>
      <c r="BG462" s="1" t="str">
        <f t="shared" si="382"/>
        <v/>
      </c>
      <c r="BH462" s="1" t="str">
        <f t="shared" si="382"/>
        <v/>
      </c>
      <c r="BI462" s="1" t="str">
        <f t="shared" si="382"/>
        <v/>
      </c>
      <c r="BJ462" s="1" t="str">
        <f t="shared" si="382"/>
        <v/>
      </c>
    </row>
    <row r="463" ht="14.25" customHeight="1" spans="1:62">
      <c r="A463" s="10"/>
      <c r="B463" s="36"/>
      <c r="C463" s="10"/>
      <c r="D463" s="10" t="str">
        <f t="shared" si="370"/>
        <v/>
      </c>
      <c r="E463" s="36"/>
      <c r="F463" s="35"/>
      <c r="G463" s="36"/>
      <c r="H463" s="10"/>
      <c r="I463" s="10"/>
      <c r="J463" s="10"/>
      <c r="K463" s="10"/>
      <c r="L463" s="10"/>
      <c r="M463" s="10"/>
      <c r="N463" s="10"/>
      <c r="O463" s="10"/>
      <c r="P463" s="10"/>
      <c r="Q463" s="10"/>
      <c r="R463" s="10"/>
      <c r="S463" s="10" t="str">
        <f t="shared" si="344"/>
        <v/>
      </c>
      <c r="T463" s="10" t="str">
        <f t="shared" si="345"/>
        <v/>
      </c>
      <c r="U463" s="10" t="str">
        <f t="shared" si="346"/>
        <v/>
      </c>
      <c r="V463" s="10" t="str">
        <f t="shared" si="347"/>
        <v/>
      </c>
      <c r="W463" s="10" t="str">
        <f t="shared" si="348"/>
        <v/>
      </c>
      <c r="X463" s="10" t="str">
        <f t="shared" si="349"/>
        <v/>
      </c>
      <c r="Y463" s="10" t="str">
        <f t="shared" si="350"/>
        <v/>
      </c>
      <c r="Z463" s="10" t="str">
        <f t="shared" si="351"/>
        <v/>
      </c>
      <c r="AA463" s="10" t="str">
        <f t="shared" si="352"/>
        <v/>
      </c>
      <c r="AB463" s="10" t="str">
        <f t="shared" si="353"/>
        <v/>
      </c>
      <c r="AC463" s="10" t="str">
        <f t="shared" si="354"/>
        <v/>
      </c>
      <c r="AD463" s="10" t="str">
        <f t="shared" si="355"/>
        <v/>
      </c>
      <c r="AE463" s="10" t="str">
        <f t="shared" si="356"/>
        <v/>
      </c>
      <c r="AF463" s="10" t="str">
        <f t="shared" si="357"/>
        <v/>
      </c>
      <c r="AG463" s="10" t="str">
        <f t="shared" si="358"/>
        <v/>
      </c>
      <c r="AH463" s="10" t="str">
        <f t="shared" si="359"/>
        <v/>
      </c>
      <c r="AI463" s="10" t="str">
        <f>IF(OR(S463="",'4_BENCHMARK'!$C$4=""),"",ABS(S463-'4_BENCHMARK'!$C$4))</f>
        <v/>
      </c>
      <c r="AJ463" s="10" t="str">
        <f>IF(OR(T463="",'4_BENCHMARK'!$C$5=""),"",ABS(T463-'4_BENCHMARK'!$C$5))</f>
        <v/>
      </c>
      <c r="AK463" s="10" t="str">
        <f>IF(OR(U463="",'4_BENCHMARK'!$C$6=""),"",ABS(U463-'4_BENCHMARK'!$C$6))</f>
        <v/>
      </c>
      <c r="AL463" s="10" t="str">
        <f>IF(OR(V463="",'4_BENCHMARK'!$C$7=""),"",ABS(V463-'4_BENCHMARK'!$C$7))</f>
        <v/>
      </c>
      <c r="AM463" s="10" t="str">
        <f>IF(OR(W463="",'4_BENCHMARK'!$C$8=""),"",ABS(W463-'4_BENCHMARK'!$C$8))</f>
        <v/>
      </c>
      <c r="AN463" s="10" t="str">
        <f>IF(OR(X463="",'4_BENCHMARK'!$C$9=""),"",ABS(X463-'4_BENCHMARK'!$C$9))</f>
        <v/>
      </c>
      <c r="AO463" s="10" t="str">
        <f>IF(OR(Y463="",'4_BENCHMARK'!$C$10=""),"",ABS(Y463-'4_BENCHMARK'!$C$10))</f>
        <v/>
      </c>
      <c r="AP463" s="10" t="str">
        <f>IF(OR(Z463="",'4_BENCHMARK'!$C$11=""),"",ABS(Z463-'4_BENCHMARK'!$C$11))</f>
        <v/>
      </c>
      <c r="AQ463" s="13" t="str">
        <f t="shared" si="360"/>
        <v/>
      </c>
      <c r="AR463" s="10"/>
      <c r="AS463" s="36"/>
      <c r="AT463" s="13" t="str">
        <f t="shared" si="361"/>
        <v/>
      </c>
      <c r="AU463" s="1" t="str">
        <f t="shared" ref="AU463:BB463" si="383">IF(AND($I403="yes",$C403&lt;=1949,K463&lt;&gt;""),K463,"")</f>
        <v/>
      </c>
      <c r="AV463" s="1" t="str">
        <f t="shared" si="383"/>
        <v/>
      </c>
      <c r="AW463" s="1" t="str">
        <f t="shared" si="383"/>
        <v/>
      </c>
      <c r="AX463" s="1" t="str">
        <f t="shared" si="383"/>
        <v/>
      </c>
      <c r="AY463" s="1" t="str">
        <f t="shared" si="383"/>
        <v/>
      </c>
      <c r="AZ463" s="1" t="str">
        <f t="shared" si="383"/>
        <v/>
      </c>
      <c r="BA463" s="1" t="str">
        <f t="shared" si="383"/>
        <v/>
      </c>
      <c r="BB463" s="1" t="str">
        <f t="shared" si="383"/>
        <v/>
      </c>
      <c r="BC463" s="1" t="str">
        <f t="shared" ref="BC463:BJ463" si="384">IF(AND($I403="yes",$C403&gt;=2000,K463&lt;&gt;""),K463,"")</f>
        <v/>
      </c>
      <c r="BD463" s="1" t="str">
        <f t="shared" si="384"/>
        <v/>
      </c>
      <c r="BE463" s="1" t="str">
        <f t="shared" si="384"/>
        <v/>
      </c>
      <c r="BF463" s="1" t="str">
        <f t="shared" si="384"/>
        <v/>
      </c>
      <c r="BG463" s="1" t="str">
        <f t="shared" si="384"/>
        <v/>
      </c>
      <c r="BH463" s="1" t="str">
        <f t="shared" si="384"/>
        <v/>
      </c>
      <c r="BI463" s="1" t="str">
        <f t="shared" si="384"/>
        <v/>
      </c>
      <c r="BJ463" s="1" t="str">
        <f t="shared" si="384"/>
        <v/>
      </c>
    </row>
    <row r="464" ht="14.25" customHeight="1" spans="1:62">
      <c r="A464" s="10"/>
      <c r="B464" s="36"/>
      <c r="C464" s="10"/>
      <c r="D464" s="10" t="str">
        <f t="shared" si="370"/>
        <v/>
      </c>
      <c r="E464" s="36"/>
      <c r="F464" s="35"/>
      <c r="G464" s="36"/>
      <c r="H464" s="10"/>
      <c r="I464" s="10"/>
      <c r="J464" s="10"/>
      <c r="K464" s="10"/>
      <c r="L464" s="10"/>
      <c r="M464" s="10"/>
      <c r="N464" s="10"/>
      <c r="O464" s="10"/>
      <c r="P464" s="10"/>
      <c r="Q464" s="10"/>
      <c r="R464" s="10"/>
      <c r="S464" s="10" t="str">
        <f t="shared" si="344"/>
        <v/>
      </c>
      <c r="T464" s="10" t="str">
        <f t="shared" si="345"/>
        <v/>
      </c>
      <c r="U464" s="10" t="str">
        <f t="shared" si="346"/>
        <v/>
      </c>
      <c r="V464" s="10" t="str">
        <f t="shared" si="347"/>
        <v/>
      </c>
      <c r="W464" s="10" t="str">
        <f t="shared" si="348"/>
        <v/>
      </c>
      <c r="X464" s="10" t="str">
        <f t="shared" si="349"/>
        <v/>
      </c>
      <c r="Y464" s="10" t="str">
        <f t="shared" si="350"/>
        <v/>
      </c>
      <c r="Z464" s="10" t="str">
        <f t="shared" si="351"/>
        <v/>
      </c>
      <c r="AA464" s="10" t="str">
        <f t="shared" si="352"/>
        <v/>
      </c>
      <c r="AB464" s="10" t="str">
        <f t="shared" si="353"/>
        <v/>
      </c>
      <c r="AC464" s="10" t="str">
        <f t="shared" si="354"/>
        <v/>
      </c>
      <c r="AD464" s="10" t="str">
        <f t="shared" si="355"/>
        <v/>
      </c>
      <c r="AE464" s="10" t="str">
        <f t="shared" si="356"/>
        <v/>
      </c>
      <c r="AF464" s="10" t="str">
        <f t="shared" si="357"/>
        <v/>
      </c>
      <c r="AG464" s="10" t="str">
        <f t="shared" si="358"/>
        <v/>
      </c>
      <c r="AH464" s="10" t="str">
        <f t="shared" si="359"/>
        <v/>
      </c>
      <c r="AI464" s="10" t="str">
        <f>IF(OR(S464="",'4_BENCHMARK'!$C$4=""),"",ABS(S464-'4_BENCHMARK'!$C$4))</f>
        <v/>
      </c>
      <c r="AJ464" s="10" t="str">
        <f>IF(OR(T464="",'4_BENCHMARK'!$C$5=""),"",ABS(T464-'4_BENCHMARK'!$C$5))</f>
        <v/>
      </c>
      <c r="AK464" s="10" t="str">
        <f>IF(OR(U464="",'4_BENCHMARK'!$C$6=""),"",ABS(U464-'4_BENCHMARK'!$C$6))</f>
        <v/>
      </c>
      <c r="AL464" s="10" t="str">
        <f>IF(OR(V464="",'4_BENCHMARK'!$C$7=""),"",ABS(V464-'4_BENCHMARK'!$C$7))</f>
        <v/>
      </c>
      <c r="AM464" s="10" t="str">
        <f>IF(OR(W464="",'4_BENCHMARK'!$C$8=""),"",ABS(W464-'4_BENCHMARK'!$C$8))</f>
        <v/>
      </c>
      <c r="AN464" s="10" t="str">
        <f>IF(OR(X464="",'4_BENCHMARK'!$C$9=""),"",ABS(X464-'4_BENCHMARK'!$C$9))</f>
        <v/>
      </c>
      <c r="AO464" s="10" t="str">
        <f>IF(OR(Y464="",'4_BENCHMARK'!$C$10=""),"",ABS(Y464-'4_BENCHMARK'!$C$10))</f>
        <v/>
      </c>
      <c r="AP464" s="10" t="str">
        <f>IF(OR(Z464="",'4_BENCHMARK'!$C$11=""),"",ABS(Z464-'4_BENCHMARK'!$C$11))</f>
        <v/>
      </c>
      <c r="AQ464" s="13" t="str">
        <f t="shared" si="360"/>
        <v/>
      </c>
      <c r="AR464" s="10"/>
      <c r="AS464" s="36"/>
      <c r="AT464" s="13" t="str">
        <f t="shared" si="361"/>
        <v/>
      </c>
      <c r="AU464" s="1" t="str">
        <f t="shared" ref="AU464:BB464" si="385">IF(AND($I403="yes",$C403&lt;=1949,K464&lt;&gt;""),K464,"")</f>
        <v/>
      </c>
      <c r="AV464" s="1" t="str">
        <f t="shared" si="385"/>
        <v/>
      </c>
      <c r="AW464" s="1" t="str">
        <f t="shared" si="385"/>
        <v/>
      </c>
      <c r="AX464" s="1" t="str">
        <f t="shared" si="385"/>
        <v/>
      </c>
      <c r="AY464" s="1" t="str">
        <f t="shared" si="385"/>
        <v/>
      </c>
      <c r="AZ464" s="1" t="str">
        <f t="shared" si="385"/>
        <v/>
      </c>
      <c r="BA464" s="1" t="str">
        <f t="shared" si="385"/>
        <v/>
      </c>
      <c r="BB464" s="1" t="str">
        <f t="shared" si="385"/>
        <v/>
      </c>
      <c r="BC464" s="1" t="str">
        <f t="shared" ref="BC464:BJ464" si="386">IF(AND($I403="yes",$C403&gt;=2000,K464&lt;&gt;""),K464,"")</f>
        <v/>
      </c>
      <c r="BD464" s="1" t="str">
        <f t="shared" si="386"/>
        <v/>
      </c>
      <c r="BE464" s="1" t="str">
        <f t="shared" si="386"/>
        <v/>
      </c>
      <c r="BF464" s="1" t="str">
        <f t="shared" si="386"/>
        <v/>
      </c>
      <c r="BG464" s="1" t="str">
        <f t="shared" si="386"/>
        <v/>
      </c>
      <c r="BH464" s="1" t="str">
        <f t="shared" si="386"/>
        <v/>
      </c>
      <c r="BI464" s="1" t="str">
        <f t="shared" si="386"/>
        <v/>
      </c>
      <c r="BJ464" s="1" t="str">
        <f t="shared" si="386"/>
        <v/>
      </c>
    </row>
  </sheetData>
  <dataValidations count="4">
    <dataValidation type="whole" operator="between" allowBlank="1" showErrorMessage="1" errorTitle="Год вне диапазона" sqref="C5:C464">
      <formula1>1854</formula1>
      <formula2>2026</formula2>
    </dataValidation>
    <dataValidation type="list" allowBlank="1" sqref="AR5:AR464 H5:I464">
      <formula1>"yes,no"</formula1>
    </dataValidation>
    <dataValidation type="list" allowBlank="1" sqref="AS5:AS464">
      <formula1>"trunk,suitcase,bag,case,other"</formula1>
    </dataValidation>
    <dataValidation type="whole" operator="between" allowBlank="1" showErrorMessage="1" errorTitle="Только 1–5" error="Оценка признака — целое число от 1 до 5." sqref="K5:R464">
      <formula1>1</formula1>
      <formula2>5</formula2>
    </dataValidation>
  </dataValidations>
  <hyperlinks>
    <hyperlink ref="F5" r:id="rId1" display="https://onlineonly.christies.com/s/legendary-trunks-european-private-collection/rare-hermetic-copper-explorer-wardrobe-trunk-brass-hardware-50/227376"/>
    <hyperlink ref="F6" r:id="rId2" display="https://onlineonly.christies.com/s/handbags-online-september-edition/rare-limited-edition-yellow-black-monogram-leather-pumpkin-bag-silver-60/231632"/>
    <hyperlink ref="F7" r:id="rId3" display="https://onlineonly.christies.com/s/legendary-trunks-european-private-collection/rare-hermetic-copper-rifle-trunk-brass-hardware-45/227574"/>
    <hyperlink ref="F8" r:id="rId4" display="https://www.christies.com/en/lot/lot-6586998"/>
    <hyperlink ref="F9" r:id="rId5" display="https://www.christies.com/en/lot/lot-6177673"/>
    <hyperlink ref="F10" r:id="rId6" display="https://www.christies.com/en/lot/lot-6205936"/>
    <hyperlink ref="F11" r:id="rId7" display="https://onlineonly.christies.com/s/legendary-trunks-european-private-collection-part-ii/rare-hermetic-zinc-explorer-trunk-brass-hardware-38/262989"/>
    <hyperlink ref="F12" r:id="rId8" display="https://www.christies.com/en/lot/lot-6205939"/>
    <hyperlink ref="F13" r:id="rId9" display="https://onlineonly.christies.com/s/legendary-trunks-european-private-collection-part-ii/rare-hermetic-zinc-explorer-trunk-brass-hardware-41/262988"/>
    <hyperlink ref="F14" r:id="rId10" display="https://onlineonly.christies.com/s/legendary-trunks-european-private-collection/red-vuittonite-canvas-trunk-brass-hardware-34/227357"/>
    <hyperlink ref="F15" r:id="rId11" display="https://onlineonly.christies.com/s/legendary-trunks-european-private-collection-part-ii/monogram-canvas-desk-trunk-thirty-pairs-shoes-brass-hardware-31/262977"/>
    <hyperlink ref="F16" r:id="rId12" display="https://onlineonly.christies.com/s/legendary-trunks-european-private-collection/monogram-canvas-library-trunk-brass-hardware-22/227559"/>
    <hyperlink ref="F17" r:id="rId13" display="https://onlineonly.christies.com/s/greats-streetwear-sneakers-collectibles/louis-vuitton-limited-edition-yellow-steamer-trunk-virgil-abloh-28/173076"/>
    <hyperlink ref="F18" r:id="rId14" display="https://onlineonly.christies.com/s/legendary-trunks-european-private-collection/monogram-canvas-courrier-110-trunk-brass-hardware-51/227377"/>
    <hyperlink ref="F19" r:id="rId15" display="https://onlineonly.christies.com/s/legendary-trunks-european-private-collection/rare-hermetic-zinc-explorer-trunk-brass-hardware-59/227580"/>
    <hyperlink ref="F20" r:id="rId16" display="https://onlineonly.christies.com/s/legendary-trunks-european-private-collection/rare-monogram-canvas-casino-trunk-brass-hardware-36/227569"/>
    <hyperlink ref="F21" r:id="rId17" display="https://onlineonly.christies.com/s/legendary-trunks-european-private-collection-part-ii/shiny-brown-porosus-crocodile-tortoise-shell-toiletry-kit-trunk-brass-69/263017"/>
    <hyperlink ref="F22" r:id="rId18" display="https://www.christies.com/en/lot/lot-6558305"/>
    <hyperlink ref="F23" r:id="rId19" display="https://www.christies.com/en/lot/lot-6399673"/>
    <hyperlink ref="F24" r:id="rId20" display="https://onlineonly.christies.com/s/legendary-trunks-european-private-collection-part-ii/monogram-canvas-trunk-1000-cigars-brass-hardware-57/263004"/>
    <hyperlink ref="F25" r:id="rId21" display="https://onlineonly.christies.com/s/legendary-trunks-european-private-collection/monogram-canvas-ladys-high-110-trunk-brass-hardware-25/227561"/>
    <hyperlink ref="F26" r:id="rId22" display="https://www.christies.com/en/lot/lot-6373833"/>
    <hyperlink ref="F27" r:id="rId23" display="https://www.christies.com/en/lot/lot-6399677"/>
    <hyperlink ref="F28" r:id="rId24" display="https://www.christies.com/en/lot/lot-6558304"/>
    <hyperlink ref="F29" r:id="rId25" display="https://onlineonly.christies.com/s/legendary-trunks-european-private-collection/monogram-canvas-trunk-doors-drawers-brass-hardware-43/227367"/>
    <hyperlink ref="F30" r:id="rId26" display="https://onlineonly.christies.com/s/legendary-trunks-european-private-collection/rare-monogram-canvas-fishing-trunk-brass-hardware-21/227560"/>
    <hyperlink ref="F31" r:id="rId27" display="https://onlineonly.christies.com/s/legendary-trunks-european-private-collection/green-vuittonite-canvas-courrier-90-trunk-black-lacquered-iron-65/227584"/>
    <hyperlink ref="F32" r:id="rId28" display="https://onlineonly.christies.com/s/legendary-trunks-european-private-collection/orange-vuittonite-canvas-courrier-100-trunk-brass-hardware-6/227545"/>
    <hyperlink ref="F33" r:id="rId29" display="https://www.christies.com/en/lot/lot-6293493"/>
    <hyperlink ref="F34" r:id="rId30" display="https://onlineonly.christies.com/s/legendary-trunks-european-private-collection/natural-cowhide-leather-picnic-trunk-brass-hardware-3/227328"/>
    <hyperlink ref="F35" r:id="rId31" display="https://onlineonly.christies.com/s/legendary-trunks-european-private-collection/damier-canvas-trunk-doors-drawers-brass-hardware-82/227407"/>
    <hyperlink ref="F36" r:id="rId32" display="https://www.christies.com/en/lot/lot-6373834"/>
    <hyperlink ref="F37" r:id="rId33" display="https://www.christies.com/en/lot/lot-6373835"/>
    <hyperlink ref="F38" r:id="rId34" display="https://www.christies.com/en/lot/lot-6399675"/>
    <hyperlink ref="F39" r:id="rId35" display="https://www.christies.com/en/lot/lot-6399676"/>
    <hyperlink ref="F40" r:id="rId36" display="https://onlineonly.christies.com/s/legendary-trunks-european-private-collection/orange-vuittonite-canvas-double-drawer-wardrobe-trunk-brass-hardware-30/227355"/>
    <hyperlink ref="F41" r:id="rId37" display="https://onlineonly.christies.com/s/legendary-trunks-european-private-collection/mahogany-running-board-trunk-automobile-tools-brass-hardware-83/227592"/>
    <hyperlink ref="F42" r:id="rId38" display="https://onlineonly.christies.com/s/handbags-online-new-york-edit/very-rare-brown-tan-patterned-stenciled-canvas-wood-malle-courrier-110-63/205210"/>
    <hyperlink ref="F43" r:id="rId39" display="https://www.christies.com/en/lot/lot-6144072"/>
    <hyperlink ref="F44" r:id="rId40" display="https://onlineonly.christies.com/s/legendary-trunks-european-private-collection/natural-cowhide-leather-ideal-trunk-brass-hardware-5/227546"/>
    <hyperlink ref="F45" r:id="rId41" display="https://www.christies.com/en/lot/lot-6558303"/>
    <hyperlink ref="F46" r:id="rId42" display="https://onlineonly.christies.com/s/legendary-trunks-european-private-collection-part-ii/rare-monogram-canvas-explorators-camp-bed-trunk-brass-hardware-33/262983"/>
    <hyperlink ref="F47" r:id="rId43" display="https://onlineonly.christies.com/s/legendary-trunks-european-private-collection/damier-canvas-men-high-90-trunk-brass-hardware-61/227385"/>
    <hyperlink ref="F48" r:id="rId44" display="https://onlineonly.christies.com/s/legendary-trunks-european-private-collection-part-ii/group-two-orange-vuittonite-canvas-desk-trunk-linen-orange-vuittonite-11/262958"/>
    <hyperlink ref="F49" r:id="rId45" display="https://onlineonly.christies.com/s/handbags-online-paris-edit/matte-white-silver-himalaya-niloticus-crocodile-mini-capucines-silver-164/278818"/>
    <hyperlink ref="F50" r:id="rId46" display="https://onlineonly.christies.com/s/legendary-trunks-european-private-collection/special-order-shiny-brown-alligator-caviar-set-box-gold-hardware-71/227394"/>
    <hyperlink ref="F51" r:id="rId47" display="https://onlineonly.christies.com/s/legendary-trunks-european-private-collection-part-ii/rare-monogram-paper-wood-mini-flower-trunk-brass-hardware-37/262987"/>
    <hyperlink ref="F52" r:id="rId48" display="https://www.christies.com/en/lot/lot-6399674"/>
    <hyperlink ref="F53" r:id="rId49" display="https://onlineonly.christies.com/s/legendary-trunks-european-private-collection/rare-monogram-canvas-library-trunk-set-1911-britannica-encyclopaedia-41/227572"/>
    <hyperlink ref="F54" r:id="rId50" display="https://onlineonly.christies.com/s/legendary-trunks-european-private-collection/monogram-canvas-wardrobe-trunk-brass-hardware-80/227404"/>
    <hyperlink ref="F55" r:id="rId51" display="https://onlineonly.christies.com/s/handbags-online-new-york-edit/personalized-brown-monogram-canvas-pegase-50-62/205205"/>
    <hyperlink ref="F56" r:id="rId52" display="https://www.christies.com/en/lot/lot-6532730"/>
    <hyperlink ref="F57" r:id="rId53" display="https://onlineonly.christies.com/s/handbags-online-paris-edit/shiny-emerald-green-alligator-mini-capucines-gold-hardware-202/278855"/>
    <hyperlink ref="F58" r:id="rId54" display="https://www.christies.com/en/lot/lot-5764569"/>
    <hyperlink ref="F59" r:id="rId55" display="https://www.christies.com/en/lot/lot-6205935"/>
    <hyperlink ref="F60" r:id="rId56" display="https://www.christies.com/en/lot/lot-5921716"/>
    <hyperlink ref="F61" r:id="rId57" display="https://www.christies.com/en/lot/lot-6586994"/>
    <hyperlink ref="F62" r:id="rId58" display="https://onlineonly.christies.com/s/legendary-trunks-european-private-collection-part-ii/monogram-canvas-wardrobe-trunk-brass-hardware-61/263009"/>
    <hyperlink ref="F63" r:id="rId59" display="https://onlineonly.christies.com/s/handbags-online-power-colour/matte-white-himalaya-crocodile-city-steamer-pm-silver-hardware-128/159190"/>
    <hyperlink ref="F64" r:id="rId60" display="https://onlineonly.christies.com/s/handbags-online-paris-edit-unlocking-orange-dream-part-ii/limited-edition-orange-mat-monogram-natural-leather-bandouliere-speedy-66/257067"/>
    <hyperlink ref="F65" r:id="rId61" display="https://www.christies.com/en/lot/lot-6319603"/>
    <hyperlink ref="F66" r:id="rId62" display="https://onlineonly.christies.com/s/legendary-trunks-european-private-collection-part-ii/natural-wood-courrier-80-trunk-black-lacquered-iron-hardware-103/263053"/>
    <hyperlink ref="F67" r:id="rId63" display="https://onlineonly.christies.com/s/legendary-trunks-european-private-collection/shiny-brown-porosus-crocodile-toiletry-kit-trunk-brass-hardware-92/227416"/>
    <hyperlink ref="F68" r:id="rId64" display="https://onlineonly.christies.com/s/legendary-trunks-european-private-collection/natural-cowhide-leather-ideal-trunk-brass-hardware-8/227548"/>
    <hyperlink ref="F69" r:id="rId65" display="https://onlineonly.christies.com/s/legendary-trunks-european-private-collection-part-ii/monogram-fabric-canvas-mens-low-90-trunk-black-lacquered-iron-brass-4/262953"/>
    <hyperlink ref="F70" r:id="rId66" display="https://onlineonly.christies.com/s/legendary-trunks-european-private-collection-part-ii/gris-trianon-coated-canvas-low-trunk-black-lacquered-iron-hardware-85/263033"/>
    <hyperlink ref="F71" r:id="rId67" display="https://onlineonly.christies.com/s/handbags-online-new-york-edit/limited-edition-classic-monogram-canvas-pooch-bag-gold-hardware-251/284551"/>
    <hyperlink ref="F72" r:id="rId68" display="https://onlineonly.christies.com/s/legendary-trunks-european-private-collection/natural-cowhide-leather-wardrobe-trunk-brass-hardware-24/227562"/>
    <hyperlink ref="F73" r:id="rId69" display="https://onlineonly.christies.com/s/handbags-online-paris-edit/limited-edition-brown-calfskin-satchel-gold-hardware-219/314188"/>
    <hyperlink ref="F74" r:id="rId70" display="https://onlineonly.christies.com/s/legendary-trunks-european-private-collection/damier-canvas-ladys-high-100-trunk-brass-hardware-27/227352"/>
    <hyperlink ref="F75" r:id="rId71" display="https://onlineonly.christies.com/s/legendary-trunks-european-private-collection-part-ii/orange-vuittonite-canvas-cabin-110-trunk-brass-hardware-7/262955"/>
    <hyperlink ref="F76" r:id="rId72" display="https://onlineonly.christies.com/s/legendary-trunks-european-private-collection-part-ii/monogram-canvas-cabin-80-trunk-brass-hardware-18/262966"/>
    <hyperlink ref="F77" r:id="rId73" display="https://onlineonly.christies.com/s/legendary-trunks-european-private-collection-part-ii/brown-beige-striped-canvas-low-110-trunk-black-lacquered-iron-brass-29/262979"/>
    <hyperlink ref="F78" r:id="rId74" display="https://www.christies.com/en/lot/lot-6586975"/>
    <hyperlink ref="F79" r:id="rId75" display="https://www.christies.com/en/lot/lot-6100124"/>
    <hyperlink ref="F80" r:id="rId76" display="https://www.christies.com/en/lot/lot-5403059"/>
    <hyperlink ref="F81" r:id="rId77" display="https://onlineonly.christies.com/s/legendary-trunks-european-private-collection/gris-trianon-canvas-trunk-black-lacquered-iron-hardware-60/227578"/>
    <hyperlink ref="F82" r:id="rId78" display="https://onlineonly.christies.com/s/handbags-online-new-york-edit/white-blush-metallic-alligator-petite-malle-brushed-rose-gold-hardware-150/260333"/>
    <hyperlink ref="F83" r:id="rId79" display="https://onlineonly.christies.com/s/collection-sir-elton-john-out-closet/fuchsia-monogram-vernis-patent-leather-pegase-55-1329/209124"/>
    <hyperlink ref="F84" r:id="rId80" display="https://onlineonly.christies.com/s/legendary-trunks-european-private-collection-part-ii/monogram-canvas-wardrobe-trunk-brass-hardware-78/263028"/>
    <hyperlink ref="F85" r:id="rId81" display="https://www.vam.ac.uk/articles/trunks-and-travelling"/>
    <hyperlink ref="F86" r:id="rId82" display="https://collections.vam.ac.uk/item/O1496951/louis-vuitton-monogram-miroir-speedy-handbag-marc-jacobs/"/>
    <hyperlink ref="F87" r:id="rId83" display="https://collections.vam.ac.uk/item/O1532382/christopher-backpack-bag-louis-vuitton/"/>
    <hyperlink ref="F88" r:id="rId84" display="https://collections.vam.ac.uk/item/O1518732/graffiti-keepall-50-bag-bag-sprouse-stephen/"/>
    <hyperlink ref="F89" r:id="rId85" display="https://collections.vam.ac.uk/item/O1500006/eye-need-you-bag-handbag-murakami-takashi/"/>
    <hyperlink ref="F90" r:id="rId86" display="https://onlineonly.christies.com/s/handbags-online-paris-edit-unlocking-orange-dream-part-ii/group-two-navy-blue-calfskin-leather-beads-fleurs-dasnieres-capucines-140/257142"/>
    <hyperlink ref="F91" r:id="rId87" display="https://www.christies.com/en/lot/lot-5998315"/>
    <hyperlink ref="F92" r:id="rId88" display="https://www.christies.com/en/lot/lot-5998391"/>
    <hyperlink ref="F93" r:id="rId89" display="https://www.christies.com/en/lot/lot-6234573"/>
    <hyperlink ref="F94" r:id="rId90" display="https://onlineonly.christies.com/s/handbags-online-london-edition/limited-edition-classic-canvas-superflat-jewellery-box-takashi-109/88138"/>
    <hyperlink ref="F95" r:id="rId91" display="https://onlineonly.christies.com/s/handbags-accessories-online-timeless-luxury/matte-caramel-alligator-volta-gold-hardware-61/61696"/>
    <hyperlink ref="F96" r:id="rId92" display="https://onlineonly.christies.com/s/handbags-accessories/red-white-epi-leather-christopher-backpack-silver-hardware-supreme-34/50461"/>
    <hyperlink ref="F97" r:id="rId93" display="https://onlineonly.christies.com/s/handbags-online-paris-edit/group-two-limited-edition-shiny-black-gold-aurora-alligator-mini-290/278719"/>
    <hyperlink ref="F98" r:id="rId94" display="https://onlineonly.christies.com/s/handbags-online-hong-kong-edit/limited-edition-cannes-vase-architettura-bag-gold-hardware-fornasetti-212/214613"/>
    <hyperlink ref="F99" r:id="rId95" display="https://onlineonly.christies.com/s/handbags-online-new-york-edit/limited-edition-green-black-monogramouflage-coated-canvas-keepall-64/311847"/>
    <hyperlink ref="F100" r:id="rId96" display="https://onlineonly.christies.com/s/handbags-online-new-york-edit/grey-monogram-eclipse-alzer-60-trunk-travel-set-210/311992"/>
    <hyperlink ref="F101" r:id="rId97" display="https://www.christies.com/en/lot/lot-6031063"/>
    <hyperlink ref="F102" r:id="rId98" display="https://www.christies.com/en/lot/lot-5538121"/>
    <hyperlink ref="F103" r:id="rId99" display="https://onlineonly.christies.com/s/handbags-online-new-york-edit/limited-edition-classic-monogram-canvas-lv-hand-moca-superflat-71/242572"/>
    <hyperlink ref="F104" r:id="rId100" display="https://onlineonly.christies.com/s/handbags-online-paris-edit/bleu-turquoise-ostrich-mini-capucines-silver-hardware-175/278830"/>
    <hyperlink ref="F105" r:id="rId101" display="https://www.christies.com/en/lot/lot-6532731"/>
    <hyperlink ref="F106" r:id="rId102" display="https://onlineonly.christies.com/s/legendary-trunks-european-private-collection-part-ii/orange-vuittonite-canvas-wardrobe-trunk-brass-hardware-14/262962"/>
    <hyperlink ref="F107" r:id="rId103" display="https://onlineonly.christies.com/s/legendary-trunks-european-private-collection-part-ii/monogram-canvas-cabin-90-trunk-brass-hardware-24/262972"/>
    <hyperlink ref="F108" r:id="rId104" display="https://onlineonly.christies.com/s/legendary-trunks-european-private-collection-part-ii/red-brown-striped-canvas-mens-high-120-trunk-black-lacquered-iron-65/263012"/>
    <hyperlink ref="F109" r:id="rId105" display="https://www.christies.com/en/lot/lot-6099908"/>
    <hyperlink ref="F110" r:id="rId106" display="https://onlineonly.christies.com/s/handbags-accessories/classic-monogram-canvas-womens-steamer-trunk-brass-hardware-257/57740"/>
    <hyperlink ref="F111" r:id="rId107" display="https://onlineonly.christies.com/s/legendary-trunks-european-private-collection-part-ii/gris-trianon-canvas-trunk-brass-hardware-39/262986"/>
    <hyperlink ref="F112" r:id="rId108" display="https://onlineonly.christies.com/s/legendary-trunks-european-private-collection-part-ii/monogram-canvas-ideal-trunk-brass-hardware-73/263019"/>
    <hyperlink ref="F113" r:id="rId109" display="https://onlineonly.christies.com/s/handbags-online/fall-winter-runway-metallic-silver-mirror-monogram-calfskin-cotteville-90/221369"/>
    <hyperlink ref="F114" r:id="rId110" display="https://onlineonly.christies.com/s/handbags-online/limited-edition-iconoclast-monogram-canvas-natural-leather-twisted-box-231/221508"/>
    <hyperlink ref="F115" r:id="rId111" display="https://www.christies.com/en/lot/lot-6206015"/>
    <hyperlink ref="F116" r:id="rId112" display="https://www.christies.com/en/lot/lot-6205543"/>
    <hyperlink ref="F117" r:id="rId113" display="https://www.christies.com/en/lot/lot-6558301"/>
    <hyperlink ref="F118" r:id="rId114" display="https://onlineonly.christies.com/s/handbags-online-new-york-edit/limited-edition-classic-monogram-canvas-panda-superflat-jewellery-box-70/242571"/>
    <hyperlink ref="F119" r:id="rId115" display="https://onlineonly.christies.com/s/handbags-online-london-edition/shiny-olive-green-niloticus-crocodile-petite-boite-chapeau-gold-94/88119"/>
    <hyperlink ref="F120" r:id="rId116" display="https://onlineonly.christies.com/s/handbags-online-paris-edit/monogram-canvas-wardrobe-trunk-brass-hardware-181/168044"/>
    <hyperlink ref="F121" r:id="rId117" display="https://onlineonly.christies.com/s/legendary-trunks-european-private-collection-part-ii/monogram-canvas-cabin-110-trunk-brass-hardware-56/263006"/>
    <hyperlink ref="F122" r:id="rId118" display="https://onlineonly.christies.com/s/legendary-trunks-european-private-collection-part-ii/monogram-canvas-hat-trunk-brass-hardware-70/263021"/>
    <hyperlink ref="F123" r:id="rId119" display="https://www.christies.com/en/lot/lot-6293490"/>
    <hyperlink ref="F124" r:id="rId120" display="https://onlineonly.christies.com/s/handbags-online-new-york-edit/limited-edition-multicolor-leather-artycapucines-78/223334"/>
    <hyperlink ref="F125" r:id="rId121" display="https://www.christies.com/en/lot/lot-6022779"/>
    <hyperlink ref="F126" r:id="rId122" display="https://onlineonly.christies.com/s/handbags-online-hong-kong-edit/limited-edition-artycapucines-mm-zeng-fanzhi-255/250029"/>
    <hyperlink ref="F127" r:id="rId123" display="https://onlineonly.christies.com/s/handbags-online-paris-edit/limited-edition-classic-monogram-canvas-no-7-alzer-soft-55-brass-299/278725"/>
    <hyperlink ref="F128" r:id="rId124" display="https://onlineonly.christies.com/s/legendary-trunks-european-private-collection/monogram-canvas-backgammon-suitcase-brass-hardware-64/227585"/>
    <hyperlink ref="F129" r:id="rId125" display="https://onlineonly.christies.com/s/legendary-trunks-european-private-collection/beige-brown-striped-canvas-cabin-90-trunk-brass-hardware-4/227544"/>
    <hyperlink ref="F130" r:id="rId126" display="https://onlineonly.christies.com/s/audrey-hepburn-personal-collection-part-iii/alzer-hard-suitcase-165/56157"/>
    <hyperlink ref="F131" r:id="rId127" display="https://onlineonly.christies.com/s/handbags-online-new-york-edit/matte-black-crocodile-monogram-canvas-christopher-backpack-silver-252/284553"/>
    <hyperlink ref="F132" r:id="rId128" display="https://www.christies.com/en/lot/lot-6497509"/>
    <hyperlink ref="F133" r:id="rId129" display="https://www.christies.com/en/lot/lot-6234569"/>
    <hyperlink ref="F134" r:id="rId130" display="https://www.christies.com/en/lot/lot-6234572"/>
    <hyperlink ref="F135" r:id="rId131" display="https://onlineonly.christies.com/s/legendary-trunks-european-private-collection-part-ii/gris-trianon-coated-canvas-trunk-black-lacquered-iron-brass-hardware-40/262985"/>
    <hyperlink ref="F136" r:id="rId132" display="https://onlineonly.christies.com/s/handbags-online-paris-edit/group-three-monogram-canvas-leather-blisten-75-two-alzer-75-suitcases-442/236984"/>
    <hyperlink ref="F137" r:id="rId133" display="https://onlineonly.christies.com/s/handbags-online-paris-edit-unlocking-orange-dream-part-ii/rare-rustic-canvas-doll-wardrobe-trunk-metal-hardware-271/257272"/>
    <hyperlink ref="F138" r:id="rId134" display="https://www.christies.com/en/lot/lot-6497505"/>
    <hyperlink ref="F139" r:id="rId135" display="https://www.christies.com/en/lot/lot-6293487"/>
    <hyperlink ref="F140" r:id="rId136" display="https://onlineonly.christies.com/s/handbags-online-paris-edit/limited-edition-metallic-lizard-mini-capucines-silver-hardware-251/278680"/>
    <hyperlink ref="F141" r:id="rId137" display="https://www.christies.com/en/lot/lot-6481838"/>
    <hyperlink ref="F142" r:id="rId138" display="https://onlineonly.christies.com/s/handbags-online-new-york-edit/limited-edition-classic-monogram-canvas-flower-head-superflat-83/242583"/>
    <hyperlink ref="F143" r:id="rId139" display="https://onlineonly.christies.com/s/handbags-online-new-york-edit/boite-bouteille-classic-monogram-canvas-travel-jewelry-case-brass-196/242698"/>
    <hyperlink ref="F144" r:id="rId140" display="https://onlineonly.christies.com/s/legendary-trunks-european-private-collection/orange-vuittonite-canvas-steamer-trunk-brass-hardware-14/227552"/>
    <hyperlink ref="F145" r:id="rId141" display="https://onlineonly.christies.com/s/handbags-online-paris-edit/limited-edition-poussin-masters-collection-canvas-leather-keepall-50-30/200841"/>
    <hyperlink ref="F146" r:id="rId142" display="https://onlineonly.christies.com/s/legendary-trunks-european-private-collection-part-ii/natural-cowhide-leather-trunk-brass-hardware-97/263044"/>
    <hyperlink ref="F147" r:id="rId143" display="https://onlineonly.christies.com/s/handbags-online-london-edition/matte-black-alligator-shiny-blue-lizard-egg-bag-gold-hardware-59/88082"/>
    <hyperlink ref="F148" r:id="rId144" display="https://onlineonly.christies.com/s/handbags-online-new-york-edit/runway-turquoise-gold-monogram-suede-theda-pm-gold-hardware-marc-145/284184"/>
    <hyperlink ref="F149" r:id="rId145" display="https://onlineonly.christies.com/s/collection-donna-summer/sharon-stone-amfar-brown-leather-vanity-case-42/186930"/>
    <hyperlink ref="F150" r:id="rId146" display="https://onlineonly.christies.com/s/handbags-online-paris-edit/sharon-stone-amfar-vanity-case-179/168065"/>
    <hyperlink ref="F151" r:id="rId147" display="https://onlineonly.christies.com/s/handbags-online-new-york-edit/limited-edition-chaitaigne-multicolor-leather-catogram-city-steamer-mm-134/268807"/>
    <hyperlink ref="F152" r:id="rId148" display="https://www.christies.com/en/lot/lot-6104982"/>
    <hyperlink ref="F153" r:id="rId149" display="https://onlineonly.christies.com/s/handbags-online-hong-kong-edit/limited-edition-artycapucines-calfskin-leather-capucines-bb-enamel-247/228970"/>
    <hyperlink ref="F154" r:id="rId150" display="https://www.christies.com/en/lot/lot-6319606"/>
    <hyperlink ref="F155" r:id="rId150" display="https://www.christies.com/en/lot/lot-6319606"/>
    <hyperlink ref="F156" r:id="rId151" display="https://onlineonly.christies.com/s/handbags-online-hong-kong-edit/limited-edition-painted-pumpkin-monogram-keepall-bandouliere-45-gold-254/250025"/>
    <hyperlink ref="F157" r:id="rId152" display="https://onlineonly.christies.com/s/handbags-online-hong-kong-edit/limited-edition-black-empreinte-leather-tote-bag-black-hardware-comme-258/250030"/>
    <hyperlink ref="F158" r:id="rId153" display="https://www.christies.com/en/lot/lot-6081023"/>
    <hyperlink ref="F159" r:id="rId154" display="https://onlineonly.christies.com/s/handbags-online-new-york-edit/limited-edition-multicolor-calfskin-leather-artycapucines-blue-acrylic-166/223440"/>
    <hyperlink ref="F160" r:id="rId155" display="https://onlineonly.christies.com/s/handbags-online-new-york-edit/shiny-orange-alligator-black-petite-malle-clutch-silver-hardware-92/187269"/>
    <hyperlink ref="F161" r:id="rId156" display="https://www.christies.com/en/lot/lot-6238897"/>
    <hyperlink ref="F162" r:id="rId157" display="https://onlineonly.christies.com/s/handbags-accessories/monogram-pvc-prism-bandouliere-keepall-50-lucite-hardware-virgil-abloh-38/70490"/>
    <hyperlink ref="F163" r:id="rId158" display="https://onlineonly.christies.com/s/handbags-online-new-york-edit/limited-edition-classic-monogram-iconoclasts-sac-plat-gold-hardware-135/268810"/>
    <hyperlink ref="F164" r:id="rId159" display="https://www.christies.com/en/lot/lot-5935423"/>
    <hyperlink ref="F165" r:id="rId160" display="https://onlineonly.christies.com/s/handbags-online-new-york-edit/shiny-black-crocodile-blue-cream-calfskin-leather-city-steamer-mm-gold-99/260283"/>
    <hyperlink ref="F166" r:id="rId161" display="https://onlineonly.christies.com/s/handbags-online-new-york-edit/matte-black-crocodile-soft-lockit-mm-silver-hardware-200/260501"/>
    <hyperlink ref="F167" r:id="rId162" display="https://www.christies.com/en/lot/lot-5663170"/>
    <hyperlink ref="F168" r:id="rId163" display="https://onlineonly.christies.com/s/legendary-trunks-european-private-collection-part-ii/black-vuittonite-hunting-rifle-trunk-brass-hardware-12/262959"/>
    <hyperlink ref="F169" r:id="rId164" display="https://onlineonly.christies.com/s/legendary-trunks-european-private-collection-part-ii/natural-cowhide-leather-cabin-110-trunk-brass-hardware-23/262971"/>
    <hyperlink ref="F170" r:id="rId165" display="https://www.christies.com/en/lot/lot-5975635"/>
    <hyperlink ref="F171" r:id="rId166" display="https://www.christies.com/en/lot/lot-5975636"/>
    <hyperlink ref="F172" r:id="rId167" display="https://onlineonly.christies.com/s/handbags-online-new-york-edit/limited-edition-multicolore-monogram-dalmatian-sac-rabat-takashi-182/284509"/>
    <hyperlink ref="F173" r:id="rId168" display="https://www.christies.com/en/lot/lot-6234556"/>
    <hyperlink ref="F174" r:id="rId169" display="https://onlineonly.christies.com/s/handbags-online-hong-kong-edit/absolute-black-monogram-taurillon-leather-keepall-bandouliere-50-black-257/250028"/>
    <hyperlink ref="F175" r:id="rId170" display="https://onlineonly.christies.com/s/handbags-online-new-york-edit/limited-edition-van-gogh-masters-collection-printed-canvas-leather-172/223515"/>
    <hyperlink ref="F176" r:id="rId171" display="https://www.christies.com/en/lot/lot-5538118"/>
    <hyperlink ref="F177" r:id="rId172" display="https://www.christies.com/en/lot/lot-5379166"/>
    <hyperlink ref="F178" r:id="rId173" display="https://onlineonly.christies.com/s/legendary-trunks-european-private-collection/monogram-canvas-lp-records-trunk-brass-hardware-75/227589"/>
    <hyperlink ref="F179" r:id="rId174" display="https://onlineonly.christies.com/s/legendary-trunks-european-private-collection/monogram-canvas-flower-trunk-brass-hardware-96/227596"/>
    <hyperlink ref="F180" r:id="rId175" display="https://www.christies.com/en/lot/lot-6497504"/>
    <hyperlink ref="F181" r:id="rId176" display="https://onlineonly.christies.com/s/legendary-trunks-european-private-collection-part-ii/green-coated-canvas-high-trunk-black-lacquered-iron-84/263030"/>
    <hyperlink ref="F182" r:id="rId177" display="https://onlineonly.christies.com/s/handbags-online-new-york-edit/runway-shiny-ombre-cream-crocodile-city-steamer-one-handle-bag-gold-153/260338"/>
    <hyperlink ref="F183" r:id="rId178" display="https://onlineonly.christies.com/s/handbags-online-new-york-edit/gunmetal-alligator-petite-malle-silver-hardware-173/260485"/>
    <hyperlink ref="F184" r:id="rId179" display="https://onlineonly.christies.com/s/handbags-accessories/set-two-classic-monogram-canvas-bisten-80-alzer-70-trunks-brass-213/65433"/>
    <hyperlink ref="F185" r:id="rId180" display="https://www.christies.com/en/lot/lot-6205652"/>
    <hyperlink ref="F186" r:id="rId181" display="https://www.christies.com/en/lot/lot-6081074"/>
    <hyperlink ref="F187" r:id="rId182" display="https://onlineonly.christies.com/s/handbags-online-paris-edit-unlocking-orange-dream-part-ii/limited-edition-black-monogram-multicolore-canvas-speedy-soft-30-210/257211"/>
    <hyperlink ref="F188" r:id="rId183" display="https://www.christies.com/en/lot/lot-6158537"/>
    <hyperlink ref="F189" r:id="rId184" display="https://www.christies.com/en/lot/lot-5532268"/>
    <hyperlink ref="F190" r:id="rId185" display="https://www.christies.com/en/lot/lot-6031039"/>
    <hyperlink ref="F191" r:id="rId186" display="https://onlineonly.christies.com/s/handbags-online-paris-edit/group-two-limited-edition-monogramouflage-speedy-35-gold-hardware-77/200888"/>
    <hyperlink ref="F192" r:id="rId187" display="https://onlineonly.christies.com/s/handbags-accessories/classic-monogram-canvas-trunk-brass-hardware-218/65438"/>
    <hyperlink ref="F193" r:id="rId188" display="https://onlineonly.christies.com/s/handbags-online-paris-edit/limited-edition-blanc-neige-taurillon-leather-artycapucines-gold-76/167943"/>
    <hyperlink ref="F194" r:id="rId189" display="https://www.christies.com/en/lot/lot-5961569"/>
    <hyperlink ref="F195" r:id="rId190" display="https://onlineonly.christies.com/s/legendary-trunks-european-private-collection/gris-trianon-coated-canvas-rounded-lid-trunk-black-lacquered-iron-58/227579"/>
    <hyperlink ref="F196" r:id="rId191" display="https://onlineonly.christies.com/s/legendary-trunks-european-private-collection/special-order-monogram-canvas-perfume-trunk-brass-hardware-72/227396"/>
    <hyperlink ref="F197" r:id="rId192" display="https://www.christies.com/en/lot/lot-6399678"/>
    <hyperlink ref="F198" r:id="rId193" display="https://onlineonly.christies.com/s/handbags-online-new-york-edit/custom-blue-epi-alzer-65-trunk-brass-hardware-116/260300"/>
    <hyperlink ref="F199" r:id="rId194" display="https://onlineonly.christies.com/s/handbags-online-new-york-edit/shiny-black-crocodile-brea-mm-gold-hardware-199/260502"/>
    <hyperlink ref="F200" r:id="rId195" display="https://onlineonly.christies.com/s/handbags-online-paris-edit/limited-edition-blue-pink-gradation-taurillon-leather-mini-soft-trunk-116/278771"/>
    <hyperlink ref="F201" r:id="rId196" display="https://www.christies.com/en/lot/lot-6293488"/>
    <hyperlink ref="F202" r:id="rId197" display="https://onlineonly.christies.com/s/handbags-online-new-york-edit/limited-edition-cerises-monogram-canvas-leather-speedy-25-gold-220/260419"/>
    <hyperlink ref="F203" r:id="rId198" display="https://onlineonly.christies.com/s/handbags-online-hong-kong-edit/limited-edition-black-taurillon-leather-infinity-dots-christopher-256/250026"/>
    <hyperlink ref="F204" r:id="rId199" display="https://onlineonly.christies.com/s/legendary-trunks-european-private-collection-part-ii/natural-wooden-trunk-black-lacquered-iron-hardware-49/262999"/>
    <hyperlink ref="F205" r:id="rId200" display="https://www.sothebys.com/en/buy/_louis-vuitton-vintage-monogram-gemine-8-pairs-shoe-trunk-brass-hardware-1990s"/>
    <hyperlink ref="F206" r:id="rId201" display="https://vuittonvintage.com/products/louis-vuitton-rond-point-232/"/>
    <hyperlink ref="F207" r:id="rId202" display="https://vuittonvintage.com/shop/louis-vuitton-monogram-vernis/"/>
    <hyperlink ref="F208" r:id="rId202" display="https://vuittonvintage.com/shop/louis-vuitton-monogram-vernis/"/>
    <hyperlink ref="F209" r:id="rId202" display="https://vuittonvintage.com/shop/louis-vuitton-monogram-vernis/"/>
    <hyperlink ref="F210" r:id="rId203" display="https://www.sothebys.com/en/buy/_louis-vuitton-vintage-manolo-blahnik-monogram-centenaire-shoe-trunk-brass-hardware-1996?locale=en"/>
    <hyperlink ref="F211" r:id="rId204" display="https://www.sothebys.com/en/buy/pdp/fashion/handbag/luggage/_louis-vuitton-vintage-monogram-gemine-12-pairs-shoe-trunk-brass-hardware-1990s?locale=en"/>
    <hyperlink ref="F212" r:id="rId205" display="https://www.whatgoesaroundnyc.com/en-us/buy-black-epi-alma-pm/QJB06Y10KF01S.html?cgid=louis-vuitton"/>
    <hyperlink ref="F213" r:id="rId206" display="https://www.whatgoesaroundnyc.com/en-us/buy-mimosa-epi-lussac/QJB0AN10YB00N.html?cgid=louis-vuitton"/>
    <hyperlink ref="F214" r:id="rId207" display="https://www.whatgoesaroundnyc.com/en-us/buy-mimosa-epi-noe/QJB0BP10YB00E.html?cgid=louis-vuitton"/>
    <hyperlink ref="F215" r:id="rId208" display="https://www.whatgoesaroundnyc.com/en-us/buy-black-epi-jasmin/QJB0A210KB00Z.html?cgid=louis-vuitton"/>
    <hyperlink ref="F216" r:id="rId209" display="https://www.whatgoesaroundnyc.com/en-us/buy-monogram-canvas-keepall-bandouliere-55/QJB0GI4J0B02H.html?cgid=louis-vuitton"/>
    <hyperlink ref="F217" r:id="rId210" display="https://www.whatgoesaroundnyc.com/en-us/buy-brown-epi-speedy-30/QJB0FZ100B00E.html"/>
    <hyperlink ref="F218" r:id="rId211" display="https://www.1stdibs.com/fashion/handbags-purses-bags/top-handle-bags/vintage-1960s-louis-vuitton-speedy-30-handbag-monogram-canvas/id-v_18761072/"/>
    <hyperlink ref="F219" r:id="rId212" display="https://www.1stdibs.com/fashion/handbags-purses-bags/tote-bags/1970s-vintage-louis-vuitton-monogram-sac-plat-tote-bag/id-v_20752312/"/>
    <hyperlink ref="F220" r:id="rId213" display="https://www.1stdibs.com/furniture/more-furniture-collectibles/home-accents/trunks-luggage/1950s-louis-vuitton-monogram-ladys-steamer-trunk/id-f_11208411/"/>
    <hyperlink ref="F221" r:id="rId214" display="https://www.1stdibs.com/furniture/more-furniture-collectibles/home-accents/trunks-luggage/1950s-louis-vuitton-trunk-monogram-louis-vuitton-steamer-trunk/id-f_28645812/"/>
    <hyperlink ref="F222" r:id="rId215" display="https://www.1stdibs.com/furniture/more-furniture-collectibles/home-accents/trunks-luggage/1950s-louis-vuitton-50-cm-duffel-bag/id-f_26628742/"/>
    <hyperlink ref="F223" r:id="rId216" display="https://www.1stdibs.com/furniture/more-furniture-collectibles/home-accents/trunks-luggage/1950s-louis-vuitton-carrying-case-trunk-lv/id-f_4249373/"/>
    <hyperlink ref="F224" r:id="rId217" display="https://www.1stdibs.com/furniture/more-furniture-collectibles/home-accents/trunks-luggage/exceptionally-large-louis-vuitton-wardrobe-trunk-circa-1955/id-f_34029252/"/>
    <hyperlink ref="F225" r:id="rId218" display="https://www.1stdibs.com/furniture/more-furniture-collectibles/home-accents/trunks-luggage/20th-century-louis-vuitton-wardrobe-trunk-monogram-canvas-france-c1950/id-f_43368362/"/>
    <hyperlink ref="F226" r:id="rId219" display="https://www.1stdibs.com/furniture/more-furniture-collectibles/home-accents/trunks-luggage/20th-century-louis-vuitton-suitcase-classic-monogram-canvas-60s/id-f_36761442/"/>
    <hyperlink ref="F227" r:id="rId220" display="https://www.1stdibs.com/furniture/more-furniture-collectibles/home-accents/trunks-luggage/cube-trunk-louis-vuitton-circa-1930s/id-f_458842/"/>
    <hyperlink ref="F228" r:id="rId221" display="https://www.1stdibs.com/furniture/more-furniture-collectibles/home-accents/trunks-luggage/louis-vuitton-library-trunk-circa-1930s/id-f_11053533/"/>
    <hyperlink ref="F229" r:id="rId222" display="https://www.1stdibs.com/furniture/more-furniture-collectibles/home-accents/trunks-luggage/1930s-louis-vuitton-stencil-monogram-cabin-trunk/id-f_36573412/"/>
    <hyperlink ref="F230" r:id="rId223" display="https://www.1stdibs.com/furniture/more-furniture-collectibles/home-accents/trunks-luggage/vintage-louis-vuitton-flat-steamer-trunk/id-f_5827223/"/>
    <hyperlink ref="F231" r:id="rId224" display="https://www.1stdibs.com/furniture/more-furniture-collectibles/home-accents/trunks-luggage/1930s-high-louis-vuitton-trunk-louis-vuitton-courrier-steamer-trunk/id-f_16451151/"/>
    <hyperlink ref="F232" r:id="rId225" display="https://us.louisvuitton.com/eng-us/magazine/articles/heritage"/>
    <hyperlink ref="F233" r:id="rId225" display="https://us.louisvuitton.com/eng-us/magazine/articles/heritage"/>
    <hyperlink ref="F234" r:id="rId225" display="https://us.louisvuitton.com/eng-us/magazine/articles/heritage"/>
    <hyperlink ref="F235" r:id="rId225" display="https://us.louisvuitton.com/eng-us/magazine/articles/heritage"/>
    <hyperlink ref="F236" r:id="rId225" display="https://us.louisvuitton.com/eng-us/magazine/articles/heritage"/>
    <hyperlink ref="F237" r:id="rId225" display="https://us.louisvuitton.com/eng-us/magazine/articles/heritage"/>
    <hyperlink ref="F238" r:id="rId225" display="https://us.louisvuitton.com/eng-us/magazine/articles/heritage"/>
    <hyperlink ref="F239" r:id="rId225" display="https://us.louisvuitton.com/eng-us/magazine/articles/heritage"/>
    <hyperlink ref="F240" r:id="rId225" display="https://us.louisvuitton.com/eng-us/magazine/articles/heritage"/>
    <hyperlink ref="F241" r:id="rId225" display="https://us.louisvuitton.com/eng-us/magazine/articles/heritage"/>
    <hyperlink ref="F242" r:id="rId225" display="https://us.louisvuitton.com/eng-us/magazine/articles/heritage"/>
    <hyperlink ref="F243" r:id="rId225" display="https://us.louisvuitton.com/eng-us/magazine/articles/heritage"/>
    <hyperlink ref="F244" r:id="rId226" display="https://www.christies.com/lot/lot-5566753?utm_source=chatgpt.com"/>
    <hyperlink ref="F245" r:id="rId227" display="https://www.1stdibs.com/furniture/more-furniture-collectibles/home-accents/trunks-luggage/1880s-louis-vuitton-striped-canvas-trunk-antique-louis-vuitton-steamer-trunk/id-f_31144322/"/>
    <hyperlink ref="F246" r:id="rId228" display="https://www.1stdibs.com/fashion/handbags-purses-bags/luggage-travel-bags/1880s-louis-vuitton-cabin-trunk-finished-damier-canvas/id-v_22242552/"/>
    <hyperlink ref="F247" r:id="rId229" display="https://www.1stdibs.com/fashion/handbags-purses-bags/luggage-travel-bags/1880s-louis-vuitton-courier-trunk-damier-canvas/id-v_22242482/"/>
    <hyperlink ref="F248" r:id="rId230" display="https://www.1stdibs.com/fashion/handbags-purses-bags/luggage-travel-bags/1880s-antique-louis-vuitton-trunk-damier-courier-steamer/id-v_21704802/"/>
    <hyperlink ref="F249" r:id="rId231" display="https://www.1stdibs.com/furniture/more-furniture-collectibles/home-accents/trunks-luggage/1870s-louis-vuitton-striped-canvas-trunkmalle-louis-vuitton/id-f_6873263/"/>
    <hyperlink ref="F250" r:id="rId232" display="https://www.1stdibs.com/fashion/handbags-purses-bags/luggage-travel-bags/1870s-louis-vuitton-rayee-malle-haute-trunk/id-v_20399192/"/>
    <hyperlink ref="F251" r:id="rId233" display="https://www.1stdibs.com/fashion/handbags-purses-bags/luggage-travel-bags/1870s-louis-vuitton-rayee-hatbox-trunk/id-v_20398952/"/>
    <hyperlink ref="F252" r:id="rId234" display="https://www.1stdibs.com/furniture/more-furniture-collectibles/home-accents/trunks-luggage/1870s-louis-vuitton-striped-canvas-steamer-trunk-malle-louis-vuitton/id-f_6873143/"/>
    <hyperlink ref="F253" r:id="rId235" display="https://www.1stdibs.com/furniture/more-furniture-collectibles/home-accents/trunks-luggage/1870s-louis-vuitton-grey-trianon-canvas-trunk/id-f_6268423/"/>
    <hyperlink ref="F254" r:id="rId236" display="https://www.christies.com/en/lot/lot-a-steamer-trunk-in-brown-canvas-louis-5503707?lid=4"/>
    <hyperlink ref="F255" r:id="rId237" display="https://www.1stdibs.com/furniture/more-furniture-collectibles/home-accents/trunks-luggage/50cm-louis-vuitton-trunk-1940s-france/id-f_30126642/"/>
    <hyperlink ref="F256" r:id="rId238" display="https://www.1stdibs.com/furniture/more-furniture-collectibles/home-accents/trunks-luggage/louis-vuitton-trunk-1940s-france/id-f_30126402/"/>
    <hyperlink ref="F257" r:id="rId239" display="https://www.1stdibs.com/furniture/more-furniture-collectibles/home-accents/trunks-luggage/1940s-louis-vuitton-trunk/id-f_26628102/"/>
    <hyperlink ref="F258" r:id="rId240" display="https://www.1stdibs.com/furniture/asian-art-furniture/furniture/1940s-louis-vuitton-monogram-trunk/id-f_36574052/"/>
    <hyperlink ref="F259" r:id="rId241" display="https://www.1stdibs.com/furniture/more-furniture-collectibles/home-accents/trunks-luggage/louis-vuitton-malle-de-voyage-personnalisees-paris-late-1940s/id-f_40321032/?utm_source=chatgpt.com"/>
    <hyperlink ref="F260" r:id="rId242" display="https://www.1stdibs.com/furniture/more-furniture-collectibles/home-accents/trunks-luggage/louis-vuitton-equipped-rigid-suitcase-1940s/id-f_28527002/?utm_source=chatgpt.com"/>
    <hyperlink ref="F261" r:id="rId238" display="https://www.1stdibs.com/furniture/more-furniture-collectibles/home-accents/trunks-luggage/louis-vuitton-trunk-1940s-france/id-f_30126402/"/>
    <hyperlink ref="F262" r:id="rId243" display="https://www.baggagecollectionusa.com/louis-vuitton-cabin-trunk-1910.html"/>
    <hyperlink ref="F263" r:id="rId244" display="https://www.baggagecollectionusa.com/malle-louis-vuitton-jaune-c-1920.html"/>
    <hyperlink ref="F264" r:id="rId245" display="https://www.baggagecollectionusa.com/malle-cabine-louis-vuitton-c-1920.html"/>
    <hyperlink ref="F265" r:id="rId246" display="https://www.baggagecollectionusa.com/malle-louis-vuitton-c-1927.html"/>
    <hyperlink ref="F266" r:id="rId247" display="https://www.baggagecollectionusa.com/malle-louis-vuitton-a-chapeaux-c-1938.html"/>
    <hyperlink ref="F267" r:id="rId248" display="https://www.baggagecollectionusa.com/malle-louis-vuitton-c-1950.html"/>
    <hyperlink ref="F268" r:id="rId249" display="https://www.baggagecollectionusa.com/malle-cabine-louis-vuitton-c-1890.html"/>
    <hyperlink ref="F269" r:id="rId250" display="https://www.baggagecollectionusa.com/malle-louis-vuitton-c-1909.html"/>
    <hyperlink ref="F270" r:id="rId251" display="https://www.baggagecollectionusa.com/malle-courrier-louis-vuitton-c-1906.html"/>
    <hyperlink ref="F271" r:id="rId252" display="https://www.christies.com/en/lot/lot-a-louis-vuitton-trianon-grey-canvas-trunk-5716727/"/>
    <hyperlink ref="F272" r:id="rId253" display="https://www.1stdibs.com/fashion/handbags-purses-bags/luggage-travel-bags/1860s-louis-vuitton-trianon-trunk-museum-piece/id-v_20399362/"/>
    <hyperlink ref="F273" r:id="rId254" display="https://www.invaluable.com/auction-lot/louis-vuitton-trianon-canvas-trunk-1858-1876-114-c-7bf4eaf843"/>
    <hyperlink ref="F274" r:id="rId255" display="https://www.christies.com/lot/lot-a-louis-vuitton-trianon-grey-canvas-1858-1876-5716724/"/>
    <hyperlink ref="F275" r:id="rId256" display="https://www.1stdibs.com/furniture/more-furniture-collectibles/home-accents/trunks-luggage/1950s-louis-vuitton-duffel-bag/id-f_26628822/"/>
    <hyperlink ref="F276" r:id="rId257" display="https://www.1stdibs.com/furniture/more-furniture-collectibles/home-accents/trunks-luggage/rare-louis-vuitton-travel-bag-1950s-usa/id-f_30255262/"/>
    <hyperlink ref="F277" r:id="rId258" display="https://www.barnebys.com/auctions/lot/louis-vuitton-purse-2afbN9i-622158923"/>
    <hyperlink ref="F278" r:id="rId259" display="https://www.1stdibs.com/furniture/more-furniture-collectibles/collectibles-curiosities/sports-equipment-memorabilia/louis-vuitton-coin-purse-1950s-france/id-f_30222082/"/>
    <hyperlink ref="F279" r:id="rId260" display="https://www.1stdibs.com/fashion/handbags-purses-bags/luggage-travel-bags/vintage-louis-vuitton-steamer-bag-carry-all-monogram-canvas-1950s-doctors-bag/id-v_9189832/"/>
    <hyperlink ref="F280" r:id="rId261" display="https://www.1stdibs.com/fashion/handbags-purses-bags/luggage-travel-bags/rare-louis-vuitton-doctors-bag-steamer-tote-keepall-vintage-50s-monogram-canvas/id-v_5254931/"/>
    <hyperlink ref="F281" r:id="rId262" display="https://www.auction.fr/en-US/lot/59-louis-vuitton-valise-alzer-en-toile-monogram-a-multiples-etiquettes-de-voyage-made-in-81766069"/>
    <hyperlink ref="F282" r:id="rId263" display="https://entertainment.ha.com/itm/movie-tv-memorabilia/costumes/an-orson-welles-louis-vuitton-alzer-hardback-suitcase-circa-1950s/a/7089-46057.s"/>
    <hyperlink ref="F283" r:id="rId264" display="https://www.classicdriver.com/en/collectible/grand-sac-paquebot-louis-vuitton-circa-1960"/>
    <hyperlink ref="F284" r:id="rId265" display="https://www.1stdibs.com/furniture/more-furniture-collectibles/home-accents/trunks-luggage/louis-vuitton-monogram-canvas-vintage-bag-circa-1960/id-f_8456243/"/>
    <hyperlink ref="F285" r:id="rId266" display="https://www.1stdibs.com/fashion/handbags-purses-bags/vintage-louis-vuitton-monogram-train-case/id-v_153940/"/>
    <hyperlink ref="F286" r:id="rId267" display="https://www.classicdriver.com/en/collectible/a-louis-vuitton-vanity-case-circa-1960"/>
    <hyperlink ref="F287" r:id="rId268" display="https://www.1stdibs.com/furniture/more-furniture-collectibles/home-accents/trunks-luggage/vanity-case-louis-vuitton-monogram-canvas-circa-1960/id-f_3306112/"/>
    <hyperlink ref="F288" r:id="rId269" display="https://www.1stdibs.com/furniture/more-furniture-collectibles/1960s-louis-vuitton-monogram-travel-bag-special-made-saks-fifth-avenue/id-f_4650163/"/>
    <hyperlink ref="F289" r:id="rId270" display="https://www.1stdibs.com/furniture/more-furniture-collectibles/home-accents/trunks-luggage/1960s-louis-vuitton-brown-monogram-keepall-bandouliere/id-f_11739291/"/>
    <hyperlink ref="F290" r:id="rId271" display="https://www.christies.com/en/lot/lot-5532267"/>
    <hyperlink ref="F291" r:id="rId272" display="https://onlineonly.christies.com/s/gentlemens-luxury-accessories-barware-sports-travel-leisure/golf-bag-25/1401"/>
    <hyperlink ref="F292" r:id="rId211" display="https://www.1stdibs.com/fashion/handbags-purses-bags/top-handle-bags/vintage-1960s-louis-vuitton-speedy-30-handbag-monogram-canvas/id-v_18761072/"/>
    <hyperlink ref="F293" r:id="rId273" display="https://www.portmanteaunewyork.com/accessories/vintage-louis-vuitton-monogram-papillon-26-bag-circa-1960s/70s"/>
    <hyperlink ref="F294" r:id="rId274" display="https://www.1stdibs.com/fashion/handbags-purses-bags/shoulder-bags/louis-vuitton-1970s-monogram-sac-vendome-shoulder-bag-7lz419s/id-v_15570222/"/>
    <hyperlink ref="F295" r:id="rId275" display="https://www.1stdibs.com/fashion/handbags-purses-bags/crossbody-bags-messenger-bags/louis-vuitton-vintage-1970s-monogram-sac-bavore-3-poches-mini-tote-bavolet-48l/id-v_15529992/"/>
    <hyperlink ref="F296" r:id="rId276" display="https://www.1stdibs.com/fashion/handbags-purses-bags/crossbody-bags-messenger-bags/louis-vuitton-jeune-fille-brown-canvas-leather-monogram-crossbody-bag-1970s/id-v_9623092/"/>
    <hyperlink ref="F297" r:id="rId277" display="https://www.1stdibs.com/fashion/handbags-purses-bags/shoulder-bags/1970s-louis-vuitton-monogram-doctors-bag/id-v_9541712/"/>
    <hyperlink ref="F298" r:id="rId278" display="https://www.1stdibs.com/fashion/handbags-purses-bags/shoulder-bags/1970s-louis-vuitton-monogram-bucket-bag-under-special-license-to-french-co/id-v_12495052/"/>
    <hyperlink ref="F299" r:id="rId279" display="https://www.1stdibs.com/fashion/handbags-purses-bags/shoulder-bags/louis-vuitton-french-co-monogram-bucket-bag-tote-coin-purse-1970s/id-v_4148893/"/>
    <hyperlink ref="F300" r:id="rId280" display="https://onlineonly.christies.com/s/audrey-hepburn-personal-collection-part-iii/mini-papillion-make-up-bag-163/56155"/>
    <hyperlink ref="F301" r:id="rId212" display="https://www.1stdibs.com/fashion/handbags-purses-bags/tote-bags/1970s-vintage-louis-vuitton-monogram-sac-plat-tote-bag/id-v_20752312/"/>
    <hyperlink ref="F302" r:id="rId281" display="https://www.1stdibs.com/fashion/handbags-purses-bags/luggage-travel-bags/vintage-louis-vuitton-monogram-travel-bag-steamer-keepall-doctors-bag-rare-70s/id-v_3843641/"/>
    <hyperlink ref="F303" r:id="rId282" display="https://www.1stdibs.com/fashion/handbags-purses-bags/shoulder-bags/original-louis-vuitton-bag-petite-marceau/id-v_57053/"/>
    <hyperlink ref="F304" r:id="rId283" display="https://www.1stdibs.com/fashion/handbags-purses-bags/luggage-travel-bags/louis-vuitton-large-duffel-bag-overnight-travel-keepall-rare-french-co-w-strap/id-v_6922341/"/>
    <hyperlink ref="F305" r:id="rId284" display="https://www.1stdibs.com/furniture/more-furniture-collectibles/home-accents/trunks-luggage/louis-vuitton-wardrobe-trunk-circa-1940/id-f_24629382/"/>
    <hyperlink ref="F306" r:id="rId285" display="https://www.incollect.com/listings/decorative-arts/objects/louis-vuitton-unique-20th-century-louis-vuitton-monogram-canvas-cabin-trunk-circa-1940-282772"/>
    <hyperlink ref="F307" r:id="rId286" display="https://www.christies.com/en/lot/lot-5950313"/>
    <hyperlink ref="F308" r:id="rId130" display="https://www.christies.com/en/lot/lot-6234572"/>
    <hyperlink ref="F309" r:id="rId287" display="https://onlineonly.christies.com/s/handbags-accessories/black-canvas-mini-stage-coach-trunk-brass-hardware-244/57728"/>
    <hyperlink ref="F310" r:id="rId288" display="https://www.christies.com/en/lot/lot-5976894"/>
    <hyperlink ref="F311" r:id="rId289" display="https://onlineonly.christies.com/s/handbags-accessories/monogram-canvas-shoe-trunk-brass-hardware-169/41697"/>
    <hyperlink ref="F312" r:id="rId290" display="https://www.christies.com/lot/lot-5828910"/>
    <hyperlink ref="F313" r:id="rId291" display="https://www.christies.com/lot/lot-a-monogram-canvas-cabin-trunk-louis-vuitton-5828911/?from=siteindex&amp;intobjectid=5828911&amp;lid=1"/>
    <hyperlink ref="F314" r:id="rId292" display="https://www.christies.com/en/lot/lot-2005592"/>
    <hyperlink ref="F315" r:id="rId292" display="https://www.christies.com/en/lot/lot-2005593"/>
    <hyperlink ref="F316" r:id="rId292" display="https://www.christies.com/en/lot/lot-2005594"/>
    <hyperlink ref="F317" r:id="rId292" display="https://www.christies.com/en/lot/lot-2005595"/>
    <hyperlink ref="F318" r:id="rId293" display="https://www.christies.com/en/lot/lot-5503702"/>
    <hyperlink ref="F319" r:id="rId293" display="https://www.christies.com/en/lot/lot-5503703"/>
    <hyperlink ref="F320" r:id="rId294" display="https://www.christies.com/lot/lot-5996062"/>
    <hyperlink ref="F321" r:id="rId294" display="https://www.christies.com/lot/lot-5996063"/>
    <hyperlink ref="F322" r:id="rId295" display="https://www.1stdibs.com/furniture/more-furniture-collectibles/home-accents/trunks-luggage/louis-vuitton-paris-1970-alzer-70-luggage-trunk-lv-pattern-cover-service/id-f_49322822/"/>
    <hyperlink ref="F323" r:id="rId296" display="https://www.dimanoinmano.it/en/cp316092/clothing-house-linens/vintage/louis-vuitton-bisten-60-suitcase"/>
    <hyperlink ref="F324" r:id="rId297" display="https://www.1stdibs.com/furniture/more-furniture-collectibles/home-accents/trunks-luggage/louis-vuitton-suitcase-bisten-80-1970/id-f_25507732/"/>
    <hyperlink ref="F325" r:id="rId298" display="https://www.1stdibs.com/furniture/more-furniture-collectibles/home-accents/trunks-luggage/original-vintage-louis-vuitton-suitcase-from-1970s/id-f_39745312/"/>
    <hyperlink ref="F326" r:id="rId299" display="https://www.1stdibs.com/furniture/more-furniture-collectibles/home-accents/trunks-luggage/original-vintage-louis-vuitton-suitcase-from-1970s/id-f_39744752/"/>
    <hyperlink ref="F327" r:id="rId300" display="https://www.1stdibs.com/furniture/decorative-objects/boxes/jewelry-boxes/cotteville-40-case-louis-vuitton-leather-brass-canvas-1970s/id-f_21575332/"/>
    <hyperlink ref="F328" r:id="rId301" display="https://www.christies.com/en/lot/lot-2534731"/>
    <hyperlink ref="F329" r:id="rId301" display="https://www.christies.com/en/lot/lot-2534731"/>
    <hyperlink ref="F330" r:id="rId302" display="https://www.christies.com/lot/lot-2534729"/>
    <hyperlink ref="F331" r:id="rId303" display="https://www.quittenbaum.de/media/Kataloge/172E_EN.pdf"/>
    <hyperlink ref="F332" r:id="rId303" display="https://www.quittenbaum.de/media/Kataloge/172E_EN.pdf"/>
    <hyperlink ref="F333" r:id="rId303" display="https://www.quittenbaum.de/media/Kataloge/172E_EN.pdf"/>
    <hyperlink ref="F334" r:id="rId304" display="https://www.1stdibs.com/fashion/handbags-purses-bags/luggage-travel-bags/louis-vuitton-1970s-monogram-wig-case-round-hat-trunk-travel-bag/id-v_28935632/"/>
    <hyperlink ref="F335" r:id="rId305" display="https://www.1stdibs.com/fashion/handbags-purses-bags/luggage-travel-bags/round-louis-vuitton-hat-trunk-50-louis-vuitton-hat-box-louis-vuitton-bag/id-v_28314512/"/>
    <hyperlink ref="F336" r:id="rId306" display="https://www.1stdibs.com/furniture/more-furniture-collectibles/home-accents/trunks-luggage/vintage-louis-vuitton-hat-box/id-f_25461032/"/>
    <hyperlink ref="F337" r:id="rId307" display="https://www.1stdibs.com/fashion/handbags-purses-bags/luggage-travel-bags/extra-large-louis-vuitton-marin-bag-louis-vuitton-bag-louis-vuitton-duffle-bag/id-v_9509252/"/>
    <hyperlink ref="F338" r:id="rId308" display="https://onlineonly.christies.com/s/gentleman-watches-whiskies-accessories/set-two-classic-monogram-canvas-cotteville-45-trunk-brass-hardware-25/88797"/>
    <hyperlink ref="F339" r:id="rId308" display="https://onlineonly.christies.com/s/gentleman-watches-whiskies-accessories/set-two-classic-monogram-canvas-cotteville-45-trunk-brass-hardware-25/88797"/>
    <hyperlink ref="F340" r:id="rId309" display="https://www.neworleansauction.com/auction-lot/vintage-louis-vuitton-wardrobe-85-casier-trunk_f7c430789c"/>
    <hyperlink ref="F341" r:id="rId310" display="https://www.kunstconsult.com/Collectables/Louis-Vuitton.-Unique-custom-made-wardrobe-trunk.-1980s"/>
    <hyperlink ref="F342" r:id="rId311" display="https://www.1stdibs.com/furniture/more-furniture-collectibles/home-accents/trunks-luggage/louis-vuitton-monogramm-shoe-trunk-louis-vuitton-shoe-case-louis-vuitton-trunk/id-f_20385982/"/>
    <hyperlink ref="F343" r:id="rId312" display="https://www.1stdibs.com/furniture/more-furniture-collectibles/home-accents/trunks-luggage/vintage-louis-vuitton-monogram-overnight-case-trunk-luggage-circa-1980/id-f_41780532/"/>
    <hyperlink ref="F344" r:id="rId313" display="https://www.1stdibs.com/fashion/ephemera/trunks-luggage/louis-vuitton-monogramme-huge-wardrobe-trunk-malle-armoire-1980s/id-v_222706/"/>
    <hyperlink ref="F345" r:id="rId314" display="https://www.1stdibs.com/furniture/storage-case-pieces/wardrobes-armoires/wardrobe-louis-vuitton-trunk/id-f_26843132/"/>
    <hyperlink ref="F346" r:id="rId315" display="https://www.1stdibs.com/furniture/more-furniture-collectibles/home-accents/trunks-luggage/louis-vuitton-portable-whisky-bar/id-f_3486182/"/>
    <hyperlink ref="F347" r:id="rId316" display="https://www.1stdibs.com/fashion/ephemera/trunks-luggage/louis-vuitton-vintage-large-steamer-wardrobe-trunk/id-v_3100223/"/>
    <hyperlink ref="F348" r:id="rId317" display="https://www.pamono.co.uk/steamer-trunk-in-monogram-canvas-from-louis-vuitton-france-1980s"/>
    <hyperlink ref="F349" r:id="rId318" display="https://www.pamono.com/vintage-monogram-trunk-from-louis-vuitton-1980s"/>
    <hyperlink ref="F350" r:id="rId319" display="https://www.ebth.com/items/7373056-early-1980s-vintage-louis-vuitton-speedy-25-handbag"/>
    <hyperlink ref="F351" r:id="rId320" display="https://www.ebth.com/items/7313776-1980s-vintage-louis-vuitton-monogram-speedy-35-bag"/>
    <hyperlink ref="F352" r:id="rId321" display="https://imissyouvintage.com/products/louis-vuitton-vintage-monogram-grand-noe-gm-bucket-bag"/>
    <hyperlink ref="F353" r:id="rId322" display="https://www.bukowskis.com/en/auctions/S198/584-a-1980s-monogram-canvas-handbag-by-louis-vuitton-noe"/>
    <hyperlink ref="F354" r:id="rId323" display="https://imissyouvintage.com/products/louis-vuitton-vintage-pre-1983-saint-cloud-gm-monogram-bag"/>
    <hyperlink ref="F355" r:id="rId324" display="https://www.interencheres.com/art-decoration/international-fine-art-auction-sale-no-197-part-iii-687415/lot-88427362.html"/>
    <hyperlink ref="F356" r:id="rId325" display="https://veryimportantlot.com/ru/lot/view/vintage-tasche-speedy-von-louis-vuitton-1341767"/>
    <hyperlink ref="F357" r:id="rId326" display="https://onlineonly.christies.com/s/handbags-accessories-online-london-edition/classic-monogram-standing-wardrobe-trunk-206/103895"/>
    <hyperlink ref="F358" r:id="rId327" display="https://onlineonly.christies.com/s/handbags-accessories-online-london-edition/classic-monogram-standing-shoe-trunk-209/103897"/>
    <hyperlink ref="F359" r:id="rId328" display="https://onlineonly.christies.com/s/handbags-accessories-online-london-edition/classic-monogram-canvas-trunk-202/103891"/>
    <hyperlink ref="F360" r:id="rId329" display="https://www.1stdibs.com/fashion/handbags-purses-bags/luggage-travel-bags/1990s-louis-vuitton-monogram-hard-shell-boite-pharmacie-vanity-trunk-case/id-v_22822762/"/>
    <hyperlink ref="F361" r:id="rId330" display="https://onlineonly.christies.com/s/handbags-accessories/classic-monogram-canvas-boite-bouteilles-trunk-brass-hardware-216/65436"/>
    <hyperlink ref="F362" r:id="rId331" display="https://onlineonly.christies.com/s/collection-andre-leon-talley-online/personalized-brown-monogram-lacquered-canvas-hardsided-trunk-269/174376"/>
    <hyperlink ref="F363" r:id="rId193" display="https://onlineonly.christies.com/s/handbags-online-new-york-edit/custom-blue-epi-alzer-65-trunk-brass-hardware-116/260300"/>
    <hyperlink ref="F364" r:id="rId332" display="https://www.1stdibs.com/furniture/more-furniture-collectibles/home-accents/trunks-luggage/louis-vuitton-alzer-80-monogram-trunk/id-f_28549262/"/>
    <hyperlink ref="F365" r:id="rId333" display="https://www.christies.com/lot/lot-6412165"/>
    <hyperlink ref="F366" r:id="rId334" display="https://press.christies.com/wp-content/uploads/2023/09/331d41283e85baaabce32634b448661a.pdf"/>
    <hyperlink ref="F367" r:id="rId334" display="https://press.christies.com/wp-content/uploads/2023/09/331d41283e85baaabce32634b448661a.pdf"/>
    <hyperlink ref="F368" r:id="rId334" display="https://press.christies.com/wp-content/uploads/2023/09/331d41283e85baaabce32634b448661a.pdf"/>
    <hyperlink ref="F369" r:id="rId334" display="https://press.christies.com/wp-content/uploads/2023/09/331d41283e85baaabce32634b448661a.pdf"/>
    <hyperlink ref="F370" r:id="rId334" display="https://press.christies.com/wp-content/uploads/2023/09/331d41283e85baaabce32634b448661a.pdf"/>
    <hyperlink ref="F371" r:id="rId335" display="https://onlineonly.christies.com/s/handbags-online-paris-edit/group-four-classic-monogram-toile-natural-leather-rectangular-travel-183/168054"/>
    <hyperlink ref="F372" r:id="rId336" display="https://onlineonly.christies.com/s/handbags-online-paris-edit/group-four-classic-monogram-toile-natural-leather-rectangular-travel-183/168055"/>
    <hyperlink ref="F373" r:id="rId337" display="https://onlineonly.christies.com/s/handbags-online-paris-edit/group-four-classic-monogram-toile-natural-leather-rectangular-travel-183/168056"/>
    <hyperlink ref="F374" r:id="rId338" display="https://onlineonly.christies.com/s/handbags-online-paris-edit/group-four-classic-monogram-toile-natural-leather-rectangular-travel-183/168057"/>
    <hyperlink ref="F375" r:id="rId339" display="https://onlineonly.christies.com/s/handbags-online-hong-kong-edit/yellow-tuffetage-monogram-speedy-trunk-black-hardware-210/214611"/>
    <hyperlink ref="F376" r:id="rId128" display="https://www.christies.com/en/lot/lot-6497509"/>
    <hyperlink ref="F377" r:id="rId340" display="https://www.christies.com/lot/a-painted-night-of-hong-kong-eclipse-6497510/?intObjectID=6497510&amp;lid=1"/>
    <hyperlink ref="F378" r:id="rId341" display="https://uk.louisvuitton.com/eng-gb/products/rolling-trunk-monogram-nvprod4380163v/M20212"/>
    <hyperlink ref="F379" r:id="rId342" display="https://fr.louisvuitton.com/fra-fr/produits/malle-music-trunk-monogram-nvprod4690053v/M10298"/>
    <hyperlink ref="F380" r:id="rId343" display="https://in.louisvuitton.com/eng-in/products/dart-trunk-lv-dart-h27-nvprod5210054v/M11339"/>
    <hyperlink ref="F381" r:id="rId344" display="https://www.jolicloset.com/en/designers-women/louis-vuitton/womens-bags/travel-bags/vintage-monogram-boite-flacons-train-case-travel-bag--1567301"/>
    <hyperlink ref="F382" r:id="rId345" display="https://www.whatgoesaroundnyc.com/s/WGACA/en-eg/buy-monogram-canvas-trunk/QJHAFJ1Y0B010.html"/>
    <hyperlink ref="F383" r:id="rId346" display="https://www.1stdibs.com/furniture/more-furniture-collectibles/home-accents/trunks-luggage/20th-century-louis-vuitton-wig-trunk-monogram-canvas-made-france-c1970/id-f_40789872/"/>
    <hyperlink ref="F384" r:id="rId347" display="https://www.1stdibs.com/furniture/more-furniture-collectibles/home-accents/trunks-luggage/louis-vuitto"/>
    <hyperlink ref="F385" r:id="rId348" display="https://www.alessiolorenzi.com/trunks-luggage-archive-2/a-louis-vuitton-trunk-in-woven-canvas-france-late-19th-century-c223"/>
    <hyperlink ref="F386" r:id="rId349" display="https://www.alessiolorenzi.com/trunks-luggage-archive-2/a-louis-vuitton-courier-trunk-in-natural-cow-hide-france-circa-1930-z"/>
    <hyperlink ref="F387" r:id="rId350" display="https://www.alessiolorenzi.com/trunks-luggage-archive-2/an-extremely-rare-assouline-trunk-by-goyard-made-in-france-circa-2000"/>
    <hyperlink ref="F388" r:id="rId351" display="https://www.1stdibs.com/fashion/handbags-purses-bags/luggage-travel-bags/vintage-louis-vuitton-x-french-luggage-co-travel-bag-diaper-bag-monogram-canvas/id-v_29158152/"/>
    <hyperlink ref="F389" r:id="rId352" display="https://www.1stdibs.com/fashion/handbags-purses-bags/crossbody-bags-messenger-bags/1990s-louis-vuitton-green-epi-leather-danube-cross-body-bag/id-v_14808202/"/>
    <hyperlink ref="F390" r:id="rId353" display="https://www.1stdibs.com/fashion/handbags-purses-bags/shoulder-bags/louis-vuitton-1999-vintage-monogram-vernis-bedford-handbag-mint-green/id-v_24276432/"/>
    <hyperlink ref="F391" r:id="rId354" display="https://www.1stdibs.com/fashion/handbags-purses-bags/shoulder-bags/louis-vuitton-retiro-nm-monogram-coated-canvas-2-way-shoulder-bag-2000s/id-v_22437402/"/>
    <hyperlink ref="F392" r:id="rId355" display="https://www.1stdibs.com/fashion/handbags-purses-bags/tote-bags/1990s-louis-vuitton-brown-classic-monogram-canvas-alma-pm/id-v_2279973/"/>
    <hyperlink ref="F393" r:id="rId356" display="https://www.1stdibs.com/fashion/handbags-purses-bags/crossbody-bags-messenger-bags/louis-vuitton-1995-lv-cup-red-calvi-messenger-91lz817s/id-v_17327912/"/>
    <hyperlink ref="F394" r:id="rId357" display="https://www.1stdibs.com/fashion/handbags-purses-bags/shoulder-bags/1995-vintage-louis-vuitton-castillan-red-epi-leather-cluny-shoulder-bag/id-v_29652592/"/>
    <hyperlink ref="F395" r:id="rId358" display="https://www.1stdibs.com/fashion/handbags-purses-bags/luggage-travel-bags/louis-vuitton-2000-lv-americas-cup-grey-polochon-travel-bag-39lk324s/id-v_15270492/"/>
    <hyperlink ref="F396" r:id="rId359" display="https://www.1stdibs.com/fashion/handbags-purses-bags/tote-bags/louis-vuitton-tahitienne-cabas-bag-limited-edition/id-v_22641612/"/>
    <hyperlink ref="F397" r:id="rId360" display="https://www.1stdibs.com/fashion/handbags-purses-bags/crossbody-bags-messenger-bags/louis-vuitton-terre-damier-geant-messenger-bag/id-v_28426512/"/>
    <hyperlink ref="F398" r:id="rId361" display="https://onlineonly.christies.com/s/handbags-online/rare-beige-black-printed-leather-soft-truck-bag-silver-hardware-50/320396"/>
    <hyperlink ref="F399" r:id="rId362" display="https://onlineonly.christies.com/s/handbags-online/set-two-classic-monogram-canvas-rolling-trunk-grey-monogram-climbing-76/320423"/>
    <hyperlink ref="F400" r:id="rId363" display="https://onlineonly.christies.com/s/handbags-online/rare-monogram-cardboard-malle-bijoux-invitation-box-jewelry-set-300-136/320482"/>
    <hyperlink ref="F401" r:id="rId364" display="https://onlineonly.christies.com/s/handbags-online/limited-edition-monogram-canvas-duck-bag-gold-hardware-nigo-154/320498"/>
    <hyperlink ref="F402" r:id="rId365" display="https://onlineonly.christies.com/s/handbags-online-paris-edit/spring-summer-runway-black-rainbow-monogram-lp-case-black-hardware-406/236953"/>
    <hyperlink ref="F403" r:id="rId366" display="https://onlineonly.christies.com/s/handbags-online-new-york-edit/rare-black-epi-leather-sac-plat-fusion-fabrizio-plessi-207/284276"/>
    <hyperlink ref="F404" r:id="rId367" display="https://www.christies.com/en/lot/lot-6399666"/>
  </hyperlinks>
  <pageMargins left="0.75" right="0.75" top="1" bottom="1" header="0.511811023622047" footer="0.511811023622047"/>
  <pageSetup paperSize="1" orientation="portrait" horizontalDpi="300" verticalDpi="300"/>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9"/>
  <sheetViews>
    <sheetView topLeftCell="A14" workbookViewId="0">
      <selection activeCell="D3" sqref="D3"/>
    </sheetView>
  </sheetViews>
  <sheetFormatPr defaultColWidth="8.66666666666667" defaultRowHeight="14.4" outlineLevelCol="7"/>
  <cols>
    <col min="1" max="1" width="24" style="1" customWidth="1"/>
    <col min="2" max="2" width="46" style="1" customWidth="1"/>
    <col min="3" max="6" width="13" style="1" customWidth="1"/>
    <col min="7" max="7" width="9" style="1" customWidth="1"/>
    <col min="8" max="8" width="30" style="1" customWidth="1"/>
  </cols>
  <sheetData>
    <row r="1" ht="17.25" customHeight="1" spans="1:1">
      <c r="A1" s="2" t="s">
        <v>1376</v>
      </c>
    </row>
    <row r="2" ht="31.5" customHeight="1" spans="1:1">
      <c r="A2" s="3" t="s">
        <v>1377</v>
      </c>
    </row>
    <row r="3" ht="30" customHeight="1" spans="1:8">
      <c r="A3" s="4" t="s">
        <v>1378</v>
      </c>
      <c r="B3" s="4" t="s">
        <v>1379</v>
      </c>
      <c r="C3" s="4" t="s">
        <v>1380</v>
      </c>
      <c r="D3" s="4" t="s">
        <v>1381</v>
      </c>
      <c r="E3" s="4" t="s">
        <v>1382</v>
      </c>
      <c r="F3" s="4" t="s">
        <v>1383</v>
      </c>
      <c r="G3" s="4" t="s">
        <v>1384</v>
      </c>
      <c r="H3" s="4" t="s">
        <v>1385</v>
      </c>
    </row>
    <row r="4" ht="14.25" customHeight="1" spans="1:8">
      <c r="A4" s="26" t="s">
        <v>23</v>
      </c>
      <c r="B4" s="26" t="s">
        <v>24</v>
      </c>
      <c r="C4" s="27">
        <f>IFERROR(MEDIAN('3_OBJECTS'!AA$5:AA$464),"")</f>
        <v>1</v>
      </c>
      <c r="D4" s="28">
        <f>COUNT('3_OBJECTS'!AA$5:AA$464)</f>
        <v>124</v>
      </c>
      <c r="E4" s="28" t="str">
        <f t="shared" ref="E4:E11" si="0">IF(D4=0,"no data",IF(D4&lt;30,"too few","ready"))</f>
        <v>ready</v>
      </c>
      <c r="F4" s="29">
        <f>IFERROR((MEDIAN('3_OBJECTS'!BC$5:BC$464)-1)/4,"")</f>
        <v>0.75</v>
      </c>
      <c r="G4" s="30">
        <f t="shared" ref="G4:G11" si="1">IFERROR(F4-C4,"")</f>
        <v>-0.25</v>
      </c>
      <c r="H4" s="26" t="str">
        <f t="shared" ref="H4:H11" si="2">IF(OR(C4="",F4=""),"",IF(ABS(G4)&lt;0.1,"held",IF(ABS(G4)&lt;0.25,IF(G4&gt;0,"moved up","moved down"),IF(G4&gt;0,"moved up sharply","moved down sharply"))))</f>
        <v>moved down sharply</v>
      </c>
    </row>
    <row r="5" ht="14.25" customHeight="1" spans="1:8">
      <c r="A5" s="26" t="s">
        <v>30</v>
      </c>
      <c r="B5" s="26" t="s">
        <v>31</v>
      </c>
      <c r="C5" s="27">
        <f>IFERROR(MEDIAN('3_OBJECTS'!AB$5:AB$464),"")</f>
        <v>1</v>
      </c>
      <c r="D5" s="28">
        <f>COUNT('3_OBJECTS'!AB$5:AB$464)</f>
        <v>124</v>
      </c>
      <c r="E5" s="28" t="str">
        <f t="shared" si="0"/>
        <v>ready</v>
      </c>
      <c r="F5" s="29">
        <f>IFERROR((MEDIAN('3_OBJECTS'!BD$5:BD$464)-1)/4,"")</f>
        <v>0.75</v>
      </c>
      <c r="G5" s="30">
        <f t="shared" si="1"/>
        <v>-0.25</v>
      </c>
      <c r="H5" s="26" t="str">
        <f t="shared" si="2"/>
        <v>moved down sharply</v>
      </c>
    </row>
    <row r="6" ht="14.25" customHeight="1" spans="1:8">
      <c r="A6" s="26" t="s">
        <v>37</v>
      </c>
      <c r="B6" s="26" t="s">
        <v>38</v>
      </c>
      <c r="C6" s="27">
        <f>IFERROR(MEDIAN('3_OBJECTS'!AC$5:AC$464),"")</f>
        <v>1</v>
      </c>
      <c r="D6" s="28">
        <f>COUNT('3_OBJECTS'!AC$5:AC$464)</f>
        <v>124</v>
      </c>
      <c r="E6" s="28" t="str">
        <f t="shared" si="0"/>
        <v>ready</v>
      </c>
      <c r="F6" s="29">
        <f>IFERROR((MEDIAN('3_OBJECTS'!BE$5:BE$464)-1)/4,"")</f>
        <v>0.75</v>
      </c>
      <c r="G6" s="30">
        <f t="shared" si="1"/>
        <v>-0.25</v>
      </c>
      <c r="H6" s="26" t="str">
        <f t="shared" si="2"/>
        <v>moved down sharply</v>
      </c>
    </row>
    <row r="7" ht="14.25" customHeight="1" spans="1:8">
      <c r="A7" s="26" t="s">
        <v>44</v>
      </c>
      <c r="B7" s="26" t="s">
        <v>45</v>
      </c>
      <c r="C7" s="27">
        <f>IFERROR(MEDIAN('3_OBJECTS'!AD$5:AD$464),"")</f>
        <v>1</v>
      </c>
      <c r="D7" s="28">
        <f>COUNT('3_OBJECTS'!AD$5:AD$464)</f>
        <v>124</v>
      </c>
      <c r="E7" s="28" t="str">
        <f t="shared" si="0"/>
        <v>ready</v>
      </c>
      <c r="F7" s="29">
        <f>IFERROR((MEDIAN('3_OBJECTS'!BF$5:BF$464)-1)/4,"")</f>
        <v>0.75</v>
      </c>
      <c r="G7" s="30">
        <f t="shared" si="1"/>
        <v>-0.25</v>
      </c>
      <c r="H7" s="26" t="str">
        <f t="shared" si="2"/>
        <v>moved down sharply</v>
      </c>
    </row>
    <row r="8" ht="14.25" customHeight="1" spans="1:8">
      <c r="A8" s="26" t="s">
        <v>51</v>
      </c>
      <c r="B8" s="26" t="s">
        <v>52</v>
      </c>
      <c r="C8" s="27">
        <f>IFERROR(MEDIAN('3_OBJECTS'!AE$5:AE$464),"")</f>
        <v>0</v>
      </c>
      <c r="D8" s="28">
        <f>COUNT('3_OBJECTS'!AE$5:AE$464)</f>
        <v>124</v>
      </c>
      <c r="E8" s="28" t="str">
        <f t="shared" si="0"/>
        <v>ready</v>
      </c>
      <c r="F8" s="29">
        <f>IFERROR((MEDIAN('3_OBJECTS'!BG$5:BG$464)-1)/4,"")</f>
        <v>1</v>
      </c>
      <c r="G8" s="30">
        <f t="shared" si="1"/>
        <v>1</v>
      </c>
      <c r="H8" s="26" t="str">
        <f t="shared" si="2"/>
        <v>moved up sharply</v>
      </c>
    </row>
    <row r="9" ht="14.25" customHeight="1" spans="1:8">
      <c r="A9" s="26" t="s">
        <v>58</v>
      </c>
      <c r="B9" s="26" t="s">
        <v>59</v>
      </c>
      <c r="C9" s="27">
        <f>IFERROR(MEDIAN('3_OBJECTS'!AF$5:AF$464),"")</f>
        <v>0</v>
      </c>
      <c r="D9" s="28">
        <f>COUNT('3_OBJECTS'!AF$5:AF$464)</f>
        <v>124</v>
      </c>
      <c r="E9" s="28" t="str">
        <f t="shared" si="0"/>
        <v>ready</v>
      </c>
      <c r="F9" s="29">
        <f>IFERROR((MEDIAN('3_OBJECTS'!BH$5:BH$464)-1)/4,"")</f>
        <v>0.75</v>
      </c>
      <c r="G9" s="30">
        <f t="shared" si="1"/>
        <v>0.75</v>
      </c>
      <c r="H9" s="26" t="str">
        <f t="shared" si="2"/>
        <v>moved up sharply</v>
      </c>
    </row>
    <row r="10" ht="14.25" customHeight="1" spans="1:8">
      <c r="A10" s="26" t="s">
        <v>65</v>
      </c>
      <c r="B10" s="26" t="s">
        <v>66</v>
      </c>
      <c r="C10" s="27">
        <f>IFERROR(MEDIAN('3_OBJECTS'!AG$5:AG$464),"")</f>
        <v>0.5</v>
      </c>
      <c r="D10" s="28">
        <f>COUNT('3_OBJECTS'!AG$5:AG$464)</f>
        <v>124</v>
      </c>
      <c r="E10" s="28" t="str">
        <f t="shared" si="0"/>
        <v>ready</v>
      </c>
      <c r="F10" s="29">
        <f>IFERROR((MEDIAN('3_OBJECTS'!BI$5:BI$464)-1)/4,"")</f>
        <v>0.25</v>
      </c>
      <c r="G10" s="30">
        <f t="shared" si="1"/>
        <v>-0.25</v>
      </c>
      <c r="H10" s="26" t="str">
        <f t="shared" si="2"/>
        <v>moved down sharply</v>
      </c>
    </row>
    <row r="11" ht="14.25" customHeight="1" spans="1:8">
      <c r="A11" s="26" t="s">
        <v>72</v>
      </c>
      <c r="B11" s="26" t="s">
        <v>73</v>
      </c>
      <c r="C11" s="27">
        <f>IFERROR(MEDIAN('3_OBJECTS'!AH$5:AH$464),"")</f>
        <v>1</v>
      </c>
      <c r="D11" s="28">
        <f>COUNT('3_OBJECTS'!AH$5:AH$464)</f>
        <v>124</v>
      </c>
      <c r="E11" s="28" t="str">
        <f t="shared" si="0"/>
        <v>ready</v>
      </c>
      <c r="F11" s="29">
        <f>IFERROR((MEDIAN('3_OBJECTS'!BJ$5:BJ$464)-1)/4,"")</f>
        <v>0.75</v>
      </c>
      <c r="G11" s="30">
        <f t="shared" si="1"/>
        <v>-0.25</v>
      </c>
      <c r="H11" s="26" t="str">
        <f t="shared" si="2"/>
        <v>moved down sharply</v>
      </c>
    </row>
    <row r="12" ht="14.25" customHeight="1"/>
    <row r="13" ht="39.75" customHeight="1" spans="1:1">
      <c r="A13" s="31" t="s">
        <v>1386</v>
      </c>
    </row>
    <row r="14" ht="27.75" customHeight="1" spans="1:1">
      <c r="A14" s="3" t="s">
        <v>1387</v>
      </c>
    </row>
    <row r="15" ht="14.25" customHeight="1"/>
    <row r="16" ht="30" customHeight="1" spans="1:8">
      <c r="A16" s="25" t="s">
        <v>1378</v>
      </c>
      <c r="B16" s="25" t="s">
        <v>1379</v>
      </c>
      <c r="C16" s="25" t="s">
        <v>1388</v>
      </c>
      <c r="D16" s="25" t="s">
        <v>1389</v>
      </c>
      <c r="E16" s="25" t="s">
        <v>1390</v>
      </c>
      <c r="F16" s="25" t="s">
        <v>1391</v>
      </c>
      <c r="G16" s="25" t="s">
        <v>1384</v>
      </c>
      <c r="H16" s="25" t="s">
        <v>1385</v>
      </c>
    </row>
    <row r="17" ht="14.25" customHeight="1" spans="1:8">
      <c r="A17" s="26" t="s">
        <v>23</v>
      </c>
      <c r="B17" s="26" t="s">
        <v>24</v>
      </c>
      <c r="C17" s="28">
        <f>IFERROR(MEDIAN('3_OBJECTS'!AU$5:AU$464),"")</f>
        <v>5</v>
      </c>
      <c r="D17" s="28" t="str">
        <f>IFERROR(QUARTILE('3_OBJECTS'!AU$5:AU$464,1)&amp;"–"&amp;QUARTILE('3_OBJECTS'!AU$5:AU$464,3),"")</f>
        <v>5–5</v>
      </c>
      <c r="E17" s="28">
        <f>COUNT('3_OBJECTS'!AU$5:AU$464)</f>
        <v>124</v>
      </c>
      <c r="F17" s="28">
        <f>IFERROR(MEDIAN('3_OBJECTS'!BC$5:BC$464),"")</f>
        <v>4</v>
      </c>
      <c r="G17" s="28">
        <f t="shared" ref="G17:G24" si="3">IFERROR(F17-C17,"")</f>
        <v>-1</v>
      </c>
      <c r="H17" s="26" t="str">
        <f t="shared" ref="H17:H24" si="4">IF(C17="","",IF(D17=C17&amp;"–"&amp;C17,IF(G17=0,"fixed, and unchanged","fixed, then moved"),IF(ABS(G17)&gt;=2,"varied, and moved sharply","varied")))</f>
        <v>fixed, then moved</v>
      </c>
    </row>
    <row r="18" ht="30" customHeight="1" spans="1:8">
      <c r="A18" s="32" t="s">
        <v>30</v>
      </c>
      <c r="B18" s="26" t="s">
        <v>31</v>
      </c>
      <c r="C18" s="28">
        <f>IFERROR(MEDIAN('3_OBJECTS'!AV$5:AV$464),"")</f>
        <v>5</v>
      </c>
      <c r="D18" s="28" t="str">
        <f>IFERROR(QUARTILE('3_OBJECTS'!AV$5:AV$464,1)&amp;"–"&amp;QUARTILE('3_OBJECTS'!AV$5:AV$464,3),"")</f>
        <v>5–5</v>
      </c>
      <c r="E18" s="28">
        <f>COUNT('3_OBJECTS'!AV$5:AV$464)</f>
        <v>124</v>
      </c>
      <c r="F18" s="28">
        <f>IFERROR(MEDIAN('3_OBJECTS'!BD$5:BD$464),"")</f>
        <v>4</v>
      </c>
      <c r="G18" s="28">
        <f t="shared" si="3"/>
        <v>-1</v>
      </c>
      <c r="H18" s="26" t="str">
        <f t="shared" si="4"/>
        <v>fixed, then moved</v>
      </c>
    </row>
    <row r="19" ht="14.25" customHeight="1" spans="1:8">
      <c r="A19" s="26" t="s">
        <v>37</v>
      </c>
      <c r="B19" s="26" t="s">
        <v>38</v>
      </c>
      <c r="C19" s="28">
        <f>IFERROR(MEDIAN('3_OBJECTS'!AW$5:AW$464),"")</f>
        <v>5</v>
      </c>
      <c r="D19" s="28" t="str">
        <f>IFERROR(QUARTILE('3_OBJECTS'!AW$5:AW$464,1)&amp;"–"&amp;QUARTILE('3_OBJECTS'!AW$5:AW$464,3),"")</f>
        <v>5–5</v>
      </c>
      <c r="E19" s="28">
        <f>COUNT('3_OBJECTS'!AW$5:AW$464)</f>
        <v>124</v>
      </c>
      <c r="F19" s="28">
        <f>IFERROR(MEDIAN('3_OBJECTS'!BE$5:BE$464),"")</f>
        <v>4</v>
      </c>
      <c r="G19" s="28">
        <f t="shared" si="3"/>
        <v>-1</v>
      </c>
      <c r="H19" s="26" t="str">
        <f t="shared" si="4"/>
        <v>fixed, then moved</v>
      </c>
    </row>
    <row r="20" ht="30" customHeight="1" spans="1:8">
      <c r="A20" s="32" t="s">
        <v>44</v>
      </c>
      <c r="B20" s="26" t="s">
        <v>45</v>
      </c>
      <c r="C20" s="28">
        <f>IFERROR(MEDIAN('3_OBJECTS'!AX$5:AX$464),"")</f>
        <v>5</v>
      </c>
      <c r="D20" s="28" t="str">
        <f>IFERROR(QUARTILE('3_OBJECTS'!AX$5:AX$464,1)&amp;"–"&amp;QUARTILE('3_OBJECTS'!AX$5:AX$464,3),"")</f>
        <v>5–5</v>
      </c>
      <c r="E20" s="28">
        <f>COUNT('3_OBJECTS'!AX$5:AX$464)</f>
        <v>124</v>
      </c>
      <c r="F20" s="28">
        <f>IFERROR(MEDIAN('3_OBJECTS'!BF$5:BF$464),"")</f>
        <v>4</v>
      </c>
      <c r="G20" s="28">
        <f t="shared" si="3"/>
        <v>-1</v>
      </c>
      <c r="H20" s="26" t="str">
        <f t="shared" si="4"/>
        <v>fixed, then moved</v>
      </c>
    </row>
    <row r="21" ht="14.25" customHeight="1" spans="1:8">
      <c r="A21" s="26" t="s">
        <v>51</v>
      </c>
      <c r="B21" s="26" t="s">
        <v>52</v>
      </c>
      <c r="C21" s="28">
        <f>IFERROR(MEDIAN('3_OBJECTS'!AY$5:AY$464),"")</f>
        <v>1</v>
      </c>
      <c r="D21" s="28" t="str">
        <f>IFERROR(QUARTILE('3_OBJECTS'!AY$5:AY$464,1)&amp;"–"&amp;QUARTILE('3_OBJECTS'!AY$5:AY$464,3),"")</f>
        <v>1–5</v>
      </c>
      <c r="E21" s="28">
        <f>COUNT('3_OBJECTS'!AY$5:AY$464)</f>
        <v>124</v>
      </c>
      <c r="F21" s="28">
        <f>IFERROR(MEDIAN('3_OBJECTS'!BG$5:BG$464),"")</f>
        <v>5</v>
      </c>
      <c r="G21" s="28">
        <f t="shared" si="3"/>
        <v>4</v>
      </c>
      <c r="H21" s="26" t="str">
        <f t="shared" si="4"/>
        <v>varied, and moved sharply</v>
      </c>
    </row>
    <row r="22" ht="14.25" customHeight="1" spans="1:8">
      <c r="A22" s="26" t="s">
        <v>58</v>
      </c>
      <c r="B22" s="26" t="s">
        <v>59</v>
      </c>
      <c r="C22" s="28">
        <f>IFERROR(MEDIAN('3_OBJECTS'!AZ$5:AZ$464),"")</f>
        <v>1</v>
      </c>
      <c r="D22" s="28" t="str">
        <f>IFERROR(QUARTILE('3_OBJECTS'!AZ$5:AZ$464,1)&amp;"–"&amp;QUARTILE('3_OBJECTS'!AZ$5:AZ$464,3),"")</f>
        <v>1–5</v>
      </c>
      <c r="E22" s="28">
        <f>COUNT('3_OBJECTS'!AZ$5:AZ$464)</f>
        <v>124</v>
      </c>
      <c r="F22" s="28">
        <f>IFERROR(MEDIAN('3_OBJECTS'!BH$5:BH$464),"")</f>
        <v>4</v>
      </c>
      <c r="G22" s="28">
        <f t="shared" si="3"/>
        <v>3</v>
      </c>
      <c r="H22" s="26" t="str">
        <f t="shared" si="4"/>
        <v>varied, and moved sharply</v>
      </c>
    </row>
    <row r="23" ht="14.25" customHeight="1" spans="1:8">
      <c r="A23" s="26" t="s">
        <v>65</v>
      </c>
      <c r="B23" s="26" t="s">
        <v>66</v>
      </c>
      <c r="C23" s="28">
        <f>IFERROR(MEDIAN('3_OBJECTS'!BA$5:BA$464),"")</f>
        <v>3</v>
      </c>
      <c r="D23" s="28" t="str">
        <f>IFERROR(QUARTILE('3_OBJECTS'!BA$5:BA$464,1)&amp;"–"&amp;QUARTILE('3_OBJECTS'!BA$5:BA$464,3),"")</f>
        <v>2–3</v>
      </c>
      <c r="E23" s="28">
        <f>COUNT('3_OBJECTS'!BA$5:BA$464)</f>
        <v>124</v>
      </c>
      <c r="F23" s="28">
        <f>IFERROR(MEDIAN('3_OBJECTS'!BI$5:BI$464),"")</f>
        <v>2</v>
      </c>
      <c r="G23" s="28">
        <f t="shared" si="3"/>
        <v>-1</v>
      </c>
      <c r="H23" s="26" t="str">
        <f t="shared" si="4"/>
        <v>varied</v>
      </c>
    </row>
    <row r="24" ht="14.25" customHeight="1" spans="1:8">
      <c r="A24" s="26" t="s">
        <v>72</v>
      </c>
      <c r="B24" s="26" t="s">
        <v>73</v>
      </c>
      <c r="C24" s="28">
        <f>IFERROR(MEDIAN('3_OBJECTS'!BB$5:BB$464),"")</f>
        <v>5</v>
      </c>
      <c r="D24" s="28" t="str">
        <f>IFERROR(QUARTILE('3_OBJECTS'!BB$5:BB$464,1)&amp;"–"&amp;QUARTILE('3_OBJECTS'!BB$5:BB$464,3),"")</f>
        <v>5–5</v>
      </c>
      <c r="E24" s="28">
        <f>COUNT('3_OBJECTS'!BB$5:BB$464)</f>
        <v>124</v>
      </c>
      <c r="F24" s="28">
        <f>IFERROR(MEDIAN('3_OBJECTS'!BJ$5:BJ$464),"")</f>
        <v>4</v>
      </c>
      <c r="G24" s="28">
        <f t="shared" si="3"/>
        <v>-1</v>
      </c>
      <c r="H24" s="26" t="str">
        <f t="shared" si="4"/>
        <v>fixed, then moved</v>
      </c>
    </row>
    <row r="25" ht="14.25" customHeight="1"/>
    <row r="26" ht="14.25" customHeight="1" spans="1:1">
      <c r="A26" s="9" t="s">
        <v>1392</v>
      </c>
    </row>
    <row r="27" ht="30" customHeight="1" spans="1:8">
      <c r="A27" s="33" t="s">
        <v>1393</v>
      </c>
      <c r="B27" s="33"/>
      <c r="C27" s="33"/>
      <c r="D27" s="33"/>
      <c r="E27" s="33"/>
      <c r="F27" s="33"/>
      <c r="G27" s="33"/>
      <c r="H27" s="33"/>
    </row>
    <row r="28" ht="14.25" customHeight="1"/>
    <row r="29" ht="30" customHeight="1" spans="1:8">
      <c r="A29" s="33" t="s">
        <v>1394</v>
      </c>
      <c r="B29" s="33"/>
      <c r="C29" s="33"/>
      <c r="D29" s="33"/>
      <c r="E29" s="33"/>
      <c r="F29" s="33"/>
      <c r="G29" s="33"/>
      <c r="H29" s="33"/>
    </row>
    <row r="30" ht="14.25" customHeight="1"/>
    <row r="31" ht="30" customHeight="1" spans="1:8">
      <c r="A31" s="33" t="s">
        <v>1395</v>
      </c>
      <c r="B31" s="33"/>
      <c r="C31" s="33"/>
      <c r="D31" s="33"/>
      <c r="E31" s="33"/>
      <c r="F31" s="33"/>
      <c r="G31" s="33"/>
      <c r="H31" s="33"/>
    </row>
    <row r="32" ht="14.25" customHeight="1"/>
    <row r="33" ht="30" customHeight="1" spans="1:8">
      <c r="A33" s="33" t="s">
        <v>1396</v>
      </c>
      <c r="B33" s="33"/>
      <c r="C33" s="33"/>
      <c r="D33" s="33"/>
      <c r="E33" s="33"/>
      <c r="F33" s="33"/>
      <c r="G33" s="33"/>
      <c r="H33" s="33"/>
    </row>
    <row r="34" ht="14.25" customHeight="1"/>
    <row r="35" ht="14.25" customHeight="1"/>
    <row r="36" ht="14.25" customHeight="1"/>
    <row r="37" ht="14.25" customHeight="1"/>
    <row r="38" ht="14.25" customHeight="1"/>
    <row r="39" ht="14.25" customHeight="1"/>
  </sheetData>
  <mergeCells count="4">
    <mergeCell ref="A27:H27"/>
    <mergeCell ref="A29:H29"/>
    <mergeCell ref="A31:H31"/>
    <mergeCell ref="A33:H33"/>
  </mergeCells>
  <pageMargins left="0.75" right="0.75" top="1" bottom="1" header="0.511811023622047" footer="0.511811023622047"/>
  <pageSetup paperSize="9" orientation="portrait" horizontalDpi="300" verticalDpi="300"/>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8"/>
  <sheetViews>
    <sheetView workbookViewId="0">
      <pane ySplit="6" topLeftCell="A7" activePane="bottomLeft" state="frozen"/>
      <selection/>
      <selection pane="bottomLeft" activeCell="L32" sqref="L32"/>
    </sheetView>
  </sheetViews>
  <sheetFormatPr defaultColWidth="8.66666666666667" defaultRowHeight="14.4"/>
  <cols>
    <col min="1" max="1" width="12" style="1" customWidth="1"/>
    <col min="2" max="3" width="9" style="1" customWidth="1"/>
    <col min="4" max="4" width="8" style="1" customWidth="1"/>
    <col min="5" max="5" width="9" style="1" customWidth="1"/>
    <col min="6" max="6" width="8" style="1" customWidth="1"/>
    <col min="7" max="7" width="11" style="1" customWidth="1"/>
    <col min="8" max="8" width="9" style="1" customWidth="1"/>
    <col min="9" max="9" width="8" style="1" customWidth="1"/>
    <col min="10" max="10" width="9" style="1" customWidth="1"/>
    <col min="11" max="11" width="8" style="1" customWidth="1"/>
    <col min="12" max="12" width="9" style="1" customWidth="1"/>
    <col min="13" max="14" width="10" style="1" customWidth="1"/>
  </cols>
  <sheetData>
    <row r="1" ht="15" customHeight="1" spans="1:1">
      <c r="A1" s="2" t="s">
        <v>1397</v>
      </c>
    </row>
    <row r="2" ht="25.5" customHeight="1" spans="1:1">
      <c r="A2" s="3" t="s">
        <v>1398</v>
      </c>
    </row>
    <row r="3" ht="14.25" customHeight="1" spans="1:3">
      <c r="A3" s="9" t="s">
        <v>1399</v>
      </c>
      <c r="B3" s="23" t="s">
        <v>141</v>
      </c>
      <c r="C3" s="8" t="s">
        <v>1400</v>
      </c>
    </row>
    <row r="5" ht="14.25" customHeight="1" spans="1:1">
      <c r="A5" s="9" t="s">
        <v>1401</v>
      </c>
    </row>
    <row r="6" ht="30" customHeight="1" spans="1:14">
      <c r="A6" s="4" t="s">
        <v>1402</v>
      </c>
      <c r="B6" s="4" t="s">
        <v>1403</v>
      </c>
      <c r="C6" s="4" t="s">
        <v>1404</v>
      </c>
      <c r="D6" s="4" t="s">
        <v>1405</v>
      </c>
      <c r="E6" s="4" t="s">
        <v>1406</v>
      </c>
      <c r="F6" s="4" t="s">
        <v>1405</v>
      </c>
      <c r="G6" s="5" t="s">
        <v>1407</v>
      </c>
      <c r="H6" s="5" t="s">
        <v>1408</v>
      </c>
      <c r="I6" s="5" t="s">
        <v>1405</v>
      </c>
      <c r="J6" s="5" t="s">
        <v>1409</v>
      </c>
      <c r="K6" s="5" t="s">
        <v>1405</v>
      </c>
      <c r="L6" s="25" t="s">
        <v>1410</v>
      </c>
      <c r="M6" s="25" t="s">
        <v>1411</v>
      </c>
      <c r="N6" s="25" t="s">
        <v>1412</v>
      </c>
    </row>
    <row r="7" ht="14.25" customHeight="1" spans="1:14">
      <c r="A7" s="6">
        <v>1850</v>
      </c>
      <c r="B7" s="6">
        <f>COUNTIFS('3_OBJECTS'!$I$5:$I$464,"yes",'3_OBJECTS'!$D$5:$D$464,1850)</f>
        <v>1</v>
      </c>
      <c r="C7" s="24">
        <f>IFERROR(AVERAGEIFS('3_OBJECTS'!$AQ$5:$AQ$464,'3_OBJECTS'!$I$5:$I$464,"yes",'3_OBJECTS'!$D$5:$D$464,1850),"")</f>
        <v>0.9375</v>
      </c>
      <c r="D7" s="6"/>
      <c r="E7" s="24">
        <f>IFERROR(AVERAGEIFS('3_OBJECTS'!$AT$5:$AT$464,'3_OBJECTS'!$I$5:$I$464,"yes",'3_OBJECTS'!$D$5:$D$464,1850),"")</f>
        <v>0.916666666666667</v>
      </c>
      <c r="F7" s="6"/>
      <c r="G7" s="6">
        <f>COUNTIFS('3_OBJECTS'!$I$5:$I$464,"yes",'3_OBJECTS'!$D$5:$D$464,1850,'3_OBJECTS'!$AS$5:$AS$464,$B$3)</f>
        <v>1</v>
      </c>
      <c r="H7" s="24">
        <f>IF(G7=0,"",IFERROR(AVERAGEIFS('3_OBJECTS'!$AQ$5:$AQ$464,'3_OBJECTS'!$I$5:$I$464,"yes",'3_OBJECTS'!$D$5:$D$464,1850,'3_OBJECTS'!$AS$5:$AS$464,$B$3),""))</f>
        <v>0.9375</v>
      </c>
      <c r="I7" s="6"/>
      <c r="J7" s="24">
        <f>IF(G7=0,"",IFERROR(AVERAGEIFS('3_OBJECTS'!$AT$5:$AT$464,'3_OBJECTS'!$I$5:$I$464,"yes",'3_OBJECTS'!$D$5:$D$464,1850,'3_OBJECTS'!$AS$5:$AS$464,$B$3),""))</f>
        <v>0.916666666666667</v>
      </c>
      <c r="K7" s="6"/>
      <c r="L7" s="6">
        <f t="shared" ref="L7:L24" si="0">B7-G7</f>
        <v>0</v>
      </c>
      <c r="M7" s="24" t="str">
        <f>IF(L7=0,"",IFERROR(AVERAGEIFS('3_OBJECTS'!$AQ$5:$AQ$464,'3_OBJECTS'!$I$5:$I$464,"yes",'3_OBJECTS'!$D$5:$D$464,1850,'3_OBJECTS'!$AS$5:$AS$464,"&lt;&gt;"&amp;$B$3),""))</f>
        <v/>
      </c>
      <c r="N7" s="24" t="str">
        <f>IF(L7=0,"",IFERROR(AVERAGEIFS('3_OBJECTS'!$AT$5:$AT$464,'3_OBJECTS'!$I$5:$I$464,"yes",'3_OBJECTS'!$D$5:$D$464,1850,'3_OBJECTS'!$AS$5:$AS$464,"&lt;&gt;"&amp;$B$3),""))</f>
        <v/>
      </c>
    </row>
    <row r="8" ht="14.25" customHeight="1" spans="1:14">
      <c r="A8" s="6">
        <v>1860</v>
      </c>
      <c r="B8" s="6">
        <f>COUNTIFS('3_OBJECTS'!$I$5:$I$464,"yes",'3_OBJECTS'!$D$5:$D$464,1860)</f>
        <v>6</v>
      </c>
      <c r="C8" s="24">
        <f>IFERROR(AVERAGEIFS('3_OBJECTS'!$AQ$5:$AQ$464,'3_OBJECTS'!$I$5:$I$464,"yes",'3_OBJECTS'!$D$5:$D$464,1860),"")</f>
        <v>1</v>
      </c>
      <c r="D8" s="24">
        <f t="shared" ref="D8:D24" si="1">IF(OR(C8="",C7=""),"",C8-C7)</f>
        <v>0.0625</v>
      </c>
      <c r="E8" s="24">
        <f>IFERROR(AVERAGEIFS('3_OBJECTS'!$AT$5:$AT$464,'3_OBJECTS'!$I$5:$I$464,"yes",'3_OBJECTS'!$D$5:$D$464,1860),"")</f>
        <v>1</v>
      </c>
      <c r="F8" s="24">
        <f t="shared" ref="F8:F24" si="2">IF(OR(E8="",E7=""),"",E8-E7)</f>
        <v>0.0833333333333334</v>
      </c>
      <c r="G8" s="6">
        <f>COUNTIFS('3_OBJECTS'!$I$5:$I$464,"yes",'3_OBJECTS'!$D$5:$D$464,1860,'3_OBJECTS'!$AS$5:$AS$464,$B$3)</f>
        <v>6</v>
      </c>
      <c r="H8" s="24">
        <f>IF(G8=0,"",IFERROR(AVERAGEIFS('3_OBJECTS'!$AQ$5:$AQ$464,'3_OBJECTS'!$I$5:$I$464,"yes",'3_OBJECTS'!$D$5:$D$464,1860,'3_OBJECTS'!$AS$5:$AS$464,$B$3),""))</f>
        <v>1</v>
      </c>
      <c r="I8" s="24">
        <f t="shared" ref="I8:I24" si="3">IF(OR(H8="",H7=""),"",H8-H7)</f>
        <v>0.0625</v>
      </c>
      <c r="J8" s="24">
        <f>IF(G8=0,"",IFERROR(AVERAGEIFS('3_OBJECTS'!$AT$5:$AT$464,'3_OBJECTS'!$I$5:$I$464,"yes",'3_OBJECTS'!$D$5:$D$464,1860,'3_OBJECTS'!$AS$5:$AS$464,$B$3),""))</f>
        <v>1</v>
      </c>
      <c r="K8" s="24">
        <f t="shared" ref="K8:K24" si="4">IF(OR(J8="",J7=""),"",J8-J7)</f>
        <v>0.0833333333333334</v>
      </c>
      <c r="L8" s="6">
        <f t="shared" si="0"/>
        <v>0</v>
      </c>
      <c r="M8" s="24" t="str">
        <f>IF(L8=0,"",IFERROR(AVERAGEIFS('3_OBJECTS'!$AQ$5:$AQ$464,'3_OBJECTS'!$I$5:$I$464,"yes",'3_OBJECTS'!$D$5:$D$464,1860,'3_OBJECTS'!$AS$5:$AS$464,"&lt;&gt;"&amp;$B$3),""))</f>
        <v/>
      </c>
      <c r="N8" s="24" t="str">
        <f>IF(L8=0,"",IFERROR(AVERAGEIFS('3_OBJECTS'!$AT$5:$AT$464,'3_OBJECTS'!$I$5:$I$464,"yes",'3_OBJECTS'!$D$5:$D$464,1860,'3_OBJECTS'!$AS$5:$AS$464,"&lt;&gt;"&amp;$B$3),""))</f>
        <v/>
      </c>
    </row>
    <row r="9" ht="14.25" customHeight="1" spans="1:14">
      <c r="A9" s="6">
        <v>1870</v>
      </c>
      <c r="B9" s="6">
        <f>COUNTIFS('3_OBJECTS'!$I$5:$I$464,"yes",'3_OBJECTS'!$D$5:$D$464,1870)</f>
        <v>12</v>
      </c>
      <c r="C9" s="24">
        <f>IFERROR(AVERAGEIFS('3_OBJECTS'!$AQ$5:$AQ$464,'3_OBJECTS'!$I$5:$I$464,"yes",'3_OBJECTS'!$D$5:$D$464,1870),"")</f>
        <v>0.986979166666667</v>
      </c>
      <c r="D9" s="24">
        <f t="shared" si="1"/>
        <v>-0.0130208333333334</v>
      </c>
      <c r="E9" s="24">
        <f>IFERROR(AVERAGEIFS('3_OBJECTS'!$AT$5:$AT$464,'3_OBJECTS'!$I$5:$I$464,"yes",'3_OBJECTS'!$D$5:$D$464,1870),"")</f>
        <v>0.982638888888889</v>
      </c>
      <c r="F9" s="24">
        <f t="shared" si="2"/>
        <v>-0.017361111111111</v>
      </c>
      <c r="G9" s="6">
        <f>COUNTIFS('3_OBJECTS'!$I$5:$I$464,"yes",'3_OBJECTS'!$D$5:$D$464,1870,'3_OBJECTS'!$AS$5:$AS$464,$B$3)</f>
        <v>12</v>
      </c>
      <c r="H9" s="24">
        <f>IF(G9=0,"",IFERROR(AVERAGEIFS('3_OBJECTS'!$AQ$5:$AQ$464,'3_OBJECTS'!$I$5:$I$464,"yes",'3_OBJECTS'!$D$5:$D$464,1870,'3_OBJECTS'!$AS$5:$AS$464,$B$3),""))</f>
        <v>0.986979166666667</v>
      </c>
      <c r="I9" s="24">
        <f t="shared" si="3"/>
        <v>-0.0130208333333334</v>
      </c>
      <c r="J9" s="24">
        <f>IF(G9=0,"",IFERROR(AVERAGEIFS('3_OBJECTS'!$AT$5:$AT$464,'3_OBJECTS'!$I$5:$I$464,"yes",'3_OBJECTS'!$D$5:$D$464,1870,'3_OBJECTS'!$AS$5:$AS$464,$B$3),""))</f>
        <v>0.982638888888889</v>
      </c>
      <c r="K9" s="24">
        <f t="shared" si="4"/>
        <v>-0.017361111111111</v>
      </c>
      <c r="L9" s="6">
        <f t="shared" si="0"/>
        <v>0</v>
      </c>
      <c r="M9" s="24" t="str">
        <f>IF(L9=0,"",IFERROR(AVERAGEIFS('3_OBJECTS'!$AQ$5:$AQ$464,'3_OBJECTS'!$I$5:$I$464,"yes",'3_OBJECTS'!$D$5:$D$464,1870,'3_OBJECTS'!$AS$5:$AS$464,"&lt;&gt;"&amp;$B$3),""))</f>
        <v/>
      </c>
      <c r="N9" s="24" t="str">
        <f>IF(L9=0,"",IFERROR(AVERAGEIFS('3_OBJECTS'!$AT$5:$AT$464,'3_OBJECTS'!$I$5:$I$464,"yes",'3_OBJECTS'!$D$5:$D$464,1870,'3_OBJECTS'!$AS$5:$AS$464,"&lt;&gt;"&amp;$B$3),""))</f>
        <v/>
      </c>
    </row>
    <row r="10" ht="14.25" customHeight="1" spans="1:14">
      <c r="A10" s="6">
        <v>1880</v>
      </c>
      <c r="B10" s="6">
        <f>COUNTIFS('3_OBJECTS'!$I$5:$I$464,"yes",'3_OBJECTS'!$D$5:$D$464,1880)</f>
        <v>12</v>
      </c>
      <c r="C10" s="24">
        <f>IFERROR(AVERAGEIFS('3_OBJECTS'!$AQ$5:$AQ$464,'3_OBJECTS'!$I$5:$I$464,"yes",'3_OBJECTS'!$D$5:$D$464,1880),"")</f>
        <v>0.989583333333333</v>
      </c>
      <c r="D10" s="24">
        <f t="shared" si="1"/>
        <v>0.00260416666666674</v>
      </c>
      <c r="E10" s="24">
        <f>IFERROR(AVERAGEIFS('3_OBJECTS'!$AT$5:$AT$464,'3_OBJECTS'!$I$5:$I$464,"yes",'3_OBJECTS'!$D$5:$D$464,1880),"")</f>
        <v>0.986111111111111</v>
      </c>
      <c r="F10" s="24">
        <f t="shared" si="2"/>
        <v>0.0034722222222221</v>
      </c>
      <c r="G10" s="6">
        <f>COUNTIFS('3_OBJECTS'!$I$5:$I$464,"yes",'3_OBJECTS'!$D$5:$D$464,1880,'3_OBJECTS'!$AS$5:$AS$464,$B$3)</f>
        <v>12</v>
      </c>
      <c r="H10" s="24">
        <f>IF(G10=0,"",IFERROR(AVERAGEIFS('3_OBJECTS'!$AQ$5:$AQ$464,'3_OBJECTS'!$I$5:$I$464,"yes",'3_OBJECTS'!$D$5:$D$464,1880,'3_OBJECTS'!$AS$5:$AS$464,$B$3),""))</f>
        <v>0.989583333333333</v>
      </c>
      <c r="I10" s="24">
        <f t="shared" si="3"/>
        <v>0.00260416666666674</v>
      </c>
      <c r="J10" s="24">
        <f>IF(G10=0,"",IFERROR(AVERAGEIFS('3_OBJECTS'!$AT$5:$AT$464,'3_OBJECTS'!$I$5:$I$464,"yes",'3_OBJECTS'!$D$5:$D$464,1880,'3_OBJECTS'!$AS$5:$AS$464,$B$3),""))</f>
        <v>0.986111111111111</v>
      </c>
      <c r="K10" s="24">
        <f t="shared" si="4"/>
        <v>0.0034722222222221</v>
      </c>
      <c r="L10" s="6">
        <f t="shared" si="0"/>
        <v>0</v>
      </c>
      <c r="M10" s="24" t="str">
        <f>IF(L10=0,"",IFERROR(AVERAGEIFS('3_OBJECTS'!$AQ$5:$AQ$464,'3_OBJECTS'!$I$5:$I$464,"yes",'3_OBJECTS'!$D$5:$D$464,1880,'3_OBJECTS'!$AS$5:$AS$464,"&lt;&gt;"&amp;$B$3),""))</f>
        <v/>
      </c>
      <c r="N10" s="24" t="str">
        <f>IF(L10=0,"",IFERROR(AVERAGEIFS('3_OBJECTS'!$AT$5:$AT$464,'3_OBJECTS'!$I$5:$I$464,"yes",'3_OBJECTS'!$D$5:$D$464,1880,'3_OBJECTS'!$AS$5:$AS$464,"&lt;&gt;"&amp;$B$3),""))</f>
        <v/>
      </c>
    </row>
    <row r="11" ht="14.25" customHeight="1" spans="1:14">
      <c r="A11" s="6">
        <v>1890</v>
      </c>
      <c r="B11" s="6">
        <f>COUNTIFS('3_OBJECTS'!$I$5:$I$464,"yes",'3_OBJECTS'!$D$5:$D$464,1890)</f>
        <v>12</v>
      </c>
      <c r="C11" s="24">
        <f>IFERROR(AVERAGEIFS('3_OBJECTS'!$AQ$5:$AQ$464,'3_OBJECTS'!$I$5:$I$464,"yes",'3_OBJECTS'!$D$5:$D$464,1890),"")</f>
        <v>0.9765625</v>
      </c>
      <c r="D11" s="24">
        <f t="shared" si="1"/>
        <v>-0.0130208333333334</v>
      </c>
      <c r="E11" s="24">
        <f>IFERROR(AVERAGEIFS('3_OBJECTS'!$AT$5:$AT$464,'3_OBJECTS'!$I$5:$I$464,"yes",'3_OBJECTS'!$D$5:$D$464,1890),"")</f>
        <v>0.96875</v>
      </c>
      <c r="F11" s="24">
        <f t="shared" si="2"/>
        <v>-0.0173611111111109</v>
      </c>
      <c r="G11" s="6">
        <f>COUNTIFS('3_OBJECTS'!$I$5:$I$464,"yes",'3_OBJECTS'!$D$5:$D$464,1890,'3_OBJECTS'!$AS$5:$AS$464,$B$3)</f>
        <v>11</v>
      </c>
      <c r="H11" s="24">
        <f>IF(G11=0,"",IFERROR(AVERAGEIFS('3_OBJECTS'!$AQ$5:$AQ$464,'3_OBJECTS'!$I$5:$I$464,"yes",'3_OBJECTS'!$D$5:$D$464,1890,'3_OBJECTS'!$AS$5:$AS$464,$B$3),""))</f>
        <v>0.974431818181818</v>
      </c>
      <c r="I11" s="24">
        <f t="shared" si="3"/>
        <v>-0.0151515151515151</v>
      </c>
      <c r="J11" s="24">
        <f>IF(G11=0,"",IFERROR(AVERAGEIFS('3_OBJECTS'!$AT$5:$AT$464,'3_OBJECTS'!$I$5:$I$464,"yes",'3_OBJECTS'!$D$5:$D$464,1890,'3_OBJECTS'!$AS$5:$AS$464,$B$3),""))</f>
        <v>0.965909090909091</v>
      </c>
      <c r="K11" s="24">
        <f t="shared" si="4"/>
        <v>-0.02020202020202</v>
      </c>
      <c r="L11" s="6">
        <f t="shared" si="0"/>
        <v>1</v>
      </c>
      <c r="M11" s="24">
        <f>IF(L11=0,"",IFERROR(AVERAGEIFS('3_OBJECTS'!$AQ$5:$AQ$464,'3_OBJECTS'!$I$5:$I$464,"yes",'3_OBJECTS'!$D$5:$D$464,1890,'3_OBJECTS'!$AS$5:$AS$464,"&lt;&gt;"&amp;$B$3),""))</f>
        <v>1</v>
      </c>
      <c r="N11" s="24">
        <f>IF(L11=0,"",IFERROR(AVERAGEIFS('3_OBJECTS'!$AT$5:$AT$464,'3_OBJECTS'!$I$5:$I$464,"yes",'3_OBJECTS'!$D$5:$D$464,1890,'3_OBJECTS'!$AS$5:$AS$464,"&lt;&gt;"&amp;$B$3),""))</f>
        <v>1</v>
      </c>
    </row>
    <row r="12" ht="14.25" customHeight="1" spans="1:14">
      <c r="A12" s="6">
        <v>1900</v>
      </c>
      <c r="B12" s="6">
        <f>COUNTIFS('3_OBJECTS'!$I$5:$I$464,"yes",'3_OBJECTS'!$D$5:$D$464,1900)</f>
        <v>15</v>
      </c>
      <c r="C12" s="24">
        <f>IFERROR(AVERAGEIFS('3_OBJECTS'!$AQ$5:$AQ$464,'3_OBJECTS'!$I$5:$I$464,"yes",'3_OBJECTS'!$D$5:$D$464,1900),"")</f>
        <v>0.852083333333333</v>
      </c>
      <c r="D12" s="24">
        <f t="shared" si="1"/>
        <v>-0.124479166666667</v>
      </c>
      <c r="E12" s="24">
        <f>IFERROR(AVERAGEIFS('3_OBJECTS'!$AT$5:$AT$464,'3_OBJECTS'!$I$5:$I$464,"yes",'3_OBJECTS'!$D$5:$D$464,1900),"")</f>
        <v>0.980555555555556</v>
      </c>
      <c r="F12" s="24">
        <f t="shared" si="2"/>
        <v>0.0118055555555554</v>
      </c>
      <c r="G12" s="6">
        <f>COUNTIFS('3_OBJECTS'!$I$5:$I$464,"yes",'3_OBJECTS'!$D$5:$D$464,1900,'3_OBJECTS'!$AS$5:$AS$464,$B$3)</f>
        <v>14</v>
      </c>
      <c r="H12" s="24">
        <f>IF(G12=0,"",IFERROR(AVERAGEIFS('3_OBJECTS'!$AQ$5:$AQ$464,'3_OBJECTS'!$I$5:$I$464,"yes",'3_OBJECTS'!$D$5:$D$464,1900,'3_OBJECTS'!$AS$5:$AS$464,$B$3),""))</f>
        <v>0.84375</v>
      </c>
      <c r="I12" s="24">
        <f t="shared" si="3"/>
        <v>-0.130681818181818</v>
      </c>
      <c r="J12" s="24">
        <f>IF(G12=0,"",IFERROR(AVERAGEIFS('3_OBJECTS'!$AT$5:$AT$464,'3_OBJECTS'!$I$5:$I$464,"yes",'3_OBJECTS'!$D$5:$D$464,1900,'3_OBJECTS'!$AS$5:$AS$464,$B$3),""))</f>
        <v>0.982142857142857</v>
      </c>
      <c r="K12" s="24">
        <f t="shared" si="4"/>
        <v>0.016233766233766</v>
      </c>
      <c r="L12" s="6">
        <f t="shared" si="0"/>
        <v>1</v>
      </c>
      <c r="M12" s="24">
        <f>IF(L12=0,"",IFERROR(AVERAGEIFS('3_OBJECTS'!$AQ$5:$AQ$464,'3_OBJECTS'!$I$5:$I$464,"yes",'3_OBJECTS'!$D$5:$D$464,1900,'3_OBJECTS'!$AS$5:$AS$464,"&lt;&gt;"&amp;$B$3),""))</f>
        <v>0.96875</v>
      </c>
      <c r="N12" s="24">
        <f>IF(L12=0,"",IFERROR(AVERAGEIFS('3_OBJECTS'!$AT$5:$AT$464,'3_OBJECTS'!$I$5:$I$464,"yes",'3_OBJECTS'!$D$5:$D$464,1900,'3_OBJECTS'!$AS$5:$AS$464,"&lt;&gt;"&amp;$B$3),""))</f>
        <v>0.958333333333333</v>
      </c>
    </row>
    <row r="13" ht="14.25" customHeight="1" spans="1:14">
      <c r="A13" s="6">
        <v>1910</v>
      </c>
      <c r="B13" s="6">
        <f>COUNTIFS('3_OBJECTS'!$I$5:$I$464,"yes",'3_OBJECTS'!$D$5:$D$464,1910)</f>
        <v>18</v>
      </c>
      <c r="C13" s="24">
        <f>IFERROR(AVERAGEIFS('3_OBJECTS'!$AQ$5:$AQ$464,'3_OBJECTS'!$I$5:$I$464,"yes",'3_OBJECTS'!$D$5:$D$464,1910),"")</f>
        <v>0.833333333333333</v>
      </c>
      <c r="D13" s="24">
        <f t="shared" si="1"/>
        <v>-0.0187499999999999</v>
      </c>
      <c r="E13" s="24">
        <f>IFERROR(AVERAGEIFS('3_OBJECTS'!$AT$5:$AT$464,'3_OBJECTS'!$I$5:$I$464,"yes",'3_OBJECTS'!$D$5:$D$464,1910),"")</f>
        <v>0.962962962962963</v>
      </c>
      <c r="F13" s="24">
        <f t="shared" si="2"/>
        <v>-0.0175925925925924</v>
      </c>
      <c r="G13" s="6">
        <f>COUNTIFS('3_OBJECTS'!$I$5:$I$464,"yes",'3_OBJECTS'!$D$5:$D$464,1910,'3_OBJECTS'!$AS$5:$AS$464,$B$3)</f>
        <v>15</v>
      </c>
      <c r="H13" s="24">
        <f>IF(G13=0,"",IFERROR(AVERAGEIFS('3_OBJECTS'!$AQ$5:$AQ$464,'3_OBJECTS'!$I$5:$I$464,"yes",'3_OBJECTS'!$D$5:$D$464,1910,'3_OBJECTS'!$AS$5:$AS$464,$B$3),""))</f>
        <v>0.839583333333333</v>
      </c>
      <c r="I13" s="24">
        <f t="shared" si="3"/>
        <v>-0.00416666666666665</v>
      </c>
      <c r="J13" s="24">
        <f>IF(G13=0,"",IFERROR(AVERAGEIFS('3_OBJECTS'!$AT$5:$AT$464,'3_OBJECTS'!$I$5:$I$464,"yes",'3_OBJECTS'!$D$5:$D$464,1910,'3_OBJECTS'!$AS$5:$AS$464,$B$3),""))</f>
        <v>0.963888888888889</v>
      </c>
      <c r="K13" s="24">
        <f t="shared" si="4"/>
        <v>-0.0182539682539681</v>
      </c>
      <c r="L13" s="6">
        <f t="shared" si="0"/>
        <v>3</v>
      </c>
      <c r="M13" s="24">
        <f>IF(L13=0,"",IFERROR(AVERAGEIFS('3_OBJECTS'!$AQ$5:$AQ$464,'3_OBJECTS'!$I$5:$I$464,"yes",'3_OBJECTS'!$D$5:$D$464,1910,'3_OBJECTS'!$AS$5:$AS$464,"&lt;&gt;"&amp;$B$3),""))</f>
        <v>0.802083333333333</v>
      </c>
      <c r="N13" s="24">
        <f>IF(L13=0,"",IFERROR(AVERAGEIFS('3_OBJECTS'!$AT$5:$AT$464,'3_OBJECTS'!$I$5:$I$464,"yes",'3_OBJECTS'!$D$5:$D$464,1910,'3_OBJECTS'!$AS$5:$AS$464,"&lt;&gt;"&amp;$B$3),""))</f>
        <v>0.958333333333333</v>
      </c>
    </row>
    <row r="14" ht="14.25" customHeight="1" spans="1:14">
      <c r="A14" s="6">
        <v>1920</v>
      </c>
      <c r="B14" s="6">
        <f>COUNTIFS('3_OBJECTS'!$I$5:$I$464,"yes",'3_OBJECTS'!$D$5:$D$464,1920)</f>
        <v>19</v>
      </c>
      <c r="C14" s="24">
        <f>IFERROR(AVERAGEIFS('3_OBJECTS'!$AQ$5:$AQ$464,'3_OBJECTS'!$I$5:$I$464,"yes",'3_OBJECTS'!$D$5:$D$464,1920),"")</f>
        <v>0.817434210526316</v>
      </c>
      <c r="D14" s="24">
        <f t="shared" si="1"/>
        <v>-0.0158991228070176</v>
      </c>
      <c r="E14" s="24">
        <f>IFERROR(AVERAGEIFS('3_OBJECTS'!$AT$5:$AT$464,'3_OBJECTS'!$I$5:$I$464,"yes",'3_OBJECTS'!$D$5:$D$464,1920),"")</f>
        <v>0.967105263157895</v>
      </c>
      <c r="F14" s="24">
        <f t="shared" si="2"/>
        <v>0.00414230019493178</v>
      </c>
      <c r="G14" s="6">
        <f>COUNTIFS('3_OBJECTS'!$I$5:$I$464,"yes",'3_OBJECTS'!$D$5:$D$464,1920,'3_OBJECTS'!$AS$5:$AS$464,$B$3)</f>
        <v>17</v>
      </c>
      <c r="H14" s="24">
        <f>IF(G14=0,"",IFERROR(AVERAGEIFS('3_OBJECTS'!$AQ$5:$AQ$464,'3_OBJECTS'!$I$5:$I$464,"yes",'3_OBJECTS'!$D$5:$D$464,1920,'3_OBJECTS'!$AS$5:$AS$464,$B$3),""))</f>
        <v>0.814338235294118</v>
      </c>
      <c r="I14" s="24">
        <f t="shared" si="3"/>
        <v>-0.0252450980392157</v>
      </c>
      <c r="J14" s="24">
        <f>IF(G14=0,"",IFERROR(AVERAGEIFS('3_OBJECTS'!$AT$5:$AT$464,'3_OBJECTS'!$I$5:$I$464,"yes",'3_OBJECTS'!$D$5:$D$464,1920,'3_OBJECTS'!$AS$5:$AS$464,$B$3),""))</f>
        <v>0.968137254901961</v>
      </c>
      <c r="K14" s="24">
        <f t="shared" si="4"/>
        <v>0.00424836601307188</v>
      </c>
      <c r="L14" s="6">
        <f t="shared" si="0"/>
        <v>2</v>
      </c>
      <c r="M14" s="24">
        <f>IF(L14=0,"",IFERROR(AVERAGEIFS('3_OBJECTS'!$AQ$5:$AQ$464,'3_OBJECTS'!$I$5:$I$464,"yes",'3_OBJECTS'!$D$5:$D$464,1920,'3_OBJECTS'!$AS$5:$AS$464,"&lt;&gt;"&amp;$B$3),""))</f>
        <v>0.84375</v>
      </c>
      <c r="N14" s="24">
        <f>IF(L14=0,"",IFERROR(AVERAGEIFS('3_OBJECTS'!$AT$5:$AT$464,'3_OBJECTS'!$I$5:$I$464,"yes",'3_OBJECTS'!$D$5:$D$464,1920,'3_OBJECTS'!$AS$5:$AS$464,"&lt;&gt;"&amp;$B$3),""))</f>
        <v>0.958333333333333</v>
      </c>
    </row>
    <row r="15" ht="14.25" customHeight="1" spans="1:14">
      <c r="A15" s="6">
        <v>1930</v>
      </c>
      <c r="B15" s="6">
        <f>COUNTIFS('3_OBJECTS'!$I$5:$I$464,"yes",'3_OBJECTS'!$D$5:$D$464,1930)</f>
        <v>13</v>
      </c>
      <c r="C15" s="24">
        <f>IFERROR(AVERAGEIFS('3_OBJECTS'!$AQ$5:$AQ$464,'3_OBJECTS'!$I$5:$I$464,"yes",'3_OBJECTS'!$D$5:$D$464,1930),"")</f>
        <v>0.786057692307692</v>
      </c>
      <c r="D15" s="24">
        <f t="shared" si="1"/>
        <v>-0.0313765182186235</v>
      </c>
      <c r="E15" s="24">
        <f>IFERROR(AVERAGEIFS('3_OBJECTS'!$AT$5:$AT$464,'3_OBJECTS'!$I$5:$I$464,"yes",'3_OBJECTS'!$D$5:$D$464,1930),"")</f>
        <v>0.971153846153846</v>
      </c>
      <c r="F15" s="24">
        <f t="shared" si="2"/>
        <v>0.00404858299595123</v>
      </c>
      <c r="G15" s="6">
        <f>COUNTIFS('3_OBJECTS'!$I$5:$I$464,"yes",'3_OBJECTS'!$D$5:$D$464,1930,'3_OBJECTS'!$AS$5:$AS$464,$B$3)</f>
        <v>11</v>
      </c>
      <c r="H15" s="24">
        <f>IF(G15=0,"",IFERROR(AVERAGEIFS('3_OBJECTS'!$AQ$5:$AQ$464,'3_OBJECTS'!$I$5:$I$464,"yes",'3_OBJECTS'!$D$5:$D$464,1930,'3_OBJECTS'!$AS$5:$AS$464,$B$3),""))</f>
        <v>0.78125</v>
      </c>
      <c r="I15" s="24">
        <f t="shared" si="3"/>
        <v>-0.0330882352941176</v>
      </c>
      <c r="J15" s="24">
        <f>IF(G15=0,"",IFERROR(AVERAGEIFS('3_OBJECTS'!$AT$5:$AT$464,'3_OBJECTS'!$I$5:$I$464,"yes",'3_OBJECTS'!$D$5:$D$464,1930,'3_OBJECTS'!$AS$5:$AS$464,$B$3),""))</f>
        <v>0.981060606060606</v>
      </c>
      <c r="K15" s="24">
        <f t="shared" si="4"/>
        <v>0.0129233511586451</v>
      </c>
      <c r="L15" s="6">
        <f t="shared" si="0"/>
        <v>2</v>
      </c>
      <c r="M15" s="24">
        <f>IF(L15=0,"",IFERROR(AVERAGEIFS('3_OBJECTS'!$AQ$5:$AQ$464,'3_OBJECTS'!$I$5:$I$464,"yes",'3_OBJECTS'!$D$5:$D$464,1930,'3_OBJECTS'!$AS$5:$AS$464,"&lt;&gt;"&amp;$B$3),""))</f>
        <v>0.8125</v>
      </c>
      <c r="N15" s="24">
        <f>IF(L15=0,"",IFERROR(AVERAGEIFS('3_OBJECTS'!$AT$5:$AT$464,'3_OBJECTS'!$I$5:$I$464,"yes",'3_OBJECTS'!$D$5:$D$464,1930,'3_OBJECTS'!$AS$5:$AS$464,"&lt;&gt;"&amp;$B$3),""))</f>
        <v>0.916666666666667</v>
      </c>
    </row>
    <row r="16" ht="14.25" customHeight="1" spans="1:14">
      <c r="A16" s="6">
        <v>1940</v>
      </c>
      <c r="B16" s="6">
        <f>COUNTIFS('3_OBJECTS'!$I$5:$I$464,"yes",'3_OBJECTS'!$D$5:$D$464,1940)</f>
        <v>16</v>
      </c>
      <c r="C16" s="24">
        <f>IFERROR(AVERAGEIFS('3_OBJECTS'!$AQ$5:$AQ$464,'3_OBJECTS'!$I$5:$I$464,"yes",'3_OBJECTS'!$D$5:$D$464,1940),"")</f>
        <v>0.76171875</v>
      </c>
      <c r="D16" s="24">
        <f t="shared" si="1"/>
        <v>-0.0243389423076923</v>
      </c>
      <c r="E16" s="24">
        <f>IFERROR(AVERAGEIFS('3_OBJECTS'!$AT$5:$AT$464,'3_OBJECTS'!$I$5:$I$464,"yes",'3_OBJECTS'!$D$5:$D$464,1940),"")</f>
        <v>0.973958333333333</v>
      </c>
      <c r="F16" s="24">
        <f t="shared" si="2"/>
        <v>0.00280448717948723</v>
      </c>
      <c r="G16" s="6">
        <f>COUNTIFS('3_OBJECTS'!$I$5:$I$464,"yes",'3_OBJECTS'!$D$5:$D$464,1940,'3_OBJECTS'!$AS$5:$AS$464,$B$3)</f>
        <v>8</v>
      </c>
      <c r="H16" s="24">
        <f>IF(G16=0,"",IFERROR(AVERAGEIFS('3_OBJECTS'!$AQ$5:$AQ$464,'3_OBJECTS'!$I$5:$I$464,"yes",'3_OBJECTS'!$D$5:$D$464,1940,'3_OBJECTS'!$AS$5:$AS$464,$B$3),""))</f>
        <v>0.7734375</v>
      </c>
      <c r="I16" s="24">
        <f t="shared" si="3"/>
        <v>-0.0078125</v>
      </c>
      <c r="J16" s="24">
        <f>IF(G16=0,"",IFERROR(AVERAGEIFS('3_OBJECTS'!$AT$5:$AT$464,'3_OBJECTS'!$I$5:$I$464,"yes",'3_OBJECTS'!$D$5:$D$464,1940,'3_OBJECTS'!$AS$5:$AS$464,$B$3),""))</f>
        <v>0.989583333333333</v>
      </c>
      <c r="K16" s="24">
        <f t="shared" si="4"/>
        <v>0.0085227272727274</v>
      </c>
      <c r="L16" s="6">
        <f t="shared" si="0"/>
        <v>8</v>
      </c>
      <c r="M16" s="24">
        <f>IF(L16=0,"",IFERROR(AVERAGEIFS('3_OBJECTS'!$AQ$5:$AQ$464,'3_OBJECTS'!$I$5:$I$464,"yes",'3_OBJECTS'!$D$5:$D$464,1940,'3_OBJECTS'!$AS$5:$AS$464,"&lt;&gt;"&amp;$B$3),""))</f>
        <v>0.75</v>
      </c>
      <c r="N16" s="24">
        <f>IF(L16=0,"",IFERROR(AVERAGEIFS('3_OBJECTS'!$AT$5:$AT$464,'3_OBJECTS'!$I$5:$I$464,"yes",'3_OBJECTS'!$D$5:$D$464,1940,'3_OBJECTS'!$AS$5:$AS$464,"&lt;&gt;"&amp;$B$3),""))</f>
        <v>0.958333333333333</v>
      </c>
    </row>
    <row r="17" ht="14.25" customHeight="1" spans="1:14">
      <c r="A17" s="6">
        <v>1950</v>
      </c>
      <c r="B17" s="6">
        <f>COUNTIFS('3_OBJECTS'!$I$5:$I$464,"yes",'3_OBJECTS'!$D$5:$D$464,1950)</f>
        <v>18</v>
      </c>
      <c r="C17" s="24">
        <f>IFERROR(AVERAGEIFS('3_OBJECTS'!$AQ$5:$AQ$464,'3_OBJECTS'!$I$5:$I$464,"yes",'3_OBJECTS'!$D$5:$D$464,1950),"")</f>
        <v>0.675347222222222</v>
      </c>
      <c r="D17" s="24">
        <f t="shared" si="1"/>
        <v>-0.0863715277777778</v>
      </c>
      <c r="E17" s="24">
        <f>IFERROR(AVERAGEIFS('3_OBJECTS'!$AT$5:$AT$464,'3_OBJECTS'!$I$5:$I$464,"yes",'3_OBJECTS'!$D$5:$D$464,1950),"")</f>
        <v>0.881944444444444</v>
      </c>
      <c r="F17" s="24">
        <f t="shared" si="2"/>
        <v>-0.092013888888889</v>
      </c>
      <c r="G17" s="6">
        <f>COUNTIFS('3_OBJECTS'!$I$5:$I$464,"yes",'3_OBJECTS'!$D$5:$D$464,1950,'3_OBJECTS'!$AS$5:$AS$464,$B$3)</f>
        <v>8</v>
      </c>
      <c r="H17" s="24">
        <f>IF(G17=0,"",IFERROR(AVERAGEIFS('3_OBJECTS'!$AQ$5:$AQ$464,'3_OBJECTS'!$I$5:$I$464,"yes",'3_OBJECTS'!$D$5:$D$464,1950,'3_OBJECTS'!$AS$5:$AS$464,$B$3),""))</f>
        <v>0.76953125</v>
      </c>
      <c r="I17" s="24">
        <f t="shared" si="3"/>
        <v>-0.00390625</v>
      </c>
      <c r="J17" s="24">
        <f>IF(G17=0,"",IFERROR(AVERAGEIFS('3_OBJECTS'!$AT$5:$AT$464,'3_OBJECTS'!$I$5:$I$464,"yes",'3_OBJECTS'!$D$5:$D$464,1950,'3_OBJECTS'!$AS$5:$AS$464,$B$3),""))</f>
        <v>0.984375</v>
      </c>
      <c r="K17" s="24">
        <f t="shared" si="4"/>
        <v>-0.00520833333333337</v>
      </c>
      <c r="L17" s="6">
        <f t="shared" si="0"/>
        <v>10</v>
      </c>
      <c r="M17" s="24">
        <f>IF(L17=0,"",IFERROR(AVERAGEIFS('3_OBJECTS'!$AQ$5:$AQ$464,'3_OBJECTS'!$I$5:$I$464,"yes",'3_OBJECTS'!$D$5:$D$464,1950,'3_OBJECTS'!$AS$5:$AS$464,"&lt;&gt;"&amp;$B$3),""))</f>
        <v>0.6</v>
      </c>
      <c r="N17" s="24">
        <f>IF(L17=0,"",IFERROR(AVERAGEIFS('3_OBJECTS'!$AT$5:$AT$464,'3_OBJECTS'!$I$5:$I$464,"yes",'3_OBJECTS'!$D$5:$D$464,1950,'3_OBJECTS'!$AS$5:$AS$464,"&lt;&gt;"&amp;$B$3),""))</f>
        <v>0.8</v>
      </c>
    </row>
    <row r="18" ht="14.25" customHeight="1" spans="1:14">
      <c r="A18" s="6">
        <v>1960</v>
      </c>
      <c r="B18" s="6">
        <f>COUNTIFS('3_OBJECTS'!$I$5:$I$464,"yes",'3_OBJECTS'!$D$5:$D$464,1960)</f>
        <v>28</v>
      </c>
      <c r="C18" s="24">
        <f>IFERROR(AVERAGEIFS('3_OBJECTS'!$AQ$5:$AQ$464,'3_OBJECTS'!$I$5:$I$464,"yes",'3_OBJECTS'!$D$5:$D$464,1960),"")</f>
        <v>0.691964285714286</v>
      </c>
      <c r="D18" s="24">
        <f t="shared" si="1"/>
        <v>0.0166170634920635</v>
      </c>
      <c r="E18" s="24">
        <f>IFERROR(AVERAGEIFS('3_OBJECTS'!$AT$5:$AT$464,'3_OBJECTS'!$I$5:$I$464,"yes",'3_OBJECTS'!$D$5:$D$464,1960),"")</f>
        <v>0.886904761904762</v>
      </c>
      <c r="F18" s="24">
        <f t="shared" si="2"/>
        <v>0.00496031746031722</v>
      </c>
      <c r="G18" s="6">
        <f>COUNTIFS('3_OBJECTS'!$I$5:$I$464,"yes",'3_OBJECTS'!$D$5:$D$464,1960,'3_OBJECTS'!$AS$5:$AS$464,$B$3)</f>
        <v>13</v>
      </c>
      <c r="H18" s="24">
        <f>IF(G18=0,"",IFERROR(AVERAGEIFS('3_OBJECTS'!$AQ$5:$AQ$464,'3_OBJECTS'!$I$5:$I$464,"yes",'3_OBJECTS'!$D$5:$D$464,1960,'3_OBJECTS'!$AS$5:$AS$464,$B$3),""))</f>
        <v>0.766826923076923</v>
      </c>
      <c r="I18" s="24">
        <f t="shared" si="3"/>
        <v>-0.00270432692307687</v>
      </c>
      <c r="J18" s="24">
        <f>IF(G18=0,"",IFERROR(AVERAGEIFS('3_OBJECTS'!$AT$5:$AT$464,'3_OBJECTS'!$I$5:$I$464,"yes",'3_OBJECTS'!$D$5:$D$464,1960,'3_OBJECTS'!$AS$5:$AS$464,$B$3),""))</f>
        <v>0.971153846153846</v>
      </c>
      <c r="K18" s="24">
        <f t="shared" si="4"/>
        <v>-0.0132211538461537</v>
      </c>
      <c r="L18" s="6">
        <f t="shared" si="0"/>
        <v>15</v>
      </c>
      <c r="M18" s="24">
        <f>IF(L18=0,"",IFERROR(AVERAGEIFS('3_OBJECTS'!$AQ$5:$AQ$464,'3_OBJECTS'!$I$5:$I$464,"yes",'3_OBJECTS'!$D$5:$D$464,1960,'3_OBJECTS'!$AS$5:$AS$464,"&lt;&gt;"&amp;$B$3),""))</f>
        <v>0.627083333333333</v>
      </c>
      <c r="N18" s="24">
        <f>IF(L18=0,"",IFERROR(AVERAGEIFS('3_OBJECTS'!$AT$5:$AT$464,'3_OBJECTS'!$I$5:$I$464,"yes",'3_OBJECTS'!$D$5:$D$464,1960,'3_OBJECTS'!$AS$5:$AS$464,"&lt;&gt;"&amp;$B$3),""))</f>
        <v>0.813888888888889</v>
      </c>
    </row>
    <row r="19" ht="14.25" customHeight="1" spans="1:14">
      <c r="A19" s="6">
        <v>1970</v>
      </c>
      <c r="B19" s="6">
        <f>COUNTIFS('3_OBJECTS'!$I$5:$I$464,"yes",'3_OBJECTS'!$D$5:$D$464,1970)</f>
        <v>31</v>
      </c>
      <c r="C19" s="24">
        <f>IFERROR(AVERAGEIFS('3_OBJECTS'!$AQ$5:$AQ$464,'3_OBJECTS'!$I$5:$I$464,"yes",'3_OBJECTS'!$D$5:$D$464,1970),"")</f>
        <v>0.659274193548387</v>
      </c>
      <c r="D19" s="24">
        <f t="shared" si="1"/>
        <v>-0.0326900921658986</v>
      </c>
      <c r="E19" s="24">
        <f>IFERROR(AVERAGEIFS('3_OBJECTS'!$AT$5:$AT$464,'3_OBJECTS'!$I$5:$I$464,"yes",'3_OBJECTS'!$D$5:$D$464,1970),"")</f>
        <v>0.866935483870968</v>
      </c>
      <c r="F19" s="24">
        <f t="shared" si="2"/>
        <v>-0.019969278033794</v>
      </c>
      <c r="G19" s="6">
        <f>COUNTIFS('3_OBJECTS'!$I$5:$I$464,"yes",'3_OBJECTS'!$D$5:$D$464,1970,'3_OBJECTS'!$AS$5:$AS$464,$B$3)</f>
        <v>6</v>
      </c>
      <c r="H19" s="24">
        <f>IF(G19=0,"",IFERROR(AVERAGEIFS('3_OBJECTS'!$AQ$5:$AQ$464,'3_OBJECTS'!$I$5:$I$464,"yes",'3_OBJECTS'!$D$5:$D$464,1970,'3_OBJECTS'!$AS$5:$AS$464,$B$3),""))</f>
        <v>0.755208333333333</v>
      </c>
      <c r="I19" s="24">
        <f t="shared" si="3"/>
        <v>-0.0116185897435898</v>
      </c>
      <c r="J19" s="24">
        <f>IF(G19=0,"",IFERROR(AVERAGEIFS('3_OBJECTS'!$AT$5:$AT$464,'3_OBJECTS'!$I$5:$I$464,"yes",'3_OBJECTS'!$D$5:$D$464,1970,'3_OBJECTS'!$AS$5:$AS$464,$B$3),""))</f>
        <v>0.951388888888889</v>
      </c>
      <c r="K19" s="24">
        <f t="shared" si="4"/>
        <v>-0.0197649572649574</v>
      </c>
      <c r="L19" s="6">
        <f t="shared" si="0"/>
        <v>25</v>
      </c>
      <c r="M19" s="24">
        <f>IF(L19=0,"",IFERROR(AVERAGEIFS('3_OBJECTS'!$AQ$5:$AQ$464,'3_OBJECTS'!$I$5:$I$464,"yes",'3_OBJECTS'!$D$5:$D$464,1970,'3_OBJECTS'!$AS$5:$AS$464,"&lt;&gt;"&amp;$B$3),""))</f>
        <v>0.63625</v>
      </c>
      <c r="N19" s="24">
        <f>IF(L19=0,"",IFERROR(AVERAGEIFS('3_OBJECTS'!$AT$5:$AT$464,'3_OBJECTS'!$I$5:$I$464,"yes",'3_OBJECTS'!$D$5:$D$464,1970,'3_OBJECTS'!$AS$5:$AS$464,"&lt;&gt;"&amp;$B$3),""))</f>
        <v>0.846666666666667</v>
      </c>
    </row>
    <row r="20" ht="14.25" customHeight="1" spans="1:14">
      <c r="A20" s="6">
        <v>1980</v>
      </c>
      <c r="B20" s="6">
        <f>COUNTIFS('3_OBJECTS'!$I$5:$I$464,"yes",'3_OBJECTS'!$D$5:$D$464,1980)</f>
        <v>26</v>
      </c>
      <c r="C20" s="24">
        <f>IFERROR(AVERAGEIFS('3_OBJECTS'!$AQ$5:$AQ$464,'3_OBJECTS'!$I$5:$I$464,"yes",'3_OBJECTS'!$D$5:$D$464,1980),"")</f>
        <v>0.691105769230769</v>
      </c>
      <c r="D20" s="24">
        <f t="shared" si="1"/>
        <v>0.0318315756823822</v>
      </c>
      <c r="E20" s="24">
        <f>IFERROR(AVERAGEIFS('3_OBJECTS'!$AT$5:$AT$464,'3_OBJECTS'!$I$5:$I$464,"yes",'3_OBJECTS'!$D$5:$D$464,1980),"")</f>
        <v>0.881410256410256</v>
      </c>
      <c r="F20" s="24">
        <f t="shared" si="2"/>
        <v>0.0144747725392886</v>
      </c>
      <c r="G20" s="6">
        <f>COUNTIFS('3_OBJECTS'!$I$5:$I$464,"yes",'3_OBJECTS'!$D$5:$D$464,1980,'3_OBJECTS'!$AS$5:$AS$464,$B$3)</f>
        <v>10</v>
      </c>
      <c r="H20" s="24">
        <f>IF(G20=0,"",IFERROR(AVERAGEIFS('3_OBJECTS'!$AQ$5:$AQ$464,'3_OBJECTS'!$I$5:$I$464,"yes",'3_OBJECTS'!$D$5:$D$464,1980,'3_OBJECTS'!$AS$5:$AS$464,$B$3),""))</f>
        <v>0.79375</v>
      </c>
      <c r="I20" s="24">
        <f t="shared" si="3"/>
        <v>0.0385416666666666</v>
      </c>
      <c r="J20" s="24">
        <f>IF(G20=0,"",IFERROR(AVERAGEIFS('3_OBJECTS'!$AT$5:$AT$464,'3_OBJECTS'!$I$5:$I$464,"yes",'3_OBJECTS'!$D$5:$D$464,1980,'3_OBJECTS'!$AS$5:$AS$464,$B$3),""))</f>
        <v>0.958333333333333</v>
      </c>
      <c r="K20" s="24">
        <f t="shared" si="4"/>
        <v>0.00694444444444442</v>
      </c>
      <c r="L20" s="6">
        <f t="shared" si="0"/>
        <v>16</v>
      </c>
      <c r="M20" s="24">
        <f>IF(L20=0,"",IFERROR(AVERAGEIFS('3_OBJECTS'!$AQ$5:$AQ$464,'3_OBJECTS'!$I$5:$I$464,"yes",'3_OBJECTS'!$D$5:$D$464,1980,'3_OBJECTS'!$AS$5:$AS$464,"&lt;&gt;"&amp;$B$3),""))</f>
        <v>0.626953125</v>
      </c>
      <c r="N20" s="24">
        <f>IF(L20=0,"",IFERROR(AVERAGEIFS('3_OBJECTS'!$AT$5:$AT$464,'3_OBJECTS'!$I$5:$I$464,"yes",'3_OBJECTS'!$D$5:$D$464,1980,'3_OBJECTS'!$AS$5:$AS$464,"&lt;&gt;"&amp;$B$3),""))</f>
        <v>0.833333333333333</v>
      </c>
    </row>
    <row r="21" ht="14.25" customHeight="1" spans="1:14">
      <c r="A21" s="6">
        <v>1990</v>
      </c>
      <c r="B21" s="6">
        <f>COUNTIFS('3_OBJECTS'!$I$5:$I$464,"yes",'3_OBJECTS'!$D$5:$D$464,1990)</f>
        <v>30</v>
      </c>
      <c r="C21" s="24">
        <f>IFERROR(AVERAGEIFS('3_OBJECTS'!$AQ$5:$AQ$464,'3_OBJECTS'!$I$5:$I$464,"yes",'3_OBJECTS'!$D$5:$D$464,1990),"")</f>
        <v>0.723958333333333</v>
      </c>
      <c r="D21" s="24">
        <f t="shared" si="1"/>
        <v>0.0328525641025641</v>
      </c>
      <c r="E21" s="24">
        <f>IFERROR(AVERAGEIFS('3_OBJECTS'!$AT$5:$AT$464,'3_OBJECTS'!$I$5:$I$464,"yes",'3_OBJECTS'!$D$5:$D$464,1990),"")</f>
        <v>0.8625</v>
      </c>
      <c r="F21" s="24">
        <f t="shared" si="2"/>
        <v>-0.0189102564102566</v>
      </c>
      <c r="G21" s="6">
        <f>COUNTIFS('3_OBJECTS'!$I$5:$I$464,"yes",'3_OBJECTS'!$D$5:$D$464,1990,'3_OBJECTS'!$AS$5:$AS$464,$B$3)</f>
        <v>10</v>
      </c>
      <c r="H21" s="24">
        <f>IF(G21=0,"",IFERROR(AVERAGEIFS('3_OBJECTS'!$AQ$5:$AQ$464,'3_OBJECTS'!$I$5:$I$464,"yes",'3_OBJECTS'!$D$5:$D$464,1990,'3_OBJECTS'!$AS$5:$AS$464,$B$3),""))</f>
        <v>0.734375</v>
      </c>
      <c r="I21" s="24">
        <f t="shared" si="3"/>
        <v>-0.059375</v>
      </c>
      <c r="J21" s="24">
        <f>IF(G21=0,"",IFERROR(AVERAGEIFS('3_OBJECTS'!$AT$5:$AT$464,'3_OBJECTS'!$I$5:$I$464,"yes",'3_OBJECTS'!$D$5:$D$464,1990,'3_OBJECTS'!$AS$5:$AS$464,$B$3),""))</f>
        <v>0.975</v>
      </c>
      <c r="K21" s="24">
        <f t="shared" si="4"/>
        <v>0.0166666666666667</v>
      </c>
      <c r="L21" s="6">
        <f t="shared" si="0"/>
        <v>20</v>
      </c>
      <c r="M21" s="24">
        <f>IF(L21=0,"",IFERROR(AVERAGEIFS('3_OBJECTS'!$AQ$5:$AQ$464,'3_OBJECTS'!$I$5:$I$464,"yes",'3_OBJECTS'!$D$5:$D$464,1990,'3_OBJECTS'!$AS$5:$AS$464,"&lt;&gt;"&amp;$B$3),""))</f>
        <v>0.71875</v>
      </c>
      <c r="N21" s="24">
        <f>IF(L21=0,"",IFERROR(AVERAGEIFS('3_OBJECTS'!$AT$5:$AT$464,'3_OBJECTS'!$I$5:$I$464,"yes",'3_OBJECTS'!$D$5:$D$464,1990,'3_OBJECTS'!$AS$5:$AS$464,"&lt;&gt;"&amp;$B$3),""))</f>
        <v>0.80625</v>
      </c>
    </row>
    <row r="22" ht="14.25" customHeight="1" spans="1:14">
      <c r="A22" s="6">
        <v>2000</v>
      </c>
      <c r="B22" s="6">
        <f>COUNTIFS('3_OBJECTS'!$I$5:$I$464,"yes",'3_OBJECTS'!$D$5:$D$464,2000)</f>
        <v>41</v>
      </c>
      <c r="C22" s="24">
        <f>IFERROR(AVERAGEIFS('3_OBJECTS'!$AQ$5:$AQ$464,'3_OBJECTS'!$I$5:$I$464,"yes",'3_OBJECTS'!$D$5:$D$464,2000),"")</f>
        <v>0.65625</v>
      </c>
      <c r="D22" s="24">
        <f t="shared" si="1"/>
        <v>-0.0677083333333334</v>
      </c>
      <c r="E22" s="24">
        <f>IFERROR(AVERAGEIFS('3_OBJECTS'!$AT$5:$AT$464,'3_OBJECTS'!$I$5:$I$464,"yes",'3_OBJECTS'!$D$5:$D$464,2000),"")</f>
        <v>0.806910569105691</v>
      </c>
      <c r="F22" s="24">
        <f t="shared" si="2"/>
        <v>-0.0555894308943088</v>
      </c>
      <c r="G22" s="6">
        <f>COUNTIFS('3_OBJECTS'!$I$5:$I$464,"yes",'3_OBJECTS'!$D$5:$D$464,2000,'3_OBJECTS'!$AS$5:$AS$464,$B$3)</f>
        <v>9</v>
      </c>
      <c r="H22" s="24">
        <f>IF(G22=0,"",IFERROR(AVERAGEIFS('3_OBJECTS'!$AQ$5:$AQ$464,'3_OBJECTS'!$I$5:$I$464,"yes",'3_OBJECTS'!$D$5:$D$464,2000,'3_OBJECTS'!$AS$5:$AS$464,$B$3),""))</f>
        <v>0.729166666666667</v>
      </c>
      <c r="I22" s="24">
        <f t="shared" si="3"/>
        <v>-0.00520833333333337</v>
      </c>
      <c r="J22" s="24">
        <f>IF(G22=0,"",IFERROR(AVERAGEIFS('3_OBJECTS'!$AT$5:$AT$464,'3_OBJECTS'!$I$5:$I$464,"yes",'3_OBJECTS'!$D$5:$D$464,2000,'3_OBJECTS'!$AS$5:$AS$464,$B$3),""))</f>
        <v>0.935185185185185</v>
      </c>
      <c r="K22" s="24">
        <f t="shared" si="4"/>
        <v>-0.0398148148148149</v>
      </c>
      <c r="L22" s="6">
        <f t="shared" si="0"/>
        <v>32</v>
      </c>
      <c r="M22" s="24">
        <f>IF(L22=0,"",IFERROR(AVERAGEIFS('3_OBJECTS'!$AQ$5:$AQ$464,'3_OBJECTS'!$I$5:$I$464,"yes",'3_OBJECTS'!$D$5:$D$464,2000,'3_OBJECTS'!$AS$5:$AS$464,"&lt;&gt;"&amp;$B$3),""))</f>
        <v>0.6357421875</v>
      </c>
      <c r="N22" s="24">
        <f>IF(L22=0,"",IFERROR(AVERAGEIFS('3_OBJECTS'!$AT$5:$AT$464,'3_OBJECTS'!$I$5:$I$464,"yes",'3_OBJECTS'!$D$5:$D$464,2000,'3_OBJECTS'!$AS$5:$AS$464,"&lt;&gt;"&amp;$B$3),""))</f>
        <v>0.770833333333333</v>
      </c>
    </row>
    <row r="23" ht="14.25" customHeight="1" spans="1:14">
      <c r="A23" s="6">
        <v>2010</v>
      </c>
      <c r="B23" s="6">
        <f>COUNTIFS('3_OBJECTS'!$I$5:$I$464,"yes",'3_OBJECTS'!$D$5:$D$464,2010)</f>
        <v>52</v>
      </c>
      <c r="C23" s="24">
        <f>IFERROR(AVERAGEIFS('3_OBJECTS'!$AQ$5:$AQ$464,'3_OBJECTS'!$I$5:$I$464,"yes",'3_OBJECTS'!$D$5:$D$464,2010),"")</f>
        <v>0.704326923076923</v>
      </c>
      <c r="D23" s="24">
        <f t="shared" si="1"/>
        <v>0.0480769230769231</v>
      </c>
      <c r="E23" s="24">
        <f>IFERROR(AVERAGEIFS('3_OBJECTS'!$AT$5:$AT$464,'3_OBJECTS'!$I$5:$I$464,"yes",'3_OBJECTS'!$D$5:$D$464,2010),"")</f>
        <v>0.774839743589744</v>
      </c>
      <c r="F23" s="24">
        <f t="shared" si="2"/>
        <v>-0.0320708255159471</v>
      </c>
      <c r="G23" s="6">
        <f>COUNTIFS('3_OBJECTS'!$I$5:$I$464,"yes",'3_OBJECTS'!$D$5:$D$464,2010,'3_OBJECTS'!$AS$5:$AS$464,$B$3)</f>
        <v>13</v>
      </c>
      <c r="H23" s="24">
        <f>IF(G23=0,"",IFERROR(AVERAGEIFS('3_OBJECTS'!$AQ$5:$AQ$464,'3_OBJECTS'!$I$5:$I$464,"yes",'3_OBJECTS'!$D$5:$D$464,2010,'3_OBJECTS'!$AS$5:$AS$464,$B$3),""))</f>
        <v>0.78125</v>
      </c>
      <c r="I23" s="24">
        <f t="shared" si="3"/>
        <v>0.0520833333333334</v>
      </c>
      <c r="J23" s="24">
        <f>IF(G23=0,"",IFERROR(AVERAGEIFS('3_OBJECTS'!$AT$5:$AT$464,'3_OBJECTS'!$I$5:$I$464,"yes",'3_OBJECTS'!$D$5:$D$464,2010,'3_OBJECTS'!$AS$5:$AS$464,$B$3),""))</f>
        <v>0.971153846153846</v>
      </c>
      <c r="K23" s="24">
        <f t="shared" si="4"/>
        <v>0.0359686609686611</v>
      </c>
      <c r="L23" s="6">
        <f t="shared" si="0"/>
        <v>39</v>
      </c>
      <c r="M23" s="24">
        <f>IF(L23=0,"",IFERROR(AVERAGEIFS('3_OBJECTS'!$AQ$5:$AQ$464,'3_OBJECTS'!$I$5:$I$464,"yes",'3_OBJECTS'!$D$5:$D$464,2010,'3_OBJECTS'!$AS$5:$AS$464,"&lt;&gt;"&amp;$B$3),""))</f>
        <v>0.678685897435897</v>
      </c>
      <c r="N23" s="24">
        <f>IF(L23=0,"",IFERROR(AVERAGEIFS('3_OBJECTS'!$AT$5:$AT$464,'3_OBJECTS'!$I$5:$I$464,"yes",'3_OBJECTS'!$D$5:$D$464,2010,'3_OBJECTS'!$AS$5:$AS$464,"&lt;&gt;"&amp;$B$3),""))</f>
        <v>0.709401709401709</v>
      </c>
    </row>
    <row r="24" ht="14.25" customHeight="1" spans="1:14">
      <c r="A24" s="6">
        <v>2020</v>
      </c>
      <c r="B24" s="6">
        <f>COUNTIFS('3_OBJECTS'!$I$5:$I$464,"yes",'3_OBJECTS'!$D$5:$D$464,2020)</f>
        <v>50</v>
      </c>
      <c r="C24" s="24">
        <f>IFERROR(AVERAGEIFS('3_OBJECTS'!$AQ$5:$AQ$464,'3_OBJECTS'!$I$5:$I$464,"yes",'3_OBJECTS'!$D$5:$D$464,2020),"")</f>
        <v>0.656875</v>
      </c>
      <c r="D24" s="24">
        <f t="shared" si="1"/>
        <v>-0.0474519230769231</v>
      </c>
      <c r="E24" s="24">
        <f>IFERROR(AVERAGEIFS('3_OBJECTS'!$AT$5:$AT$464,'3_OBJECTS'!$I$5:$I$464,"yes",'3_OBJECTS'!$D$5:$D$464,2020),"")</f>
        <v>0.768333333333333</v>
      </c>
      <c r="F24" s="24">
        <f t="shared" si="2"/>
        <v>-0.00650641025641052</v>
      </c>
      <c r="G24" s="6">
        <f>COUNTIFS('3_OBJECTS'!$I$5:$I$464,"yes",'3_OBJECTS'!$D$5:$D$464,2020,'3_OBJECTS'!$AS$5:$AS$464,$B$3)</f>
        <v>12</v>
      </c>
      <c r="H24" s="24">
        <f>IF(G24=0,"",IFERROR(AVERAGEIFS('3_OBJECTS'!$AQ$5:$AQ$464,'3_OBJECTS'!$I$5:$I$464,"yes",'3_OBJECTS'!$D$5:$D$464,2020,'3_OBJECTS'!$AS$5:$AS$464,$B$3),""))</f>
        <v>0.697916666666667</v>
      </c>
      <c r="I24" s="24">
        <f t="shared" si="3"/>
        <v>-0.0833333333333334</v>
      </c>
      <c r="J24" s="24">
        <f>IF(G24=0,"",IFERROR(AVERAGEIFS('3_OBJECTS'!$AT$5:$AT$464,'3_OBJECTS'!$I$5:$I$464,"yes",'3_OBJECTS'!$D$5:$D$464,2020,'3_OBJECTS'!$AS$5:$AS$464,$B$3),""))</f>
        <v>0.902777777777778</v>
      </c>
      <c r="K24" s="24">
        <f t="shared" si="4"/>
        <v>-0.0683760683760686</v>
      </c>
      <c r="L24" s="6">
        <f t="shared" si="0"/>
        <v>38</v>
      </c>
      <c r="M24" s="24">
        <f>IF(L24=0,"",IFERROR(AVERAGEIFS('3_OBJECTS'!$AQ$5:$AQ$464,'3_OBJECTS'!$I$5:$I$464,"yes",'3_OBJECTS'!$D$5:$D$464,2020,'3_OBJECTS'!$AS$5:$AS$464,"&lt;&gt;"&amp;$B$3),""))</f>
        <v>0.643914473684211</v>
      </c>
      <c r="N24" s="24">
        <f>IF(L24=0,"",IFERROR(AVERAGEIFS('3_OBJECTS'!$AT$5:$AT$464,'3_OBJECTS'!$I$5:$I$464,"yes",'3_OBJECTS'!$D$5:$D$464,2020,'3_OBJECTS'!$AS$5:$AS$464,"&lt;&gt;"&amp;$B$3),""))</f>
        <v>0.725877192982456</v>
      </c>
    </row>
    <row r="26" ht="14.25" customHeight="1" spans="1:1">
      <c r="A26" s="9" t="s">
        <v>1413</v>
      </c>
    </row>
    <row r="27" ht="30" customHeight="1" spans="1:14">
      <c r="A27" s="4" t="s">
        <v>1402</v>
      </c>
      <c r="B27" s="4" t="s">
        <v>1403</v>
      </c>
      <c r="C27" s="4" t="s">
        <v>1404</v>
      </c>
      <c r="D27" s="4" t="s">
        <v>1405</v>
      </c>
      <c r="E27" s="4" t="s">
        <v>1406</v>
      </c>
      <c r="F27" s="4" t="s">
        <v>1405</v>
      </c>
      <c r="G27" s="5" t="s">
        <v>1407</v>
      </c>
      <c r="H27" s="5" t="s">
        <v>1408</v>
      </c>
      <c r="I27" s="5" t="s">
        <v>1405</v>
      </c>
      <c r="J27" s="5" t="s">
        <v>1409</v>
      </c>
      <c r="K27" s="5" t="s">
        <v>1405</v>
      </c>
      <c r="L27" s="25" t="s">
        <v>1410</v>
      </c>
      <c r="M27" s="25" t="s">
        <v>1411</v>
      </c>
      <c r="N27" s="25" t="s">
        <v>1412</v>
      </c>
    </row>
    <row r="28" ht="14.25" customHeight="1" spans="1:14">
      <c r="A28" s="6" t="s">
        <v>1414</v>
      </c>
      <c r="B28" s="6">
        <f>COUNTIFS('3_OBJECTS'!$I$5:$I$464,"yes",'3_OBJECTS'!$C$5:$C$464,"&lt;=1899")</f>
        <v>43</v>
      </c>
      <c r="C28" s="24">
        <f>IFERROR(AVERAGEIFS('3_OBJECTS'!$AQ$5:$AQ$464,'3_OBJECTS'!$I$5:$I$464,"yes",'3_OBJECTS'!$C$5:$C$464,"&lt;=1899"),"")</f>
        <v>0.98546511627907</v>
      </c>
      <c r="D28" s="6"/>
      <c r="E28" s="24">
        <f>IFERROR(AVERAGEIFS('3_OBJECTS'!$AT$5:$AT$464,'3_OBJECTS'!$I$5:$I$464,"yes",'3_OBJECTS'!$C$5:$C$464,"&lt;=1899"),"")</f>
        <v>0.98062015503876</v>
      </c>
      <c r="F28" s="6"/>
      <c r="G28" s="6">
        <f>COUNTIFS('3_OBJECTS'!$I$5:$I$464,"yes",'3_OBJECTS'!$C$5:$C$464,"&lt;=1899",'3_OBJECTS'!$AS$5:$AS$464,$B$3)</f>
        <v>42</v>
      </c>
      <c r="H28" s="24">
        <f>IF(G28=0,"",IFERROR(AVERAGEIFS('3_OBJECTS'!$AQ$5:$AQ$464,'3_OBJECTS'!$I$5:$I$464,"yes",'3_OBJECTS'!$C$5:$C$464,"&lt;=1899",'3_OBJECTS'!$AS$5:$AS$464,$B$3),""))</f>
        <v>0.985119047619048</v>
      </c>
      <c r="I28" s="6"/>
      <c r="J28" s="24">
        <f>IF(G28=0,"",IFERROR(AVERAGEIFS('3_OBJECTS'!$AT$5:$AT$464,'3_OBJECTS'!$I$5:$I$464,"yes",'3_OBJECTS'!$C$5:$C$464,"&lt;=1899",'3_OBJECTS'!$AS$5:$AS$464,$B$3),""))</f>
        <v>0.98015873015873</v>
      </c>
      <c r="K28" s="6"/>
      <c r="L28" s="6">
        <f>B28-G28</f>
        <v>1</v>
      </c>
      <c r="M28" s="24">
        <f>IF(L28=0,"",IFERROR(AVERAGEIFS('3_OBJECTS'!$AQ$5:$AQ$464,'3_OBJECTS'!$I$5:$I$464,"yes",'3_OBJECTS'!$C$5:$C$464,"&lt;=1899",'3_OBJECTS'!$AS$5:$AS$464,"&lt;&gt;"&amp;$B$3),""))</f>
        <v>1</v>
      </c>
      <c r="N28" s="24">
        <f>IF(L28=0,"",IFERROR(AVERAGEIFS('3_OBJECTS'!$AT$5:$AT$464,'3_OBJECTS'!$I$5:$I$464,"yes",'3_OBJECTS'!$C$5:$C$464,"&lt;=1899",'3_OBJECTS'!$AS$5:$AS$464,"&lt;&gt;"&amp;$B$3),""))</f>
        <v>1</v>
      </c>
    </row>
    <row r="29" ht="14.25" customHeight="1" spans="1:14">
      <c r="A29" s="6" t="s">
        <v>1415</v>
      </c>
      <c r="B29" s="6">
        <f>COUNTIFS('3_OBJECTS'!$I$5:$I$464,"yes",'3_OBJECTS'!$C$5:$C$464,"&gt;=1900",'3_OBJECTS'!$C$5:$C$464,"&lt;=1949")</f>
        <v>81</v>
      </c>
      <c r="C29" s="24">
        <f>IFERROR(AVERAGEIFS('3_OBJECTS'!$AQ$5:$AQ$464,'3_OBJECTS'!$I$5:$I$464,"yes",'3_OBJECTS'!$C$5:$C$464,"&gt;=1900",'3_OBJECTS'!$C$5:$C$464,"&lt;=1949"),"")</f>
        <v>0.811342592592593</v>
      </c>
      <c r="D29" s="24">
        <f>IF(OR(C29="",C28=""),"",C29-C28)</f>
        <v>-0.174122523686477</v>
      </c>
      <c r="E29" s="24">
        <f>IFERROR(AVERAGEIFS('3_OBJECTS'!$AT$5:$AT$464,'3_OBJECTS'!$I$5:$I$464,"yes",'3_OBJECTS'!$C$5:$C$464,"&gt;=1900",'3_OBJECTS'!$C$5:$C$464,"&lt;=1949"),"")</f>
        <v>0.970679012345679</v>
      </c>
      <c r="F29" s="24">
        <f>IF(OR(E29="",E28=""),"",E29-E28)</f>
        <v>-0.00994114269308044</v>
      </c>
      <c r="G29" s="6">
        <f>COUNTIFS('3_OBJECTS'!$I$5:$I$464,"yes",'3_OBJECTS'!$C$5:$C$464,"&gt;=1900",'3_OBJECTS'!$C$5:$C$464,"&lt;=1949",'3_OBJECTS'!$AS$5:$AS$464,$B$3)</f>
        <v>65</v>
      </c>
      <c r="H29" s="24">
        <f>IF(G29=0,"",IFERROR(AVERAGEIFS('3_OBJECTS'!$AQ$5:$AQ$464,'3_OBJECTS'!$I$5:$I$464,"yes",'3_OBJECTS'!$C$5:$C$464,"&gt;=1900",'3_OBJECTS'!$C$5:$C$464,"&lt;=1949",'3_OBJECTS'!$AS$5:$AS$464,$B$3),""))</f>
        <v>0.815865384615385</v>
      </c>
      <c r="I29" s="24">
        <f>IF(OR(H29="",H28=""),"",H29-H28)</f>
        <v>-0.169253663003663</v>
      </c>
      <c r="J29" s="24">
        <f>IF(G29=0,"",IFERROR(AVERAGEIFS('3_OBJECTS'!$AT$5:$AT$464,'3_OBJECTS'!$I$5:$I$464,"yes",'3_OBJECTS'!$C$5:$C$464,"&gt;=1900",'3_OBJECTS'!$C$5:$C$464,"&lt;=1949",'3_OBJECTS'!$AS$5:$AS$464,$B$3),""))</f>
        <v>0.975</v>
      </c>
      <c r="K29" s="24">
        <f>IF(OR(J29="",J28=""),"",J29-J28)</f>
        <v>-0.0051587301587297</v>
      </c>
      <c r="L29" s="6">
        <f>B29-G29</f>
        <v>16</v>
      </c>
      <c r="M29" s="24">
        <f>IF(L29=0,"",IFERROR(AVERAGEIFS('3_OBJECTS'!$AQ$5:$AQ$464,'3_OBJECTS'!$I$5:$I$464,"yes",'3_OBJECTS'!$C$5:$C$464,"&gt;=1900",'3_OBJECTS'!$C$5:$C$464,"&lt;=1949",'3_OBJECTS'!$AS$5:$AS$464,"&lt;&gt;"&amp;$B$3),""))</f>
        <v>0.79296875</v>
      </c>
      <c r="N29" s="24">
        <f>IF(L29=0,"",IFERROR(AVERAGEIFS('3_OBJECTS'!$AT$5:$AT$464,'3_OBJECTS'!$I$5:$I$464,"yes",'3_OBJECTS'!$C$5:$C$464,"&gt;=1900",'3_OBJECTS'!$C$5:$C$464,"&lt;=1949",'3_OBJECTS'!$AS$5:$AS$464,"&lt;&gt;"&amp;$B$3),""))</f>
        <v>0.953125</v>
      </c>
    </row>
    <row r="30" ht="14.25" customHeight="1" spans="1:14">
      <c r="A30" s="6" t="s">
        <v>1416</v>
      </c>
      <c r="B30" s="6">
        <f>COUNTIFS('3_OBJECTS'!$I$5:$I$464,"yes",'3_OBJECTS'!$C$5:$C$464,"&gt;=1950",'3_OBJECTS'!$C$5:$C$464,"&lt;=1999")</f>
        <v>133</v>
      </c>
      <c r="C30" s="24">
        <f>IFERROR(AVERAGEIFS('3_OBJECTS'!$AQ$5:$AQ$464,'3_OBJECTS'!$I$5:$I$464,"yes",'3_OBJECTS'!$C$5:$C$464,"&gt;=1950",'3_OBJECTS'!$C$5:$C$464,"&lt;=1999"),"")</f>
        <v>0.689144736842105</v>
      </c>
      <c r="D30" s="24">
        <f>IF(OR(C30="",C29=""),"",C30-C29)</f>
        <v>-0.122197855750487</v>
      </c>
      <c r="E30" s="24">
        <f>IFERROR(AVERAGEIFS('3_OBJECTS'!$AT$5:$AT$464,'3_OBJECTS'!$I$5:$I$464,"yes",'3_OBJECTS'!$C$5:$C$464,"&gt;=1950",'3_OBJECTS'!$C$5:$C$464,"&lt;=1999"),"")</f>
        <v>0.874999999999999</v>
      </c>
      <c r="F30" s="24">
        <f>IF(OR(E30="",E29=""),"",E30-E29)</f>
        <v>-0.0956790123456799</v>
      </c>
      <c r="G30" s="6">
        <f>COUNTIFS('3_OBJECTS'!$I$5:$I$464,"yes",'3_OBJECTS'!$C$5:$C$464,"&gt;=1950",'3_OBJECTS'!$C$5:$C$464,"&lt;=1999",'3_OBJECTS'!$AS$5:$AS$464,$B$3)</f>
        <v>47</v>
      </c>
      <c r="H30" s="24">
        <f>IF(G30=0,"",IFERROR(AVERAGEIFS('3_OBJECTS'!$AQ$5:$AQ$464,'3_OBJECTS'!$I$5:$I$464,"yes",'3_OBJECTS'!$C$5:$C$464,"&gt;=1950",'3_OBJECTS'!$C$5:$C$464,"&lt;=1999",'3_OBJECTS'!$AS$5:$AS$464,$B$3),""))</f>
        <v>0.764627659574468</v>
      </c>
      <c r="I30" s="24">
        <f>IF(OR(H30="",H29=""),"",H30-H29)</f>
        <v>-0.0512377250409165</v>
      </c>
      <c r="J30" s="24">
        <f>IF(G30=0,"",IFERROR(AVERAGEIFS('3_OBJECTS'!$AT$5:$AT$464,'3_OBJECTS'!$I$5:$I$464,"yes",'3_OBJECTS'!$C$5:$C$464,"&gt;=1950",'3_OBJECTS'!$C$5:$C$464,"&lt;=1999",'3_OBJECTS'!$AS$5:$AS$464,$B$3),""))</f>
        <v>0.968971631205674</v>
      </c>
      <c r="K30" s="24">
        <f>IF(OR(J30="",J29=""),"",J30-J29)</f>
        <v>-0.00602836879432644</v>
      </c>
      <c r="L30" s="6">
        <f>B30-G30</f>
        <v>86</v>
      </c>
      <c r="M30" s="24">
        <f>IF(L30=0,"",IFERROR(AVERAGEIFS('3_OBJECTS'!$AQ$5:$AQ$464,'3_OBJECTS'!$I$5:$I$464,"yes",'3_OBJECTS'!$C$5:$C$464,"&gt;=1950",'3_OBJECTS'!$C$5:$C$464,"&lt;=1999",'3_OBJECTS'!$AS$5:$AS$464,"&lt;&gt;"&amp;$B$3),""))</f>
        <v>0.647892441860465</v>
      </c>
      <c r="N30" s="24">
        <f>IF(L30=0,"",IFERROR(AVERAGEIFS('3_OBJECTS'!$AT$5:$AT$464,'3_OBJECTS'!$I$5:$I$464,"yes",'3_OBJECTS'!$C$5:$C$464,"&gt;=1950",'3_OBJECTS'!$C$5:$C$464,"&lt;=1999",'3_OBJECTS'!$AS$5:$AS$464,"&lt;&gt;"&amp;$B$3),""))</f>
        <v>0.823643410852713</v>
      </c>
    </row>
    <row r="31" ht="14.25" customHeight="1" spans="1:14">
      <c r="A31" s="6" t="s">
        <v>1417</v>
      </c>
      <c r="B31" s="6">
        <f>COUNTIFS('3_OBJECTS'!$I$5:$I$464,"yes",'3_OBJECTS'!$C$5:$C$464,"&gt;=2000")</f>
        <v>143</v>
      </c>
      <c r="C31" s="24">
        <f>IFERROR(AVERAGEIFS('3_OBJECTS'!$AQ$5:$AQ$464,'3_OBJECTS'!$I$5:$I$464,"yes",'3_OBJECTS'!$C$5:$C$464,"&gt;=2000"),"")</f>
        <v>0.673951048951049</v>
      </c>
      <c r="D31" s="24">
        <f>IF(OR(C31="",C30=""),"",C31-C30)</f>
        <v>-0.0151936878910564</v>
      </c>
      <c r="E31" s="24">
        <f>IFERROR(AVERAGEIFS('3_OBJECTS'!$AT$5:$AT$464,'3_OBJECTS'!$I$5:$I$464,"yes",'3_OBJECTS'!$C$5:$C$464,"&gt;=2000"),"")</f>
        <v>0.781759906759907</v>
      </c>
      <c r="F31" s="24">
        <f>IF(OR(E31="",E30=""),"",E31-E30)</f>
        <v>-0.0932400932400927</v>
      </c>
      <c r="G31" s="6">
        <f>COUNTIFS('3_OBJECTS'!$I$5:$I$464,"yes",'3_OBJECTS'!$C$5:$C$464,"&gt;=2000",'3_OBJECTS'!$AS$5:$AS$464,$B$3)</f>
        <v>34</v>
      </c>
      <c r="H31" s="24">
        <f>IF(G31=0,"",IFERROR(AVERAGEIFS('3_OBJECTS'!$AQ$5:$AQ$464,'3_OBJECTS'!$I$5:$I$464,"yes",'3_OBJECTS'!$C$5:$C$464,"&gt;=2000",'3_OBJECTS'!$AS$5:$AS$464,$B$3),""))</f>
        <v>0.738051470588235</v>
      </c>
      <c r="I31" s="24">
        <f>IF(OR(H31="",H30=""),"",H31-H30)</f>
        <v>-0.0265761889862328</v>
      </c>
      <c r="J31" s="24">
        <f>IF(G31=0,"",IFERROR(AVERAGEIFS('3_OBJECTS'!$AT$5:$AT$464,'3_OBJECTS'!$I$5:$I$464,"yes",'3_OBJECTS'!$C$5:$C$464,"&gt;=2000",'3_OBJECTS'!$AS$5:$AS$464,$B$3),""))</f>
        <v>0.9375</v>
      </c>
      <c r="K31" s="24">
        <f>IF(OR(J31="",J30=""),"",J31-J30)</f>
        <v>-0.0314716312056742</v>
      </c>
      <c r="L31" s="6">
        <f>B31-G31</f>
        <v>109</v>
      </c>
      <c r="M31" s="24">
        <f>IF(L31=0,"",IFERROR(AVERAGEIFS('3_OBJECTS'!$AQ$5:$AQ$464,'3_OBJECTS'!$I$5:$I$464,"yes",'3_OBJECTS'!$C$5:$C$464,"&gt;=2000",'3_OBJECTS'!$AS$5:$AS$464,"&lt;&gt;"&amp;$B$3),""))</f>
        <v>0.653956422018349</v>
      </c>
      <c r="N31" s="24">
        <f>IF(L31=0,"",IFERROR(AVERAGEIFS('3_OBJECTS'!$AT$5:$AT$464,'3_OBJECTS'!$I$5:$I$464,"yes",'3_OBJECTS'!$C$5:$C$464,"&gt;=2000",'3_OBJECTS'!$AS$5:$AS$464,"&lt;&gt;"&amp;$B$3),""))</f>
        <v>0.733180428134556</v>
      </c>
    </row>
    <row r="33" ht="14.25" customHeight="1" spans="1:1">
      <c r="A33" s="9" t="s">
        <v>1418</v>
      </c>
    </row>
    <row r="34" ht="102" customHeight="1" spans="1:1">
      <c r="A34" s="3" t="s">
        <v>1419</v>
      </c>
    </row>
    <row r="35" ht="125.25" customHeight="1" spans="1:1">
      <c r="A35" s="3" t="s">
        <v>1420</v>
      </c>
    </row>
    <row r="36" ht="79.5" customHeight="1" spans="1:1">
      <c r="A36" s="3" t="s">
        <v>1421</v>
      </c>
    </row>
    <row r="37" ht="136.5" customHeight="1" spans="1:1">
      <c r="A37" s="3" t="s">
        <v>1422</v>
      </c>
    </row>
    <row r="38" ht="114" customHeight="1" spans="1:1">
      <c r="A38" s="3" t="s">
        <v>1422</v>
      </c>
    </row>
  </sheetData>
  <dataValidations count="1">
    <dataValidation type="list" sqref="B3">
      <formula1>"trunk,suitcase,bag,case,other"</formula1>
    </dataValidation>
  </dataValidations>
  <pageMargins left="0.75" right="0.75" top="1" bottom="1" header="0.511811023622047" footer="0.511811023622047"/>
  <pageSetup paperSize="9" orientation="portrait" horizontalDpi="300" verticalDpi="300"/>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F35"/>
  <sheetViews>
    <sheetView workbookViewId="0">
      <pane xSplit="2" ySplit="4" topLeftCell="C5" activePane="bottomRight" state="frozen"/>
      <selection/>
      <selection pane="topRight"/>
      <selection pane="bottomLeft"/>
      <selection pane="bottomRight" activeCell="C1" sqref="C$1:C$1048576"/>
    </sheetView>
  </sheetViews>
  <sheetFormatPr defaultColWidth="8.66666666666667" defaultRowHeight="14.4"/>
  <cols>
    <col min="1" max="1" width="5" style="1" customWidth="1"/>
    <col min="2" max="2" width="38.5555555555556" style="1" customWidth="1"/>
    <col min="3" max="12" width="12" style="1" customWidth="1"/>
    <col min="13" max="20" width="13" style="1" hidden="1" customWidth="1"/>
    <col min="21" max="21" width="10" style="1" customWidth="1"/>
    <col min="22" max="22" width="15" style="1" customWidth="1"/>
    <col min="23" max="23" width="13" style="1" customWidth="1"/>
    <col min="24" max="24" width="11" style="1" customWidth="1"/>
    <col min="25" max="25" width="19" style="1" customWidth="1"/>
    <col min="26" max="29" width="13" style="1" hidden="1" customWidth="1"/>
    <col min="30" max="30" width="11" style="1" customWidth="1"/>
    <col min="31" max="31" width="13" style="1" customWidth="1"/>
    <col min="32" max="32" width="14" style="1" customWidth="1"/>
  </cols>
  <sheetData>
    <row r="1" ht="17.25" customHeight="1" spans="1:1">
      <c r="A1" s="2" t="s">
        <v>1423</v>
      </c>
    </row>
    <row r="2" ht="25.5" customHeight="1" spans="1:1">
      <c r="A2" s="3" t="s">
        <v>1424</v>
      </c>
    </row>
    <row r="4" ht="30" customHeight="1" spans="1:32">
      <c r="A4" s="17" t="s">
        <v>1425</v>
      </c>
      <c r="B4" s="17" t="s">
        <v>1426</v>
      </c>
      <c r="C4" s="17" t="s">
        <v>1427</v>
      </c>
      <c r="D4" s="17" t="s">
        <v>1428</v>
      </c>
      <c r="E4" s="17" t="s">
        <v>23</v>
      </c>
      <c r="F4" s="17" t="s">
        <v>30</v>
      </c>
      <c r="G4" s="17" t="s">
        <v>37</v>
      </c>
      <c r="H4" s="17" t="s">
        <v>44</v>
      </c>
      <c r="I4" s="17" t="s">
        <v>51</v>
      </c>
      <c r="J4" s="17" t="s">
        <v>58</v>
      </c>
      <c r="K4" s="17" t="s">
        <v>65</v>
      </c>
      <c r="L4" s="17" t="s">
        <v>72</v>
      </c>
      <c r="M4" s="20" t="s">
        <v>107</v>
      </c>
      <c r="N4" s="20" t="s">
        <v>108</v>
      </c>
      <c r="O4" s="20" t="s">
        <v>109</v>
      </c>
      <c r="P4" s="20" t="s">
        <v>110</v>
      </c>
      <c r="Q4" s="20" t="s">
        <v>111</v>
      </c>
      <c r="R4" s="20" t="s">
        <v>112</v>
      </c>
      <c r="S4" s="20" t="s">
        <v>113</v>
      </c>
      <c r="T4" s="20" t="s">
        <v>114</v>
      </c>
      <c r="U4" s="20" t="s">
        <v>1429</v>
      </c>
      <c r="V4" s="17" t="s">
        <v>1430</v>
      </c>
      <c r="W4" s="17" t="s">
        <v>1431</v>
      </c>
      <c r="X4" s="20" t="s">
        <v>1432</v>
      </c>
      <c r="Y4" s="17" t="s">
        <v>1433</v>
      </c>
      <c r="Z4" s="20" t="s">
        <v>1434</v>
      </c>
      <c r="AA4" s="20" t="s">
        <v>1435</v>
      </c>
      <c r="AB4" s="20" t="s">
        <v>1436</v>
      </c>
      <c r="AC4" s="20" t="s">
        <v>1437</v>
      </c>
      <c r="AD4" s="22" t="s">
        <v>1438</v>
      </c>
      <c r="AE4" s="22" t="s">
        <v>1439</v>
      </c>
      <c r="AF4" s="22" t="s">
        <v>1440</v>
      </c>
    </row>
    <row r="5" ht="14.25" customHeight="1" spans="1:32">
      <c r="A5" s="10">
        <v>1</v>
      </c>
      <c r="B5" s="10" t="s">
        <v>1441</v>
      </c>
      <c r="C5" s="10" t="s">
        <v>1442</v>
      </c>
      <c r="D5" s="10" t="s">
        <v>139</v>
      </c>
      <c r="E5" s="10">
        <v>5</v>
      </c>
      <c r="F5" s="10">
        <v>5</v>
      </c>
      <c r="G5" s="10">
        <v>5</v>
      </c>
      <c r="H5" s="10">
        <v>5</v>
      </c>
      <c r="I5" s="10">
        <v>1</v>
      </c>
      <c r="J5" s="10">
        <v>1</v>
      </c>
      <c r="K5" s="10">
        <v>3</v>
      </c>
      <c r="L5" s="10">
        <v>5</v>
      </c>
      <c r="M5" s="10">
        <f>IF(OR(E5="",'4_BENCHMARK'!$C$4=""),"",ABS((E5-1)/4-'4_BENCHMARK'!$C$4))</f>
        <v>0</v>
      </c>
      <c r="N5" s="10">
        <f>IF(OR(F5="",'4_BENCHMARK'!$C$5=""),"",ABS((F5-1)/4-'4_BENCHMARK'!$C$5))</f>
        <v>0</v>
      </c>
      <c r="O5" s="10">
        <f>IF(OR(G5="",'4_BENCHMARK'!$C$6=""),"",ABS((G5-1)/4-'4_BENCHMARK'!$C$6))</f>
        <v>0</v>
      </c>
      <c r="P5" s="10">
        <f>IF(OR(H5="",'4_BENCHMARK'!$C$7=""),"",ABS((H5-1)/4-'4_BENCHMARK'!$C$7))</f>
        <v>0</v>
      </c>
      <c r="Q5" s="10">
        <f>IF(OR(I5="",'4_BENCHMARK'!$C$8=""),"",ABS((I5-1)/4-'4_BENCHMARK'!$C$8))</f>
        <v>0</v>
      </c>
      <c r="R5" s="10">
        <f>IF(OR(J5="",'4_BENCHMARK'!$C$9=""),"",ABS((J5-1)/4-'4_BENCHMARK'!$C$9))</f>
        <v>0</v>
      </c>
      <c r="S5" s="10">
        <f>IF(OR(K5="",'4_BENCHMARK'!$C$10=""),"",ABS((K5-1)/4-'4_BENCHMARK'!$C$10))</f>
        <v>0</v>
      </c>
      <c r="T5" s="10">
        <f>IF(OR(L5="",'4_BENCHMARK'!$C$11=""),"",ABS((L5-1)/4-'4_BENCHMARK'!$C$11))</f>
        <v>0</v>
      </c>
      <c r="U5" s="13">
        <f t="shared" ref="U5:U34" si="0">IF(COUNT(M5:T5)&lt;8,"",1-AVERAGE(M5:T5))</f>
        <v>1</v>
      </c>
      <c r="V5" s="10">
        <v>100</v>
      </c>
      <c r="W5" s="10">
        <v>41</v>
      </c>
      <c r="X5" s="21">
        <f t="shared" ref="X5:X34" si="1">IFERROR(W5/V5,"")</f>
        <v>0.41</v>
      </c>
      <c r="Y5" s="10">
        <v>3.2</v>
      </c>
      <c r="Z5" s="13">
        <f t="shared" ref="Z5:Z34" si="2">IF(C5="LV",U5,"")</f>
        <v>1</v>
      </c>
      <c r="AA5" s="21">
        <f t="shared" ref="AA5:AA34" si="3">IF(C5="LV",X5,"")</f>
        <v>0.41</v>
      </c>
      <c r="AB5" s="13">
        <f t="shared" ref="AB5:AB34" si="4">IF(D5="no",U5,"")</f>
        <v>1</v>
      </c>
      <c r="AC5" s="21">
        <f t="shared" ref="AC5:AC34" si="5">IF(D5="no",X5,"")</f>
        <v>0.41</v>
      </c>
      <c r="AD5" s="13">
        <f t="shared" ref="AD5:AD34" si="6">IF(COUNT(M5:P5,S5:T5)&lt;6,"",1-AVERAGE(M5:P5,S5:T5))</f>
        <v>1</v>
      </c>
      <c r="AE5" s="13">
        <f t="shared" ref="AE5:AE34" si="7">IF(C5="LV",AD5,"")</f>
        <v>1</v>
      </c>
      <c r="AF5" s="13">
        <f t="shared" ref="AF5:AF34" si="8">IF(D5="no",AD5,"")</f>
        <v>1</v>
      </c>
    </row>
    <row r="6" ht="14.25" customHeight="1" spans="1:32">
      <c r="A6" s="10">
        <v>2</v>
      </c>
      <c r="B6" s="10" t="s">
        <v>1443</v>
      </c>
      <c r="C6" s="10" t="s">
        <v>1442</v>
      </c>
      <c r="D6" s="10" t="s">
        <v>139</v>
      </c>
      <c r="E6" s="10">
        <v>5</v>
      </c>
      <c r="F6" s="10">
        <v>5</v>
      </c>
      <c r="G6" s="10">
        <v>5</v>
      </c>
      <c r="H6" s="10">
        <v>5</v>
      </c>
      <c r="I6" s="10">
        <v>1</v>
      </c>
      <c r="J6" s="10">
        <v>1</v>
      </c>
      <c r="K6" s="10">
        <v>3</v>
      </c>
      <c r="L6" s="10">
        <v>5</v>
      </c>
      <c r="M6" s="10">
        <f>IF(OR(E6="",'4_BENCHMARK'!$C$4=""),"",ABS((E6-1)/4-'4_BENCHMARK'!$C$4))</f>
        <v>0</v>
      </c>
      <c r="N6" s="10">
        <f>IF(OR(F6="",'4_BENCHMARK'!$C$5=""),"",ABS((F6-1)/4-'4_BENCHMARK'!$C$5))</f>
        <v>0</v>
      </c>
      <c r="O6" s="10">
        <f>IF(OR(G6="",'4_BENCHMARK'!$C$6=""),"",ABS((G6-1)/4-'4_BENCHMARK'!$C$6))</f>
        <v>0</v>
      </c>
      <c r="P6" s="10">
        <f>IF(OR(H6="",'4_BENCHMARK'!$C$7=""),"",ABS((H6-1)/4-'4_BENCHMARK'!$C$7))</f>
        <v>0</v>
      </c>
      <c r="Q6" s="10">
        <f>IF(OR(I6="",'4_BENCHMARK'!$C$8=""),"",ABS((I6-1)/4-'4_BENCHMARK'!$C$8))</f>
        <v>0</v>
      </c>
      <c r="R6" s="10">
        <f>IF(OR(J6="",'4_BENCHMARK'!$C$9=""),"",ABS((J6-1)/4-'4_BENCHMARK'!$C$9))</f>
        <v>0</v>
      </c>
      <c r="S6" s="10">
        <f>IF(OR(K6="",'4_BENCHMARK'!$C$10=""),"",ABS((K6-1)/4-'4_BENCHMARK'!$C$10))</f>
        <v>0</v>
      </c>
      <c r="T6" s="10">
        <f>IF(OR(L6="",'4_BENCHMARK'!$C$11=""),"",ABS((L6-1)/4-'4_BENCHMARK'!$C$11))</f>
        <v>0</v>
      </c>
      <c r="U6" s="13">
        <f t="shared" si="0"/>
        <v>1</v>
      </c>
      <c r="V6" s="10">
        <v>100</v>
      </c>
      <c r="W6" s="10">
        <v>48</v>
      </c>
      <c r="X6" s="21">
        <f t="shared" si="1"/>
        <v>0.48</v>
      </c>
      <c r="Y6" s="10">
        <v>2.9</v>
      </c>
      <c r="Z6" s="13">
        <f t="shared" si="2"/>
        <v>1</v>
      </c>
      <c r="AA6" s="21">
        <f t="shared" si="3"/>
        <v>0.48</v>
      </c>
      <c r="AB6" s="13">
        <f t="shared" si="4"/>
        <v>1</v>
      </c>
      <c r="AC6" s="21">
        <f t="shared" si="5"/>
        <v>0.48</v>
      </c>
      <c r="AD6" s="13">
        <f t="shared" si="6"/>
        <v>1</v>
      </c>
      <c r="AE6" s="13">
        <f t="shared" si="7"/>
        <v>1</v>
      </c>
      <c r="AF6" s="13">
        <f t="shared" si="8"/>
        <v>1</v>
      </c>
    </row>
    <row r="7" ht="14.25" customHeight="1" spans="1:32">
      <c r="A7" s="10">
        <v>3</v>
      </c>
      <c r="B7" s="10" t="s">
        <v>1444</v>
      </c>
      <c r="C7" s="10" t="s">
        <v>1442</v>
      </c>
      <c r="D7" s="10" t="s">
        <v>140</v>
      </c>
      <c r="E7" s="10">
        <v>5</v>
      </c>
      <c r="F7" s="10">
        <v>5</v>
      </c>
      <c r="G7" s="10">
        <v>5</v>
      </c>
      <c r="H7" s="10">
        <v>5</v>
      </c>
      <c r="I7" s="10">
        <v>5</v>
      </c>
      <c r="J7" s="10">
        <v>5</v>
      </c>
      <c r="K7" s="10">
        <v>3</v>
      </c>
      <c r="L7" s="10">
        <v>5</v>
      </c>
      <c r="M7" s="10">
        <f>IF(OR(E7="",'4_BENCHMARK'!$C$4=""),"",ABS((E7-1)/4-'4_BENCHMARK'!$C$4))</f>
        <v>0</v>
      </c>
      <c r="N7" s="10">
        <f>IF(OR(F7="",'4_BENCHMARK'!$C$5=""),"",ABS((F7-1)/4-'4_BENCHMARK'!$C$5))</f>
        <v>0</v>
      </c>
      <c r="O7" s="10">
        <f>IF(OR(G7="",'4_BENCHMARK'!$C$6=""),"",ABS((G7-1)/4-'4_BENCHMARK'!$C$6))</f>
        <v>0</v>
      </c>
      <c r="P7" s="10">
        <f>IF(OR(H7="",'4_BENCHMARK'!$C$7=""),"",ABS((H7-1)/4-'4_BENCHMARK'!$C$7))</f>
        <v>0</v>
      </c>
      <c r="Q7" s="10">
        <f>IF(OR(I7="",'4_BENCHMARK'!$C$8=""),"",ABS((I7-1)/4-'4_BENCHMARK'!$C$8))</f>
        <v>1</v>
      </c>
      <c r="R7" s="10">
        <f>IF(OR(J7="",'4_BENCHMARK'!$C$9=""),"",ABS((J7-1)/4-'4_BENCHMARK'!$C$9))</f>
        <v>1</v>
      </c>
      <c r="S7" s="10">
        <f>IF(OR(K7="",'4_BENCHMARK'!$C$10=""),"",ABS((K7-1)/4-'4_BENCHMARK'!$C$10))</f>
        <v>0</v>
      </c>
      <c r="T7" s="10">
        <f>IF(OR(L7="",'4_BENCHMARK'!$C$11=""),"",ABS((L7-1)/4-'4_BENCHMARK'!$C$11))</f>
        <v>0</v>
      </c>
      <c r="U7" s="13">
        <f t="shared" si="0"/>
        <v>0.75</v>
      </c>
      <c r="V7" s="10">
        <v>100</v>
      </c>
      <c r="W7" s="10">
        <v>69</v>
      </c>
      <c r="X7" s="21">
        <f t="shared" si="1"/>
        <v>0.69</v>
      </c>
      <c r="Y7" s="10">
        <v>3.5</v>
      </c>
      <c r="Z7" s="13">
        <f t="shared" si="2"/>
        <v>0.75</v>
      </c>
      <c r="AA7" s="21">
        <f t="shared" si="3"/>
        <v>0.69</v>
      </c>
      <c r="AB7" s="10" t="str">
        <f t="shared" si="4"/>
        <v/>
      </c>
      <c r="AC7" s="10" t="str">
        <f t="shared" si="5"/>
        <v/>
      </c>
      <c r="AD7" s="13">
        <f t="shared" si="6"/>
        <v>1</v>
      </c>
      <c r="AE7" s="13">
        <f t="shared" si="7"/>
        <v>1</v>
      </c>
      <c r="AF7" s="13" t="str">
        <f t="shared" si="8"/>
        <v/>
      </c>
    </row>
    <row r="8" ht="14.25" customHeight="1" spans="1:32">
      <c r="A8" s="10">
        <v>4</v>
      </c>
      <c r="B8" s="10" t="s">
        <v>1445</v>
      </c>
      <c r="C8" s="10" t="s">
        <v>1442</v>
      </c>
      <c r="D8" s="10" t="s">
        <v>139</v>
      </c>
      <c r="E8" s="10">
        <v>5</v>
      </c>
      <c r="F8" s="10">
        <v>5</v>
      </c>
      <c r="G8" s="10">
        <v>5</v>
      </c>
      <c r="H8" s="10">
        <v>5</v>
      </c>
      <c r="I8" s="10">
        <v>5</v>
      </c>
      <c r="J8" s="10">
        <v>5</v>
      </c>
      <c r="K8" s="10">
        <v>3</v>
      </c>
      <c r="L8" s="10">
        <v>5</v>
      </c>
      <c r="M8" s="10">
        <f>IF(OR(E8="",'4_BENCHMARK'!$C$4=""),"",ABS((E8-1)/4-'4_BENCHMARK'!$C$4))</f>
        <v>0</v>
      </c>
      <c r="N8" s="10">
        <f>IF(OR(F8="",'4_BENCHMARK'!$C$5=""),"",ABS((F8-1)/4-'4_BENCHMARK'!$C$5))</f>
        <v>0</v>
      </c>
      <c r="O8" s="10">
        <f>IF(OR(G8="",'4_BENCHMARK'!$C$6=""),"",ABS((G8-1)/4-'4_BENCHMARK'!$C$6))</f>
        <v>0</v>
      </c>
      <c r="P8" s="10">
        <f>IF(OR(H8="",'4_BENCHMARK'!$C$7=""),"",ABS((H8-1)/4-'4_BENCHMARK'!$C$7))</f>
        <v>0</v>
      </c>
      <c r="Q8" s="10">
        <f>IF(OR(I8="",'4_BENCHMARK'!$C$8=""),"",ABS((I8-1)/4-'4_BENCHMARK'!$C$8))</f>
        <v>1</v>
      </c>
      <c r="R8" s="10">
        <f>IF(OR(J8="",'4_BENCHMARK'!$C$9=""),"",ABS((J8-1)/4-'4_BENCHMARK'!$C$9))</f>
        <v>1</v>
      </c>
      <c r="S8" s="10">
        <f>IF(OR(K8="",'4_BENCHMARK'!$C$10=""),"",ABS((K8-1)/4-'4_BENCHMARK'!$C$10))</f>
        <v>0</v>
      </c>
      <c r="T8" s="10">
        <f>IF(OR(L8="",'4_BENCHMARK'!$C$11=""),"",ABS((L8-1)/4-'4_BENCHMARK'!$C$11))</f>
        <v>0</v>
      </c>
      <c r="U8" s="13">
        <f t="shared" si="0"/>
        <v>0.75</v>
      </c>
      <c r="V8" s="10">
        <v>100</v>
      </c>
      <c r="W8" s="10">
        <v>80</v>
      </c>
      <c r="X8" s="21">
        <f t="shared" si="1"/>
        <v>0.8</v>
      </c>
      <c r="Y8" s="10">
        <v>4</v>
      </c>
      <c r="Z8" s="13">
        <f t="shared" si="2"/>
        <v>0.75</v>
      </c>
      <c r="AA8" s="21">
        <f t="shared" si="3"/>
        <v>0.8</v>
      </c>
      <c r="AB8" s="13">
        <f t="shared" si="4"/>
        <v>0.75</v>
      </c>
      <c r="AC8" s="21">
        <f t="shared" si="5"/>
        <v>0.8</v>
      </c>
      <c r="AD8" s="13">
        <f t="shared" si="6"/>
        <v>1</v>
      </c>
      <c r="AE8" s="13">
        <f t="shared" si="7"/>
        <v>1</v>
      </c>
      <c r="AF8" s="13">
        <f t="shared" si="8"/>
        <v>1</v>
      </c>
    </row>
    <row r="9" ht="14.25" customHeight="1" spans="1:32">
      <c r="A9" s="10">
        <v>5</v>
      </c>
      <c r="B9" s="10" t="s">
        <v>1446</v>
      </c>
      <c r="C9" s="10" t="s">
        <v>1442</v>
      </c>
      <c r="D9" s="10" t="s">
        <v>139</v>
      </c>
      <c r="E9" s="10">
        <v>5</v>
      </c>
      <c r="F9" s="10">
        <v>5</v>
      </c>
      <c r="G9" s="10">
        <v>5</v>
      </c>
      <c r="H9" s="10">
        <v>5</v>
      </c>
      <c r="I9" s="10">
        <v>5</v>
      </c>
      <c r="J9" s="10">
        <v>5</v>
      </c>
      <c r="K9" s="10">
        <v>3</v>
      </c>
      <c r="L9" s="10">
        <v>5</v>
      </c>
      <c r="M9" s="10">
        <f>IF(OR(E9="",'4_BENCHMARK'!$C$4=""),"",ABS((E9-1)/4-'4_BENCHMARK'!$C$4))</f>
        <v>0</v>
      </c>
      <c r="N9" s="10">
        <f>IF(OR(F9="",'4_BENCHMARK'!$C$5=""),"",ABS((F9-1)/4-'4_BENCHMARK'!$C$5))</f>
        <v>0</v>
      </c>
      <c r="O9" s="10">
        <f>IF(OR(G9="",'4_BENCHMARK'!$C$6=""),"",ABS((G9-1)/4-'4_BENCHMARK'!$C$6))</f>
        <v>0</v>
      </c>
      <c r="P9" s="10">
        <f>IF(OR(H9="",'4_BENCHMARK'!$C$7=""),"",ABS((H9-1)/4-'4_BENCHMARK'!$C$7))</f>
        <v>0</v>
      </c>
      <c r="Q9" s="10">
        <f>IF(OR(I9="",'4_BENCHMARK'!$C$8=""),"",ABS((I9-1)/4-'4_BENCHMARK'!$C$8))</f>
        <v>1</v>
      </c>
      <c r="R9" s="10">
        <f>IF(OR(J9="",'4_BENCHMARK'!$C$9=""),"",ABS((J9-1)/4-'4_BENCHMARK'!$C$9))</f>
        <v>1</v>
      </c>
      <c r="S9" s="10">
        <f>IF(OR(K9="",'4_BENCHMARK'!$C$10=""),"",ABS((K9-1)/4-'4_BENCHMARK'!$C$10))</f>
        <v>0</v>
      </c>
      <c r="T9" s="10">
        <f>IF(OR(L9="",'4_BENCHMARK'!$C$11=""),"",ABS((L9-1)/4-'4_BENCHMARK'!$C$11))</f>
        <v>0</v>
      </c>
      <c r="U9" s="13">
        <f t="shared" si="0"/>
        <v>0.75</v>
      </c>
      <c r="V9" s="10">
        <v>100</v>
      </c>
      <c r="W9" s="10">
        <v>79</v>
      </c>
      <c r="X9" s="21">
        <f t="shared" si="1"/>
        <v>0.79</v>
      </c>
      <c r="Y9" s="10">
        <v>4.6</v>
      </c>
      <c r="Z9" s="13">
        <f t="shared" si="2"/>
        <v>0.75</v>
      </c>
      <c r="AA9" s="21">
        <f t="shared" si="3"/>
        <v>0.79</v>
      </c>
      <c r="AB9" s="13">
        <f t="shared" si="4"/>
        <v>0.75</v>
      </c>
      <c r="AC9" s="21">
        <f t="shared" si="5"/>
        <v>0.79</v>
      </c>
      <c r="AD9" s="13">
        <f t="shared" si="6"/>
        <v>1</v>
      </c>
      <c r="AE9" s="13">
        <f t="shared" si="7"/>
        <v>1</v>
      </c>
      <c r="AF9" s="13">
        <f t="shared" si="8"/>
        <v>1</v>
      </c>
    </row>
    <row r="10" ht="14.25" customHeight="1" spans="1:32">
      <c r="A10" s="10">
        <v>6</v>
      </c>
      <c r="B10" s="10" t="s">
        <v>1447</v>
      </c>
      <c r="C10" s="10" t="s">
        <v>1442</v>
      </c>
      <c r="D10" s="10" t="s">
        <v>139</v>
      </c>
      <c r="E10" s="10">
        <v>5</v>
      </c>
      <c r="F10" s="10">
        <v>4</v>
      </c>
      <c r="G10" s="10">
        <v>5</v>
      </c>
      <c r="H10" s="10">
        <v>5</v>
      </c>
      <c r="I10" s="10">
        <v>1</v>
      </c>
      <c r="J10" s="10">
        <v>1</v>
      </c>
      <c r="K10" s="10">
        <v>2</v>
      </c>
      <c r="L10" s="10">
        <v>5</v>
      </c>
      <c r="M10" s="10">
        <f>IF(OR(E10="",'4_BENCHMARK'!$C$4=""),"",ABS((E10-1)/4-'4_BENCHMARK'!$C$4))</f>
        <v>0</v>
      </c>
      <c r="N10" s="10">
        <f>IF(OR(F10="",'4_BENCHMARK'!$C$5=""),"",ABS((F10-1)/4-'4_BENCHMARK'!$C$5))</f>
        <v>0.25</v>
      </c>
      <c r="O10" s="10">
        <f>IF(OR(G10="",'4_BENCHMARK'!$C$6=""),"",ABS((G10-1)/4-'4_BENCHMARK'!$C$6))</f>
        <v>0</v>
      </c>
      <c r="P10" s="10">
        <f>IF(OR(H10="",'4_BENCHMARK'!$C$7=""),"",ABS((H10-1)/4-'4_BENCHMARK'!$C$7))</f>
        <v>0</v>
      </c>
      <c r="Q10" s="10">
        <f>IF(OR(I10="",'4_BENCHMARK'!$C$8=""),"",ABS((I10-1)/4-'4_BENCHMARK'!$C$8))</f>
        <v>0</v>
      </c>
      <c r="R10" s="10">
        <f>IF(OR(J10="",'4_BENCHMARK'!$C$9=""),"",ABS((J10-1)/4-'4_BENCHMARK'!$C$9))</f>
        <v>0</v>
      </c>
      <c r="S10" s="10">
        <f>IF(OR(K10="",'4_BENCHMARK'!$C$10=""),"",ABS((K10-1)/4-'4_BENCHMARK'!$C$10))</f>
        <v>0.25</v>
      </c>
      <c r="T10" s="10">
        <f>IF(OR(L10="",'4_BENCHMARK'!$C$11=""),"",ABS((L10-1)/4-'4_BENCHMARK'!$C$11))</f>
        <v>0</v>
      </c>
      <c r="U10" s="13">
        <f t="shared" si="0"/>
        <v>0.9375</v>
      </c>
      <c r="V10" s="10">
        <v>100</v>
      </c>
      <c r="W10" s="10">
        <v>12</v>
      </c>
      <c r="X10" s="21">
        <f t="shared" si="1"/>
        <v>0.12</v>
      </c>
      <c r="Y10" s="10">
        <v>4.7</v>
      </c>
      <c r="Z10" s="13">
        <f t="shared" si="2"/>
        <v>0.9375</v>
      </c>
      <c r="AA10" s="21">
        <f t="shared" si="3"/>
        <v>0.12</v>
      </c>
      <c r="AB10" s="13">
        <f t="shared" si="4"/>
        <v>0.9375</v>
      </c>
      <c r="AC10" s="21">
        <f t="shared" si="5"/>
        <v>0.12</v>
      </c>
      <c r="AD10" s="13">
        <f t="shared" si="6"/>
        <v>0.916666666666667</v>
      </c>
      <c r="AE10" s="13">
        <f t="shared" si="7"/>
        <v>0.916666666666667</v>
      </c>
      <c r="AF10" s="13">
        <f t="shared" si="8"/>
        <v>0.916666666666667</v>
      </c>
    </row>
    <row r="11" ht="14.25" customHeight="1" spans="1:32">
      <c r="A11" s="10">
        <v>7</v>
      </c>
      <c r="B11" s="10" t="s">
        <v>1448</v>
      </c>
      <c r="C11" s="10" t="s">
        <v>1442</v>
      </c>
      <c r="D11" s="10" t="s">
        <v>140</v>
      </c>
      <c r="E11" s="10">
        <v>4</v>
      </c>
      <c r="F11" s="10">
        <v>3</v>
      </c>
      <c r="G11" s="10">
        <v>4</v>
      </c>
      <c r="H11" s="10">
        <v>5</v>
      </c>
      <c r="I11" s="10">
        <v>5</v>
      </c>
      <c r="J11" s="10">
        <v>5</v>
      </c>
      <c r="K11" s="10">
        <v>1</v>
      </c>
      <c r="L11" s="10">
        <v>5</v>
      </c>
      <c r="M11" s="10">
        <f>IF(OR(E11="",'4_BENCHMARK'!$C$4=""),"",ABS((E11-1)/4-'4_BENCHMARK'!$C$4))</f>
        <v>0.25</v>
      </c>
      <c r="N11" s="10">
        <f>IF(OR(F11="",'4_BENCHMARK'!$C$5=""),"",ABS((F11-1)/4-'4_BENCHMARK'!$C$5))</f>
        <v>0.5</v>
      </c>
      <c r="O11" s="10">
        <f>IF(OR(G11="",'4_BENCHMARK'!$C$6=""),"",ABS((G11-1)/4-'4_BENCHMARK'!$C$6))</f>
        <v>0.25</v>
      </c>
      <c r="P11" s="10">
        <f>IF(OR(H11="",'4_BENCHMARK'!$C$7=""),"",ABS((H11-1)/4-'4_BENCHMARK'!$C$7))</f>
        <v>0</v>
      </c>
      <c r="Q11" s="10">
        <f>IF(OR(I11="",'4_BENCHMARK'!$C$8=""),"",ABS((I11-1)/4-'4_BENCHMARK'!$C$8))</f>
        <v>1</v>
      </c>
      <c r="R11" s="10">
        <f>IF(OR(J11="",'4_BENCHMARK'!$C$9=""),"",ABS((J11-1)/4-'4_BENCHMARK'!$C$9))</f>
        <v>1</v>
      </c>
      <c r="S11" s="10">
        <f>IF(OR(K11="",'4_BENCHMARK'!$C$10=""),"",ABS((K11-1)/4-'4_BENCHMARK'!$C$10))</f>
        <v>0.5</v>
      </c>
      <c r="T11" s="10">
        <f>IF(OR(L11="",'4_BENCHMARK'!$C$11=""),"",ABS((L11-1)/4-'4_BENCHMARK'!$C$11))</f>
        <v>0</v>
      </c>
      <c r="U11" s="13">
        <f t="shared" si="0"/>
        <v>0.5625</v>
      </c>
      <c r="V11" s="10">
        <v>100</v>
      </c>
      <c r="W11" s="10">
        <v>72</v>
      </c>
      <c r="X11" s="21">
        <f t="shared" si="1"/>
        <v>0.72</v>
      </c>
      <c r="Y11" s="10">
        <v>3.9</v>
      </c>
      <c r="Z11" s="13">
        <f t="shared" si="2"/>
        <v>0.5625</v>
      </c>
      <c r="AA11" s="21">
        <f t="shared" si="3"/>
        <v>0.72</v>
      </c>
      <c r="AB11" s="10" t="str">
        <f t="shared" si="4"/>
        <v/>
      </c>
      <c r="AC11" s="10" t="str">
        <f t="shared" si="5"/>
        <v/>
      </c>
      <c r="AD11" s="13">
        <f t="shared" si="6"/>
        <v>0.75</v>
      </c>
      <c r="AE11" s="13">
        <f t="shared" si="7"/>
        <v>0.75</v>
      </c>
      <c r="AF11" s="13" t="str">
        <f t="shared" si="8"/>
        <v/>
      </c>
    </row>
    <row r="12" ht="14.25" customHeight="1" spans="1:32">
      <c r="A12" s="10">
        <v>8</v>
      </c>
      <c r="B12" s="10" t="s">
        <v>1449</v>
      </c>
      <c r="C12" s="10" t="s">
        <v>1442</v>
      </c>
      <c r="D12" s="10" t="s">
        <v>140</v>
      </c>
      <c r="E12" s="10">
        <v>4</v>
      </c>
      <c r="F12" s="10">
        <v>4</v>
      </c>
      <c r="G12" s="10">
        <v>5</v>
      </c>
      <c r="H12" s="10">
        <v>4</v>
      </c>
      <c r="I12" s="10">
        <v>5</v>
      </c>
      <c r="J12" s="10">
        <v>5</v>
      </c>
      <c r="K12" s="10">
        <v>2</v>
      </c>
      <c r="L12" s="10">
        <v>5</v>
      </c>
      <c r="M12" s="10">
        <f>IF(OR(E12="",'4_BENCHMARK'!$C$4=""),"",ABS((E12-1)/4-'4_BENCHMARK'!$C$4))</f>
        <v>0.25</v>
      </c>
      <c r="N12" s="10">
        <f>IF(OR(F12="",'4_BENCHMARK'!$C$5=""),"",ABS((F12-1)/4-'4_BENCHMARK'!$C$5))</f>
        <v>0.25</v>
      </c>
      <c r="O12" s="10">
        <f>IF(OR(G12="",'4_BENCHMARK'!$C$6=""),"",ABS((G12-1)/4-'4_BENCHMARK'!$C$6))</f>
        <v>0</v>
      </c>
      <c r="P12" s="10">
        <f>IF(OR(H12="",'4_BENCHMARK'!$C$7=""),"",ABS((H12-1)/4-'4_BENCHMARK'!$C$7))</f>
        <v>0.25</v>
      </c>
      <c r="Q12" s="10">
        <f>IF(OR(I12="",'4_BENCHMARK'!$C$8=""),"",ABS((I12-1)/4-'4_BENCHMARK'!$C$8))</f>
        <v>1</v>
      </c>
      <c r="R12" s="10">
        <f>IF(OR(J12="",'4_BENCHMARK'!$C$9=""),"",ABS((J12-1)/4-'4_BENCHMARK'!$C$9))</f>
        <v>1</v>
      </c>
      <c r="S12" s="10">
        <f>IF(OR(K12="",'4_BENCHMARK'!$C$10=""),"",ABS((K12-1)/4-'4_BENCHMARK'!$C$10))</f>
        <v>0.25</v>
      </c>
      <c r="T12" s="10">
        <f>IF(OR(L12="",'4_BENCHMARK'!$C$11=""),"",ABS((L12-1)/4-'4_BENCHMARK'!$C$11))</f>
        <v>0</v>
      </c>
      <c r="U12" s="13">
        <f t="shared" si="0"/>
        <v>0.625</v>
      </c>
      <c r="V12" s="10">
        <v>100</v>
      </c>
      <c r="W12" s="10">
        <v>70</v>
      </c>
      <c r="X12" s="21">
        <f t="shared" si="1"/>
        <v>0.7</v>
      </c>
      <c r="Y12" s="10">
        <v>3.7</v>
      </c>
      <c r="Z12" s="13">
        <f t="shared" si="2"/>
        <v>0.625</v>
      </c>
      <c r="AA12" s="21">
        <f t="shared" si="3"/>
        <v>0.7</v>
      </c>
      <c r="AB12" s="10" t="str">
        <f t="shared" si="4"/>
        <v/>
      </c>
      <c r="AC12" s="10" t="str">
        <f t="shared" si="5"/>
        <v/>
      </c>
      <c r="AD12" s="13">
        <f t="shared" si="6"/>
        <v>0.833333333333333</v>
      </c>
      <c r="AE12" s="13">
        <f t="shared" si="7"/>
        <v>0.833333333333333</v>
      </c>
      <c r="AF12" s="13" t="str">
        <f t="shared" si="8"/>
        <v/>
      </c>
    </row>
    <row r="13" ht="14.25" customHeight="1" spans="1:32">
      <c r="A13" s="10">
        <v>9</v>
      </c>
      <c r="B13" s="10" t="s">
        <v>1450</v>
      </c>
      <c r="C13" s="10" t="s">
        <v>1442</v>
      </c>
      <c r="D13" s="10" t="s">
        <v>140</v>
      </c>
      <c r="E13" s="10">
        <v>5</v>
      </c>
      <c r="F13" s="10">
        <v>5</v>
      </c>
      <c r="G13" s="10">
        <v>5</v>
      </c>
      <c r="H13" s="10">
        <v>5</v>
      </c>
      <c r="I13" s="10">
        <v>5</v>
      </c>
      <c r="J13" s="10">
        <v>5</v>
      </c>
      <c r="K13" s="10">
        <v>2</v>
      </c>
      <c r="L13" s="10">
        <v>5</v>
      </c>
      <c r="M13" s="10">
        <f>IF(OR(E13="",'4_BENCHMARK'!$C$4=""),"",ABS((E13-1)/4-'4_BENCHMARK'!$C$4))</f>
        <v>0</v>
      </c>
      <c r="N13" s="10">
        <f>IF(OR(F13="",'4_BENCHMARK'!$C$5=""),"",ABS((F13-1)/4-'4_BENCHMARK'!$C$5))</f>
        <v>0</v>
      </c>
      <c r="O13" s="10">
        <f>IF(OR(G13="",'4_BENCHMARK'!$C$6=""),"",ABS((G13-1)/4-'4_BENCHMARK'!$C$6))</f>
        <v>0</v>
      </c>
      <c r="P13" s="10">
        <f>IF(OR(H13="",'4_BENCHMARK'!$C$7=""),"",ABS((H13-1)/4-'4_BENCHMARK'!$C$7))</f>
        <v>0</v>
      </c>
      <c r="Q13" s="10">
        <f>IF(OR(I13="",'4_BENCHMARK'!$C$8=""),"",ABS((I13-1)/4-'4_BENCHMARK'!$C$8))</f>
        <v>1</v>
      </c>
      <c r="R13" s="10">
        <f>IF(OR(J13="",'4_BENCHMARK'!$C$9=""),"",ABS((J13-1)/4-'4_BENCHMARK'!$C$9))</f>
        <v>1</v>
      </c>
      <c r="S13" s="10">
        <f>IF(OR(K13="",'4_BENCHMARK'!$C$10=""),"",ABS((K13-1)/4-'4_BENCHMARK'!$C$10))</f>
        <v>0.25</v>
      </c>
      <c r="T13" s="10">
        <f>IF(OR(L13="",'4_BENCHMARK'!$C$11=""),"",ABS((L13-1)/4-'4_BENCHMARK'!$C$11))</f>
        <v>0</v>
      </c>
      <c r="U13" s="13">
        <f t="shared" si="0"/>
        <v>0.71875</v>
      </c>
      <c r="V13" s="10">
        <v>100</v>
      </c>
      <c r="W13" s="10">
        <v>81</v>
      </c>
      <c r="X13" s="21">
        <f t="shared" si="1"/>
        <v>0.81</v>
      </c>
      <c r="Y13" s="10">
        <v>3.9</v>
      </c>
      <c r="Z13" s="13">
        <f t="shared" si="2"/>
        <v>0.71875</v>
      </c>
      <c r="AA13" s="21">
        <f t="shared" si="3"/>
        <v>0.81</v>
      </c>
      <c r="AB13" s="10" t="str">
        <f t="shared" si="4"/>
        <v/>
      </c>
      <c r="AC13" s="10" t="str">
        <f t="shared" si="5"/>
        <v/>
      </c>
      <c r="AD13" s="13">
        <f t="shared" si="6"/>
        <v>0.958333333333333</v>
      </c>
      <c r="AE13" s="13">
        <f t="shared" si="7"/>
        <v>0.958333333333333</v>
      </c>
      <c r="AF13" s="13" t="str">
        <f t="shared" si="8"/>
        <v/>
      </c>
    </row>
    <row r="14" ht="14.25" customHeight="1" spans="1:32">
      <c r="A14" s="10">
        <v>10</v>
      </c>
      <c r="B14" s="10" t="s">
        <v>1451</v>
      </c>
      <c r="C14" s="10" t="s">
        <v>1442</v>
      </c>
      <c r="D14" s="10" t="s">
        <v>140</v>
      </c>
      <c r="E14" s="10">
        <v>4</v>
      </c>
      <c r="F14" s="10">
        <v>5</v>
      </c>
      <c r="G14" s="10">
        <v>5</v>
      </c>
      <c r="H14" s="10">
        <v>5</v>
      </c>
      <c r="I14" s="10">
        <v>5</v>
      </c>
      <c r="J14" s="10">
        <v>5</v>
      </c>
      <c r="K14" s="10">
        <v>2</v>
      </c>
      <c r="L14" s="10">
        <v>5</v>
      </c>
      <c r="M14" s="10">
        <f>IF(OR(E14="",'4_BENCHMARK'!$C$4=""),"",ABS((E14-1)/4-'4_BENCHMARK'!$C$4))</f>
        <v>0.25</v>
      </c>
      <c r="N14" s="10">
        <f>IF(OR(F14="",'4_BENCHMARK'!$C$5=""),"",ABS((F14-1)/4-'4_BENCHMARK'!$C$5))</f>
        <v>0</v>
      </c>
      <c r="O14" s="10">
        <f>IF(OR(G14="",'4_BENCHMARK'!$C$6=""),"",ABS((G14-1)/4-'4_BENCHMARK'!$C$6))</f>
        <v>0</v>
      </c>
      <c r="P14" s="10">
        <f>IF(OR(H14="",'4_BENCHMARK'!$C$7=""),"",ABS((H14-1)/4-'4_BENCHMARK'!$C$7))</f>
        <v>0</v>
      </c>
      <c r="Q14" s="10">
        <f>IF(OR(I14="",'4_BENCHMARK'!$C$8=""),"",ABS((I14-1)/4-'4_BENCHMARK'!$C$8))</f>
        <v>1</v>
      </c>
      <c r="R14" s="10">
        <f>IF(OR(J14="",'4_BENCHMARK'!$C$9=""),"",ABS((J14-1)/4-'4_BENCHMARK'!$C$9))</f>
        <v>1</v>
      </c>
      <c r="S14" s="10">
        <f>IF(OR(K14="",'4_BENCHMARK'!$C$10=""),"",ABS((K14-1)/4-'4_BENCHMARK'!$C$10))</f>
        <v>0.25</v>
      </c>
      <c r="T14" s="10">
        <f>IF(OR(L14="",'4_BENCHMARK'!$C$11=""),"",ABS((L14-1)/4-'4_BENCHMARK'!$C$11))</f>
        <v>0</v>
      </c>
      <c r="U14" s="13">
        <f t="shared" si="0"/>
        <v>0.6875</v>
      </c>
      <c r="V14" s="10">
        <v>100</v>
      </c>
      <c r="W14" s="10">
        <v>90</v>
      </c>
      <c r="X14" s="21">
        <f t="shared" si="1"/>
        <v>0.9</v>
      </c>
      <c r="Y14" s="10">
        <v>4.7</v>
      </c>
      <c r="Z14" s="13">
        <f t="shared" si="2"/>
        <v>0.6875</v>
      </c>
      <c r="AA14" s="21">
        <f t="shared" si="3"/>
        <v>0.9</v>
      </c>
      <c r="AB14" s="10" t="str">
        <f t="shared" si="4"/>
        <v/>
      </c>
      <c r="AC14" s="10" t="str">
        <f t="shared" si="5"/>
        <v/>
      </c>
      <c r="AD14" s="13">
        <f t="shared" si="6"/>
        <v>0.916666666666667</v>
      </c>
      <c r="AE14" s="13">
        <f t="shared" si="7"/>
        <v>0.916666666666667</v>
      </c>
      <c r="AF14" s="13" t="str">
        <f t="shared" si="8"/>
        <v/>
      </c>
    </row>
    <row r="15" ht="14.25" customHeight="1" spans="1:32">
      <c r="A15" s="10">
        <v>11</v>
      </c>
      <c r="B15" s="10" t="s">
        <v>1452</v>
      </c>
      <c r="C15" s="10" t="s">
        <v>1442</v>
      </c>
      <c r="D15" s="10" t="s">
        <v>140</v>
      </c>
      <c r="E15" s="10">
        <v>5</v>
      </c>
      <c r="F15" s="10">
        <v>4</v>
      </c>
      <c r="G15" s="10">
        <v>4</v>
      </c>
      <c r="H15" s="10">
        <v>5</v>
      </c>
      <c r="I15" s="10">
        <v>5</v>
      </c>
      <c r="J15" s="10">
        <v>5</v>
      </c>
      <c r="K15" s="10">
        <v>2</v>
      </c>
      <c r="L15" s="10">
        <v>5</v>
      </c>
      <c r="M15" s="10">
        <f>IF(OR(E15="",'4_BENCHMARK'!$C$4=""),"",ABS((E15-1)/4-'4_BENCHMARK'!$C$4))</f>
        <v>0</v>
      </c>
      <c r="N15" s="10">
        <f>IF(OR(F15="",'4_BENCHMARK'!$C$5=""),"",ABS((F15-1)/4-'4_BENCHMARK'!$C$5))</f>
        <v>0.25</v>
      </c>
      <c r="O15" s="10">
        <f>IF(OR(G15="",'4_BENCHMARK'!$C$6=""),"",ABS((G15-1)/4-'4_BENCHMARK'!$C$6))</f>
        <v>0.25</v>
      </c>
      <c r="P15" s="10">
        <f>IF(OR(H15="",'4_BENCHMARK'!$C$7=""),"",ABS((H15-1)/4-'4_BENCHMARK'!$C$7))</f>
        <v>0</v>
      </c>
      <c r="Q15" s="10">
        <f>IF(OR(I15="",'4_BENCHMARK'!$C$8=""),"",ABS((I15-1)/4-'4_BENCHMARK'!$C$8))</f>
        <v>1</v>
      </c>
      <c r="R15" s="10">
        <f>IF(OR(J15="",'4_BENCHMARK'!$C$9=""),"",ABS((J15-1)/4-'4_BENCHMARK'!$C$9))</f>
        <v>1</v>
      </c>
      <c r="S15" s="10">
        <f>IF(OR(K15="",'4_BENCHMARK'!$C$10=""),"",ABS((K15-1)/4-'4_BENCHMARK'!$C$10))</f>
        <v>0.25</v>
      </c>
      <c r="T15" s="10">
        <f>IF(OR(L15="",'4_BENCHMARK'!$C$11=""),"",ABS((L15-1)/4-'4_BENCHMARK'!$C$11))</f>
        <v>0</v>
      </c>
      <c r="U15" s="13">
        <f t="shared" si="0"/>
        <v>0.65625</v>
      </c>
      <c r="V15" s="10">
        <v>100</v>
      </c>
      <c r="W15" s="10">
        <v>61</v>
      </c>
      <c r="X15" s="21">
        <f t="shared" si="1"/>
        <v>0.61</v>
      </c>
      <c r="Y15" s="10">
        <v>3.2</v>
      </c>
      <c r="Z15" s="13">
        <f t="shared" si="2"/>
        <v>0.65625</v>
      </c>
      <c r="AA15" s="21">
        <f t="shared" si="3"/>
        <v>0.61</v>
      </c>
      <c r="AB15" s="10" t="str">
        <f t="shared" si="4"/>
        <v/>
      </c>
      <c r="AC15" s="10" t="str">
        <f t="shared" si="5"/>
        <v/>
      </c>
      <c r="AD15" s="13">
        <f t="shared" si="6"/>
        <v>0.875</v>
      </c>
      <c r="AE15" s="13">
        <f t="shared" si="7"/>
        <v>0.875</v>
      </c>
      <c r="AF15" s="13" t="str">
        <f t="shared" si="8"/>
        <v/>
      </c>
    </row>
    <row r="16" ht="14.25" customHeight="1" spans="1:32">
      <c r="A16" s="10">
        <v>12</v>
      </c>
      <c r="B16" s="10" t="s">
        <v>1453</v>
      </c>
      <c r="C16" s="10" t="s">
        <v>1442</v>
      </c>
      <c r="D16" s="10" t="s">
        <v>140</v>
      </c>
      <c r="E16" s="10">
        <v>5</v>
      </c>
      <c r="F16" s="10">
        <v>5</v>
      </c>
      <c r="G16" s="10">
        <v>5</v>
      </c>
      <c r="H16" s="10">
        <v>5</v>
      </c>
      <c r="I16" s="10">
        <v>5</v>
      </c>
      <c r="J16" s="10">
        <v>5</v>
      </c>
      <c r="K16" s="10">
        <v>2</v>
      </c>
      <c r="L16" s="10">
        <v>4</v>
      </c>
      <c r="M16" s="10">
        <f>IF(OR(E16="",'4_BENCHMARK'!$C$4=""),"",ABS((E16-1)/4-'4_BENCHMARK'!$C$4))</f>
        <v>0</v>
      </c>
      <c r="N16" s="10">
        <f>IF(OR(F16="",'4_BENCHMARK'!$C$5=""),"",ABS((F16-1)/4-'4_BENCHMARK'!$C$5))</f>
        <v>0</v>
      </c>
      <c r="O16" s="10">
        <f>IF(OR(G16="",'4_BENCHMARK'!$C$6=""),"",ABS((G16-1)/4-'4_BENCHMARK'!$C$6))</f>
        <v>0</v>
      </c>
      <c r="P16" s="10">
        <f>IF(OR(H16="",'4_BENCHMARK'!$C$7=""),"",ABS((H16-1)/4-'4_BENCHMARK'!$C$7))</f>
        <v>0</v>
      </c>
      <c r="Q16" s="10">
        <f>IF(OR(I16="",'4_BENCHMARK'!$C$8=""),"",ABS((I16-1)/4-'4_BENCHMARK'!$C$8))</f>
        <v>1</v>
      </c>
      <c r="R16" s="10">
        <f>IF(OR(J16="",'4_BENCHMARK'!$C$9=""),"",ABS((J16-1)/4-'4_BENCHMARK'!$C$9))</f>
        <v>1</v>
      </c>
      <c r="S16" s="10">
        <f>IF(OR(K16="",'4_BENCHMARK'!$C$10=""),"",ABS((K16-1)/4-'4_BENCHMARK'!$C$10))</f>
        <v>0.25</v>
      </c>
      <c r="T16" s="10">
        <f>IF(OR(L16="",'4_BENCHMARK'!$C$11=""),"",ABS((L16-1)/4-'4_BENCHMARK'!$C$11))</f>
        <v>0.25</v>
      </c>
      <c r="U16" s="13">
        <f t="shared" si="0"/>
        <v>0.6875</v>
      </c>
      <c r="V16" s="10">
        <v>100</v>
      </c>
      <c r="W16" s="10">
        <v>38</v>
      </c>
      <c r="X16" s="21">
        <f t="shared" si="1"/>
        <v>0.38</v>
      </c>
      <c r="Y16" s="10">
        <v>2.4</v>
      </c>
      <c r="Z16" s="13">
        <f t="shared" si="2"/>
        <v>0.6875</v>
      </c>
      <c r="AA16" s="21">
        <f t="shared" si="3"/>
        <v>0.38</v>
      </c>
      <c r="AB16" s="10" t="str">
        <f t="shared" si="4"/>
        <v/>
      </c>
      <c r="AC16" s="10" t="str">
        <f t="shared" si="5"/>
        <v/>
      </c>
      <c r="AD16" s="13">
        <f t="shared" si="6"/>
        <v>0.916666666666667</v>
      </c>
      <c r="AE16" s="13">
        <f t="shared" si="7"/>
        <v>0.916666666666667</v>
      </c>
      <c r="AF16" s="13" t="str">
        <f t="shared" si="8"/>
        <v/>
      </c>
    </row>
    <row r="17" ht="14.25" customHeight="1" spans="1:32">
      <c r="A17" s="10">
        <v>13</v>
      </c>
      <c r="B17" s="10" t="s">
        <v>1454</v>
      </c>
      <c r="C17" s="10" t="s">
        <v>1442</v>
      </c>
      <c r="D17" s="10" t="s">
        <v>139</v>
      </c>
      <c r="E17" s="10">
        <v>3</v>
      </c>
      <c r="F17" s="10">
        <v>2</v>
      </c>
      <c r="G17" s="10">
        <v>1</v>
      </c>
      <c r="H17" s="10">
        <v>2</v>
      </c>
      <c r="I17" s="10">
        <v>1</v>
      </c>
      <c r="J17" s="10">
        <v>1</v>
      </c>
      <c r="K17" s="10">
        <v>2</v>
      </c>
      <c r="L17" s="10">
        <v>4</v>
      </c>
      <c r="M17" s="10">
        <f>IF(OR(E17="",'4_BENCHMARK'!$C$4=""),"",ABS((E17-1)/4-'4_BENCHMARK'!$C$4))</f>
        <v>0.5</v>
      </c>
      <c r="N17" s="10">
        <f>IF(OR(F17="",'4_BENCHMARK'!$C$5=""),"",ABS((F17-1)/4-'4_BENCHMARK'!$C$5))</f>
        <v>0.75</v>
      </c>
      <c r="O17" s="10">
        <f>IF(OR(G17="",'4_BENCHMARK'!$C$6=""),"",ABS((G17-1)/4-'4_BENCHMARK'!$C$6))</f>
        <v>1</v>
      </c>
      <c r="P17" s="10">
        <f>IF(OR(H17="",'4_BENCHMARK'!$C$7=""),"",ABS((H17-1)/4-'4_BENCHMARK'!$C$7))</f>
        <v>0.75</v>
      </c>
      <c r="Q17" s="10">
        <f>IF(OR(I17="",'4_BENCHMARK'!$C$8=""),"",ABS((I17-1)/4-'4_BENCHMARK'!$C$8))</f>
        <v>0</v>
      </c>
      <c r="R17" s="10">
        <f>IF(OR(J17="",'4_BENCHMARK'!$C$9=""),"",ABS((J17-1)/4-'4_BENCHMARK'!$C$9))</f>
        <v>0</v>
      </c>
      <c r="S17" s="10">
        <f>IF(OR(K17="",'4_BENCHMARK'!$C$10=""),"",ABS((K17-1)/4-'4_BENCHMARK'!$C$10))</f>
        <v>0.25</v>
      </c>
      <c r="T17" s="10">
        <f>IF(OR(L17="",'4_BENCHMARK'!$C$11=""),"",ABS((L17-1)/4-'4_BENCHMARK'!$C$11))</f>
        <v>0.25</v>
      </c>
      <c r="U17" s="13">
        <f t="shared" si="0"/>
        <v>0.5625</v>
      </c>
      <c r="V17" s="10">
        <v>100</v>
      </c>
      <c r="W17" s="10">
        <v>12</v>
      </c>
      <c r="X17" s="21">
        <f t="shared" si="1"/>
        <v>0.12</v>
      </c>
      <c r="Y17" s="10">
        <v>4.3</v>
      </c>
      <c r="Z17" s="13">
        <f t="shared" si="2"/>
        <v>0.5625</v>
      </c>
      <c r="AA17" s="21">
        <f t="shared" si="3"/>
        <v>0.12</v>
      </c>
      <c r="AB17" s="13">
        <f t="shared" si="4"/>
        <v>0.5625</v>
      </c>
      <c r="AC17" s="21">
        <f t="shared" si="5"/>
        <v>0.12</v>
      </c>
      <c r="AD17" s="13">
        <f t="shared" si="6"/>
        <v>0.416666666666667</v>
      </c>
      <c r="AE17" s="13">
        <f t="shared" si="7"/>
        <v>0.416666666666667</v>
      </c>
      <c r="AF17" s="13">
        <f t="shared" si="8"/>
        <v>0.416666666666667</v>
      </c>
    </row>
    <row r="18" ht="14.25" customHeight="1" spans="1:32">
      <c r="A18" s="10">
        <v>14</v>
      </c>
      <c r="B18" s="10" t="s">
        <v>1455</v>
      </c>
      <c r="C18" s="10" t="s">
        <v>1442</v>
      </c>
      <c r="D18" s="10" t="s">
        <v>140</v>
      </c>
      <c r="E18" s="10">
        <v>3</v>
      </c>
      <c r="F18" s="10">
        <v>4</v>
      </c>
      <c r="G18" s="10">
        <v>4</v>
      </c>
      <c r="H18" s="10">
        <v>3</v>
      </c>
      <c r="I18" s="10">
        <v>3</v>
      </c>
      <c r="J18" s="10">
        <v>2</v>
      </c>
      <c r="K18" s="10">
        <v>2</v>
      </c>
      <c r="L18" s="10">
        <v>4</v>
      </c>
      <c r="M18" s="10">
        <f>IF(OR(E18="",'4_BENCHMARK'!$C$4=""),"",ABS((E18-1)/4-'4_BENCHMARK'!$C$4))</f>
        <v>0.5</v>
      </c>
      <c r="N18" s="10">
        <f>IF(OR(F18="",'4_BENCHMARK'!$C$5=""),"",ABS((F18-1)/4-'4_BENCHMARK'!$C$5))</f>
        <v>0.25</v>
      </c>
      <c r="O18" s="10">
        <f>IF(OR(G18="",'4_BENCHMARK'!$C$6=""),"",ABS((G18-1)/4-'4_BENCHMARK'!$C$6))</f>
        <v>0.25</v>
      </c>
      <c r="P18" s="10">
        <f>IF(OR(H18="",'4_BENCHMARK'!$C$7=""),"",ABS((H18-1)/4-'4_BENCHMARK'!$C$7))</f>
        <v>0.5</v>
      </c>
      <c r="Q18" s="10">
        <f>IF(OR(I18="",'4_BENCHMARK'!$C$8=""),"",ABS((I18-1)/4-'4_BENCHMARK'!$C$8))</f>
        <v>0.5</v>
      </c>
      <c r="R18" s="10">
        <f>IF(OR(J18="",'4_BENCHMARK'!$C$9=""),"",ABS((J18-1)/4-'4_BENCHMARK'!$C$9))</f>
        <v>0.25</v>
      </c>
      <c r="S18" s="10">
        <f>IF(OR(K18="",'4_BENCHMARK'!$C$10=""),"",ABS((K18-1)/4-'4_BENCHMARK'!$C$10))</f>
        <v>0.25</v>
      </c>
      <c r="T18" s="10">
        <f>IF(OR(L18="",'4_BENCHMARK'!$C$11=""),"",ABS((L18-1)/4-'4_BENCHMARK'!$C$11))</f>
        <v>0.25</v>
      </c>
      <c r="U18" s="13">
        <f t="shared" si="0"/>
        <v>0.65625</v>
      </c>
      <c r="V18" s="10">
        <v>100</v>
      </c>
      <c r="W18" s="10">
        <v>1</v>
      </c>
      <c r="X18" s="21">
        <f t="shared" si="1"/>
        <v>0.01</v>
      </c>
      <c r="Y18" s="10">
        <v>4.6</v>
      </c>
      <c r="Z18" s="13">
        <f t="shared" si="2"/>
        <v>0.65625</v>
      </c>
      <c r="AA18" s="21">
        <f t="shared" si="3"/>
        <v>0.01</v>
      </c>
      <c r="AB18" s="13" t="str">
        <f t="shared" si="4"/>
        <v/>
      </c>
      <c r="AC18" s="21" t="str">
        <f t="shared" si="5"/>
        <v/>
      </c>
      <c r="AD18" s="13">
        <f t="shared" si="6"/>
        <v>0.666666666666667</v>
      </c>
      <c r="AE18" s="13">
        <f t="shared" si="7"/>
        <v>0.666666666666667</v>
      </c>
      <c r="AF18" s="13" t="str">
        <f t="shared" si="8"/>
        <v/>
      </c>
    </row>
    <row r="19" ht="14.25" customHeight="1" spans="1:32">
      <c r="A19" s="10">
        <v>15</v>
      </c>
      <c r="B19" s="10" t="s">
        <v>1456</v>
      </c>
      <c r="C19" s="10" t="s">
        <v>1442</v>
      </c>
      <c r="D19" s="10" t="s">
        <v>139</v>
      </c>
      <c r="E19" s="10">
        <v>3</v>
      </c>
      <c r="F19" s="10">
        <v>2</v>
      </c>
      <c r="G19" s="10">
        <v>2</v>
      </c>
      <c r="H19" s="10">
        <v>3</v>
      </c>
      <c r="I19" s="10">
        <v>1</v>
      </c>
      <c r="J19" s="10">
        <v>1</v>
      </c>
      <c r="K19" s="10">
        <v>2</v>
      </c>
      <c r="L19" s="10">
        <v>4</v>
      </c>
      <c r="M19" s="10">
        <f>IF(OR(E19="",'4_BENCHMARK'!$C$4=""),"",ABS((E19-1)/4-'4_BENCHMARK'!$C$4))</f>
        <v>0.5</v>
      </c>
      <c r="N19" s="10">
        <f>IF(OR(F19="",'4_BENCHMARK'!$C$5=""),"",ABS((F19-1)/4-'4_BENCHMARK'!$C$5))</f>
        <v>0.75</v>
      </c>
      <c r="O19" s="10">
        <f>IF(OR(G19="",'4_BENCHMARK'!$C$6=""),"",ABS((G19-1)/4-'4_BENCHMARK'!$C$6))</f>
        <v>0.75</v>
      </c>
      <c r="P19" s="10">
        <f>IF(OR(H19="",'4_BENCHMARK'!$C$7=""),"",ABS((H19-1)/4-'4_BENCHMARK'!$C$7))</f>
        <v>0.5</v>
      </c>
      <c r="Q19" s="10">
        <f>IF(OR(I19="",'4_BENCHMARK'!$C$8=""),"",ABS((I19-1)/4-'4_BENCHMARK'!$C$8))</f>
        <v>0</v>
      </c>
      <c r="R19" s="10">
        <f>IF(OR(J19="",'4_BENCHMARK'!$C$9=""),"",ABS((J19-1)/4-'4_BENCHMARK'!$C$9))</f>
        <v>0</v>
      </c>
      <c r="S19" s="10">
        <f>IF(OR(K19="",'4_BENCHMARK'!$C$10=""),"",ABS((K19-1)/4-'4_BENCHMARK'!$C$10))</f>
        <v>0.25</v>
      </c>
      <c r="T19" s="10">
        <f>IF(OR(L19="",'4_BENCHMARK'!$C$11=""),"",ABS((L19-1)/4-'4_BENCHMARK'!$C$11))</f>
        <v>0.25</v>
      </c>
      <c r="U19" s="13">
        <f t="shared" si="0"/>
        <v>0.625</v>
      </c>
      <c r="V19" s="10">
        <v>100</v>
      </c>
      <c r="W19" s="10">
        <v>5</v>
      </c>
      <c r="X19" s="21">
        <f t="shared" si="1"/>
        <v>0.05</v>
      </c>
      <c r="Y19" s="10">
        <v>4.5</v>
      </c>
      <c r="Z19" s="13">
        <f t="shared" si="2"/>
        <v>0.625</v>
      </c>
      <c r="AA19" s="21">
        <f t="shared" si="3"/>
        <v>0.05</v>
      </c>
      <c r="AB19" s="13">
        <f t="shared" si="4"/>
        <v>0.625</v>
      </c>
      <c r="AC19" s="21">
        <f t="shared" si="5"/>
        <v>0.05</v>
      </c>
      <c r="AD19" s="13">
        <f t="shared" si="6"/>
        <v>0.5</v>
      </c>
      <c r="AE19" s="13">
        <f t="shared" si="7"/>
        <v>0.5</v>
      </c>
      <c r="AF19" s="13">
        <f t="shared" si="8"/>
        <v>0.5</v>
      </c>
    </row>
    <row r="20" ht="14.25" customHeight="1" spans="1:32">
      <c r="A20" s="10">
        <v>16</v>
      </c>
      <c r="B20" s="10" t="s">
        <v>1457</v>
      </c>
      <c r="C20" s="10" t="s">
        <v>1442</v>
      </c>
      <c r="D20" s="10" t="s">
        <v>140</v>
      </c>
      <c r="E20" s="10">
        <v>3</v>
      </c>
      <c r="F20" s="10">
        <v>3</v>
      </c>
      <c r="G20" s="10">
        <v>2</v>
      </c>
      <c r="H20" s="10">
        <v>2</v>
      </c>
      <c r="I20" s="10">
        <v>5</v>
      </c>
      <c r="J20" s="10">
        <v>1</v>
      </c>
      <c r="K20" s="10">
        <v>1</v>
      </c>
      <c r="L20" s="10">
        <v>4</v>
      </c>
      <c r="M20" s="10">
        <f>IF(OR(E20="",'4_BENCHMARK'!$C$4=""),"",ABS((E20-1)/4-'4_BENCHMARK'!$C$4))</f>
        <v>0.5</v>
      </c>
      <c r="N20" s="10">
        <f>IF(OR(F20="",'4_BENCHMARK'!$C$5=""),"",ABS((F20-1)/4-'4_BENCHMARK'!$C$5))</f>
        <v>0.5</v>
      </c>
      <c r="O20" s="10">
        <f>IF(OR(G20="",'4_BENCHMARK'!$C$6=""),"",ABS((G20-1)/4-'4_BENCHMARK'!$C$6))</f>
        <v>0.75</v>
      </c>
      <c r="P20" s="10">
        <f>IF(OR(H20="",'4_BENCHMARK'!$C$7=""),"",ABS((H20-1)/4-'4_BENCHMARK'!$C$7))</f>
        <v>0.75</v>
      </c>
      <c r="Q20" s="10">
        <f>IF(OR(I20="",'4_BENCHMARK'!$C$8=""),"",ABS((I20-1)/4-'4_BENCHMARK'!$C$8))</f>
        <v>1</v>
      </c>
      <c r="R20" s="10">
        <f>IF(OR(J20="",'4_BENCHMARK'!$C$9=""),"",ABS((J20-1)/4-'4_BENCHMARK'!$C$9))</f>
        <v>0</v>
      </c>
      <c r="S20" s="10">
        <f>IF(OR(K20="",'4_BENCHMARK'!$C$10=""),"",ABS((K20-1)/4-'4_BENCHMARK'!$C$10))</f>
        <v>0.5</v>
      </c>
      <c r="T20" s="10">
        <f>IF(OR(L20="",'4_BENCHMARK'!$C$11=""),"",ABS((L20-1)/4-'4_BENCHMARK'!$C$11))</f>
        <v>0.25</v>
      </c>
      <c r="U20" s="13">
        <f t="shared" si="0"/>
        <v>0.46875</v>
      </c>
      <c r="V20" s="10">
        <v>100</v>
      </c>
      <c r="W20" s="10">
        <v>72</v>
      </c>
      <c r="X20" s="21">
        <f t="shared" si="1"/>
        <v>0.72</v>
      </c>
      <c r="Y20" s="10">
        <v>3.6</v>
      </c>
      <c r="Z20" s="13">
        <f t="shared" si="2"/>
        <v>0.46875</v>
      </c>
      <c r="AA20" s="21">
        <f t="shared" si="3"/>
        <v>0.72</v>
      </c>
      <c r="AB20" s="10" t="str">
        <f t="shared" si="4"/>
        <v/>
      </c>
      <c r="AC20" s="10" t="str">
        <f t="shared" si="5"/>
        <v/>
      </c>
      <c r="AD20" s="13">
        <f t="shared" si="6"/>
        <v>0.458333333333333</v>
      </c>
      <c r="AE20" s="13">
        <f t="shared" si="7"/>
        <v>0.458333333333333</v>
      </c>
      <c r="AF20" s="13" t="str">
        <f t="shared" si="8"/>
        <v/>
      </c>
    </row>
    <row r="21" ht="14.25" customHeight="1" spans="1:32">
      <c r="A21" s="10">
        <v>17</v>
      </c>
      <c r="B21" s="10" t="s">
        <v>1458</v>
      </c>
      <c r="C21" s="10" t="s">
        <v>1442</v>
      </c>
      <c r="D21" s="10" t="s">
        <v>140</v>
      </c>
      <c r="E21" s="10">
        <v>2</v>
      </c>
      <c r="F21" s="10">
        <v>2</v>
      </c>
      <c r="G21" s="10">
        <v>2</v>
      </c>
      <c r="H21" s="10">
        <v>5</v>
      </c>
      <c r="I21" s="10">
        <v>5</v>
      </c>
      <c r="J21" s="10">
        <v>5</v>
      </c>
      <c r="K21" s="10">
        <v>2</v>
      </c>
      <c r="L21" s="10">
        <v>3</v>
      </c>
      <c r="M21" s="10">
        <f>IF(OR(E21="",'4_BENCHMARK'!$C$4=""),"",ABS((E21-1)/4-'4_BENCHMARK'!$C$4))</f>
        <v>0.75</v>
      </c>
      <c r="N21" s="10">
        <f>IF(OR(F21="",'4_BENCHMARK'!$C$5=""),"",ABS((F21-1)/4-'4_BENCHMARK'!$C$5))</f>
        <v>0.75</v>
      </c>
      <c r="O21" s="10">
        <f>IF(OR(G21="",'4_BENCHMARK'!$C$6=""),"",ABS((G21-1)/4-'4_BENCHMARK'!$C$6))</f>
        <v>0.75</v>
      </c>
      <c r="P21" s="10">
        <f>IF(OR(H21="",'4_BENCHMARK'!$C$7=""),"",ABS((H21-1)/4-'4_BENCHMARK'!$C$7))</f>
        <v>0</v>
      </c>
      <c r="Q21" s="10">
        <f>IF(OR(I21="",'4_BENCHMARK'!$C$8=""),"",ABS((I21-1)/4-'4_BENCHMARK'!$C$8))</f>
        <v>1</v>
      </c>
      <c r="R21" s="10">
        <f>IF(OR(J21="",'4_BENCHMARK'!$C$9=""),"",ABS((J21-1)/4-'4_BENCHMARK'!$C$9))</f>
        <v>1</v>
      </c>
      <c r="S21" s="10">
        <f>IF(OR(K21="",'4_BENCHMARK'!$C$10=""),"",ABS((K21-1)/4-'4_BENCHMARK'!$C$10))</f>
        <v>0.25</v>
      </c>
      <c r="T21" s="10">
        <f>IF(OR(L21="",'4_BENCHMARK'!$C$11=""),"",ABS((L21-1)/4-'4_BENCHMARK'!$C$11))</f>
        <v>0.5</v>
      </c>
      <c r="U21" s="13">
        <f t="shared" si="0"/>
        <v>0.375</v>
      </c>
      <c r="V21" s="10">
        <v>100</v>
      </c>
      <c r="W21" s="10">
        <v>29</v>
      </c>
      <c r="X21" s="21">
        <f t="shared" si="1"/>
        <v>0.29</v>
      </c>
      <c r="Y21" s="10">
        <v>3.2</v>
      </c>
      <c r="Z21" s="13">
        <f t="shared" si="2"/>
        <v>0.375</v>
      </c>
      <c r="AA21" s="21">
        <f t="shared" si="3"/>
        <v>0.29</v>
      </c>
      <c r="AB21" s="10" t="str">
        <f t="shared" si="4"/>
        <v/>
      </c>
      <c r="AC21" s="10" t="str">
        <f t="shared" si="5"/>
        <v/>
      </c>
      <c r="AD21" s="13">
        <f t="shared" si="6"/>
        <v>0.5</v>
      </c>
      <c r="AE21" s="13">
        <f t="shared" si="7"/>
        <v>0.5</v>
      </c>
      <c r="AF21" s="13" t="str">
        <f t="shared" si="8"/>
        <v/>
      </c>
    </row>
    <row r="22" ht="14.25" customHeight="1" spans="1:32">
      <c r="A22" s="10">
        <v>18</v>
      </c>
      <c r="B22" s="10" t="s">
        <v>1459</v>
      </c>
      <c r="C22" s="10" t="s">
        <v>1442</v>
      </c>
      <c r="D22" s="10" t="s">
        <v>139</v>
      </c>
      <c r="E22" s="10">
        <v>4</v>
      </c>
      <c r="F22" s="10">
        <v>4</v>
      </c>
      <c r="G22" s="10">
        <v>4</v>
      </c>
      <c r="H22" s="10">
        <v>5</v>
      </c>
      <c r="I22" s="10">
        <v>5</v>
      </c>
      <c r="J22" s="10">
        <v>5</v>
      </c>
      <c r="K22" s="10">
        <v>1</v>
      </c>
      <c r="L22" s="10">
        <v>5</v>
      </c>
      <c r="M22" s="10">
        <f>IF(OR(E22="",'4_BENCHMARK'!$C$4=""),"",ABS((E22-1)/4-'4_BENCHMARK'!$C$4))</f>
        <v>0.25</v>
      </c>
      <c r="N22" s="10">
        <f>IF(OR(F22="",'4_BENCHMARK'!$C$5=""),"",ABS((F22-1)/4-'4_BENCHMARK'!$C$5))</f>
        <v>0.25</v>
      </c>
      <c r="O22" s="10">
        <f>IF(OR(G22="",'4_BENCHMARK'!$C$6=""),"",ABS((G22-1)/4-'4_BENCHMARK'!$C$6))</f>
        <v>0.25</v>
      </c>
      <c r="P22" s="10">
        <f>IF(OR(H22="",'4_BENCHMARK'!$C$7=""),"",ABS((H22-1)/4-'4_BENCHMARK'!$C$7))</f>
        <v>0</v>
      </c>
      <c r="Q22" s="10">
        <f>IF(OR(I22="",'4_BENCHMARK'!$C$8=""),"",ABS((I22-1)/4-'4_BENCHMARK'!$C$8))</f>
        <v>1</v>
      </c>
      <c r="R22" s="10">
        <f>IF(OR(J22="",'4_BENCHMARK'!$C$9=""),"",ABS((J22-1)/4-'4_BENCHMARK'!$C$9))</f>
        <v>1</v>
      </c>
      <c r="S22" s="10">
        <f>IF(OR(K22="",'4_BENCHMARK'!$C$10=""),"",ABS((K22-1)/4-'4_BENCHMARK'!$C$10))</f>
        <v>0.5</v>
      </c>
      <c r="T22" s="10">
        <f>IF(OR(L22="",'4_BENCHMARK'!$C$11=""),"",ABS((L22-1)/4-'4_BENCHMARK'!$C$11))</f>
        <v>0</v>
      </c>
      <c r="U22" s="13">
        <f t="shared" si="0"/>
        <v>0.59375</v>
      </c>
      <c r="V22" s="10">
        <v>100</v>
      </c>
      <c r="W22" s="10">
        <v>66</v>
      </c>
      <c r="X22" s="21">
        <f t="shared" si="1"/>
        <v>0.66</v>
      </c>
      <c r="Y22" s="10">
        <v>3.3</v>
      </c>
      <c r="Z22" s="13">
        <f t="shared" si="2"/>
        <v>0.59375</v>
      </c>
      <c r="AA22" s="21">
        <f t="shared" si="3"/>
        <v>0.66</v>
      </c>
      <c r="AB22" s="13">
        <f t="shared" si="4"/>
        <v>0.59375</v>
      </c>
      <c r="AC22" s="21">
        <f t="shared" si="5"/>
        <v>0.66</v>
      </c>
      <c r="AD22" s="13">
        <f t="shared" si="6"/>
        <v>0.791666666666667</v>
      </c>
      <c r="AE22" s="13">
        <f t="shared" si="7"/>
        <v>0.791666666666667</v>
      </c>
      <c r="AF22" s="13">
        <f t="shared" si="8"/>
        <v>0.791666666666667</v>
      </c>
    </row>
    <row r="23" ht="14.25" customHeight="1" spans="1:32">
      <c r="A23" s="10">
        <v>19</v>
      </c>
      <c r="B23" s="10" t="s">
        <v>1460</v>
      </c>
      <c r="C23" s="10" t="s">
        <v>1442</v>
      </c>
      <c r="D23" s="10" t="s">
        <v>139</v>
      </c>
      <c r="E23" s="10">
        <v>5</v>
      </c>
      <c r="F23" s="10">
        <v>1</v>
      </c>
      <c r="G23" s="10">
        <v>5</v>
      </c>
      <c r="H23" s="10">
        <v>4</v>
      </c>
      <c r="I23" s="10">
        <v>5</v>
      </c>
      <c r="J23" s="10">
        <v>3</v>
      </c>
      <c r="K23" s="10">
        <v>2</v>
      </c>
      <c r="L23" s="10">
        <v>4</v>
      </c>
      <c r="M23" s="10">
        <f>IF(OR(E23="",'4_BENCHMARK'!$C$4=""),"",ABS((E23-1)/4-'4_BENCHMARK'!$C$4))</f>
        <v>0</v>
      </c>
      <c r="N23" s="10">
        <f>IF(OR(F23="",'4_BENCHMARK'!$C$5=""),"",ABS((F23-1)/4-'4_BENCHMARK'!$C$5))</f>
        <v>1</v>
      </c>
      <c r="O23" s="10">
        <f>IF(OR(G23="",'4_BENCHMARK'!$C$6=""),"",ABS((G23-1)/4-'4_BENCHMARK'!$C$6))</f>
        <v>0</v>
      </c>
      <c r="P23" s="10">
        <f>IF(OR(H23="",'4_BENCHMARK'!$C$7=""),"",ABS((H23-1)/4-'4_BENCHMARK'!$C$7))</f>
        <v>0.25</v>
      </c>
      <c r="Q23" s="10">
        <f>IF(OR(I23="",'4_BENCHMARK'!$C$8=""),"",ABS((I23-1)/4-'4_BENCHMARK'!$C$8))</f>
        <v>1</v>
      </c>
      <c r="R23" s="10">
        <f>IF(OR(J23="",'4_BENCHMARK'!$C$9=""),"",ABS((J23-1)/4-'4_BENCHMARK'!$C$9))</f>
        <v>0.5</v>
      </c>
      <c r="S23" s="10">
        <f>IF(OR(K23="",'4_BENCHMARK'!$C$10=""),"",ABS((K23-1)/4-'4_BENCHMARK'!$C$10))</f>
        <v>0.25</v>
      </c>
      <c r="T23" s="10">
        <f>IF(OR(L23="",'4_BENCHMARK'!$C$11=""),"",ABS((L23-1)/4-'4_BENCHMARK'!$C$11))</f>
        <v>0.25</v>
      </c>
      <c r="U23" s="13">
        <f t="shared" si="0"/>
        <v>0.59375</v>
      </c>
      <c r="V23" s="10">
        <v>100</v>
      </c>
      <c r="W23" s="10">
        <v>20</v>
      </c>
      <c r="X23" s="21">
        <f t="shared" si="1"/>
        <v>0.2</v>
      </c>
      <c r="Y23" s="10">
        <v>1.5</v>
      </c>
      <c r="Z23" s="13">
        <f t="shared" si="2"/>
        <v>0.59375</v>
      </c>
      <c r="AA23" s="21">
        <f t="shared" si="3"/>
        <v>0.2</v>
      </c>
      <c r="AB23" s="13">
        <f t="shared" si="4"/>
        <v>0.59375</v>
      </c>
      <c r="AC23" s="21">
        <f t="shared" si="5"/>
        <v>0.2</v>
      </c>
      <c r="AD23" s="13">
        <f t="shared" si="6"/>
        <v>0.708333333333333</v>
      </c>
      <c r="AE23" s="13">
        <f t="shared" si="7"/>
        <v>0.708333333333333</v>
      </c>
      <c r="AF23" s="13">
        <f t="shared" si="8"/>
        <v>0.708333333333333</v>
      </c>
    </row>
    <row r="24" ht="14.25" customHeight="1" spans="1:32">
      <c r="A24" s="10">
        <v>20</v>
      </c>
      <c r="B24" s="10" t="s">
        <v>1461</v>
      </c>
      <c r="C24" s="10" t="s">
        <v>1442</v>
      </c>
      <c r="D24" s="10" t="s">
        <v>140</v>
      </c>
      <c r="E24" s="10">
        <v>5</v>
      </c>
      <c r="F24" s="10">
        <v>5</v>
      </c>
      <c r="G24" s="10">
        <v>5</v>
      </c>
      <c r="H24" s="10">
        <v>5</v>
      </c>
      <c r="I24" s="10">
        <v>5</v>
      </c>
      <c r="J24" s="10">
        <v>5</v>
      </c>
      <c r="K24" s="10">
        <v>2</v>
      </c>
      <c r="L24" s="10">
        <v>3</v>
      </c>
      <c r="M24" s="10">
        <f>IF(OR(E24="",'4_BENCHMARK'!$C$4=""),"",ABS((E24-1)/4-'4_BENCHMARK'!$C$4))</f>
        <v>0</v>
      </c>
      <c r="N24" s="10">
        <f>IF(OR(F24="",'4_BENCHMARK'!$C$5=""),"",ABS((F24-1)/4-'4_BENCHMARK'!$C$5))</f>
        <v>0</v>
      </c>
      <c r="O24" s="10">
        <f>IF(OR(G24="",'4_BENCHMARK'!$C$6=""),"",ABS((G24-1)/4-'4_BENCHMARK'!$C$6))</f>
        <v>0</v>
      </c>
      <c r="P24" s="10">
        <f>IF(OR(H24="",'4_BENCHMARK'!$C$7=""),"",ABS((H24-1)/4-'4_BENCHMARK'!$C$7))</f>
        <v>0</v>
      </c>
      <c r="Q24" s="10">
        <f>IF(OR(I24="",'4_BENCHMARK'!$C$8=""),"",ABS((I24-1)/4-'4_BENCHMARK'!$C$8))</f>
        <v>1</v>
      </c>
      <c r="R24" s="10">
        <f>IF(OR(J24="",'4_BENCHMARK'!$C$9=""),"",ABS((J24-1)/4-'4_BENCHMARK'!$C$9))</f>
        <v>1</v>
      </c>
      <c r="S24" s="10">
        <f>IF(OR(K24="",'4_BENCHMARK'!$C$10=""),"",ABS((K24-1)/4-'4_BENCHMARK'!$C$10))</f>
        <v>0.25</v>
      </c>
      <c r="T24" s="10">
        <f>IF(OR(L24="",'4_BENCHMARK'!$C$11=""),"",ABS((L24-1)/4-'4_BENCHMARK'!$C$11))</f>
        <v>0.5</v>
      </c>
      <c r="U24" s="13">
        <f t="shared" si="0"/>
        <v>0.65625</v>
      </c>
      <c r="V24" s="10">
        <v>100</v>
      </c>
      <c r="W24" s="10">
        <v>81</v>
      </c>
      <c r="X24" s="21">
        <f t="shared" si="1"/>
        <v>0.81</v>
      </c>
      <c r="Y24" s="10">
        <v>4.1</v>
      </c>
      <c r="Z24" s="13">
        <f t="shared" si="2"/>
        <v>0.65625</v>
      </c>
      <c r="AA24" s="21">
        <f t="shared" si="3"/>
        <v>0.81</v>
      </c>
      <c r="AB24" s="10" t="str">
        <f t="shared" si="4"/>
        <v/>
      </c>
      <c r="AC24" s="10" t="str">
        <f t="shared" si="5"/>
        <v/>
      </c>
      <c r="AD24" s="13">
        <f t="shared" si="6"/>
        <v>0.875</v>
      </c>
      <c r="AE24" s="13">
        <f t="shared" si="7"/>
        <v>0.875</v>
      </c>
      <c r="AF24" s="13" t="str">
        <f t="shared" si="8"/>
        <v/>
      </c>
    </row>
    <row r="25" ht="14.25" customHeight="1" spans="1:32">
      <c r="A25" s="10">
        <v>21</v>
      </c>
      <c r="B25" s="18" t="s">
        <v>1462</v>
      </c>
      <c r="C25" s="10" t="s">
        <v>1463</v>
      </c>
      <c r="D25" s="10" t="s">
        <v>139</v>
      </c>
      <c r="E25" s="10">
        <v>5</v>
      </c>
      <c r="F25" s="10">
        <v>5</v>
      </c>
      <c r="G25" s="10">
        <v>5</v>
      </c>
      <c r="H25" s="10">
        <v>5</v>
      </c>
      <c r="I25" s="10">
        <v>5</v>
      </c>
      <c r="J25" s="10">
        <v>5</v>
      </c>
      <c r="K25" s="10">
        <v>3</v>
      </c>
      <c r="L25" s="10">
        <v>5</v>
      </c>
      <c r="M25" s="10">
        <f>IF(OR(E25="",'4_BENCHMARK'!$C$4=""),"",ABS((E25-1)/4-'4_BENCHMARK'!$C$4))</f>
        <v>0</v>
      </c>
      <c r="N25" s="10">
        <f>IF(OR(F25="",'4_BENCHMARK'!$C$5=""),"",ABS((F25-1)/4-'4_BENCHMARK'!$C$5))</f>
        <v>0</v>
      </c>
      <c r="O25" s="10">
        <f>IF(OR(G25="",'4_BENCHMARK'!$C$6=""),"",ABS((G25-1)/4-'4_BENCHMARK'!$C$6))</f>
        <v>0</v>
      </c>
      <c r="P25" s="10">
        <f>IF(OR(H25="",'4_BENCHMARK'!$C$7=""),"",ABS((H25-1)/4-'4_BENCHMARK'!$C$7))</f>
        <v>0</v>
      </c>
      <c r="Q25" s="10">
        <f>IF(OR(I25="",'4_BENCHMARK'!$C$8=""),"",ABS((I25-1)/4-'4_BENCHMARK'!$C$8))</f>
        <v>1</v>
      </c>
      <c r="R25" s="10">
        <f>IF(OR(J25="",'4_BENCHMARK'!$C$9=""),"",ABS((J25-1)/4-'4_BENCHMARK'!$C$9))</f>
        <v>1</v>
      </c>
      <c r="S25" s="10">
        <f>IF(OR(K25="",'4_BENCHMARK'!$C$10=""),"",ABS((K25-1)/4-'4_BENCHMARK'!$C$10))</f>
        <v>0</v>
      </c>
      <c r="T25" s="10">
        <f>IF(OR(L25="",'4_BENCHMARK'!$C$11=""),"",ABS((L25-1)/4-'4_BENCHMARK'!$C$11))</f>
        <v>0</v>
      </c>
      <c r="U25" s="13">
        <f t="shared" si="0"/>
        <v>0.75</v>
      </c>
      <c r="V25" s="10">
        <v>100</v>
      </c>
      <c r="W25" s="10">
        <v>52</v>
      </c>
      <c r="X25" s="21">
        <f t="shared" si="1"/>
        <v>0.52</v>
      </c>
      <c r="Y25" s="10">
        <v>3.1</v>
      </c>
      <c r="Z25" s="10" t="str">
        <f t="shared" si="2"/>
        <v/>
      </c>
      <c r="AA25" s="10" t="str">
        <f t="shared" si="3"/>
        <v/>
      </c>
      <c r="AB25" s="13">
        <f t="shared" si="4"/>
        <v>0.75</v>
      </c>
      <c r="AC25" s="21">
        <f t="shared" si="5"/>
        <v>0.52</v>
      </c>
      <c r="AD25" s="13">
        <f t="shared" si="6"/>
        <v>1</v>
      </c>
      <c r="AE25" s="13" t="str">
        <f t="shared" si="7"/>
        <v/>
      </c>
      <c r="AF25" s="13">
        <f t="shared" si="8"/>
        <v>1</v>
      </c>
    </row>
    <row r="26" ht="14.25" customHeight="1" spans="1:32">
      <c r="A26" s="10">
        <v>22</v>
      </c>
      <c r="B26" s="18" t="s">
        <v>1464</v>
      </c>
      <c r="C26" s="10" t="s">
        <v>1463</v>
      </c>
      <c r="D26" s="10" t="s">
        <v>139</v>
      </c>
      <c r="E26" s="10">
        <v>5</v>
      </c>
      <c r="F26" s="10">
        <v>4</v>
      </c>
      <c r="G26" s="10">
        <v>4</v>
      </c>
      <c r="H26" s="10">
        <v>5</v>
      </c>
      <c r="I26" s="10">
        <v>5</v>
      </c>
      <c r="J26" s="10">
        <v>5</v>
      </c>
      <c r="K26" s="10">
        <v>2</v>
      </c>
      <c r="L26" s="10">
        <v>5</v>
      </c>
      <c r="M26" s="10">
        <f>IF(OR(E26="",'4_BENCHMARK'!$C$4=""),"",ABS((E26-1)/4-'4_BENCHMARK'!$C$4))</f>
        <v>0</v>
      </c>
      <c r="N26" s="10">
        <f>IF(OR(F26="",'4_BENCHMARK'!$C$5=""),"",ABS((F26-1)/4-'4_BENCHMARK'!$C$5))</f>
        <v>0.25</v>
      </c>
      <c r="O26" s="10">
        <f>IF(OR(G26="",'4_BENCHMARK'!$C$6=""),"",ABS((G26-1)/4-'4_BENCHMARK'!$C$6))</f>
        <v>0.25</v>
      </c>
      <c r="P26" s="10">
        <f>IF(OR(H26="",'4_BENCHMARK'!$C$7=""),"",ABS((H26-1)/4-'4_BENCHMARK'!$C$7))</f>
        <v>0</v>
      </c>
      <c r="Q26" s="10">
        <f>IF(OR(I26="",'4_BENCHMARK'!$C$8=""),"",ABS((I26-1)/4-'4_BENCHMARK'!$C$8))</f>
        <v>1</v>
      </c>
      <c r="R26" s="10">
        <f>IF(OR(J26="",'4_BENCHMARK'!$C$9=""),"",ABS((J26-1)/4-'4_BENCHMARK'!$C$9))</f>
        <v>1</v>
      </c>
      <c r="S26" s="10">
        <f>IF(OR(K26="",'4_BENCHMARK'!$C$10=""),"",ABS((K26-1)/4-'4_BENCHMARK'!$C$10))</f>
        <v>0.25</v>
      </c>
      <c r="T26" s="10">
        <f>IF(OR(L26="",'4_BENCHMARK'!$C$11=""),"",ABS((L26-1)/4-'4_BENCHMARK'!$C$11))</f>
        <v>0</v>
      </c>
      <c r="U26" s="13">
        <f t="shared" si="0"/>
        <v>0.65625</v>
      </c>
      <c r="V26" s="10">
        <v>100</v>
      </c>
      <c r="W26" s="10">
        <v>17</v>
      </c>
      <c r="X26" s="21">
        <f t="shared" si="1"/>
        <v>0.17</v>
      </c>
      <c r="Y26" s="10">
        <v>4.1</v>
      </c>
      <c r="Z26" s="10" t="str">
        <f t="shared" si="2"/>
        <v/>
      </c>
      <c r="AA26" s="10" t="str">
        <f t="shared" si="3"/>
        <v/>
      </c>
      <c r="AB26" s="13">
        <f t="shared" si="4"/>
        <v>0.65625</v>
      </c>
      <c r="AC26" s="21">
        <f t="shared" si="5"/>
        <v>0.17</v>
      </c>
      <c r="AD26" s="13">
        <f t="shared" si="6"/>
        <v>0.875</v>
      </c>
      <c r="AE26" s="13" t="str">
        <f t="shared" si="7"/>
        <v/>
      </c>
      <c r="AF26" s="13">
        <f t="shared" si="8"/>
        <v>0.875</v>
      </c>
    </row>
    <row r="27" ht="14.25" customHeight="1" spans="1:32">
      <c r="A27" s="10">
        <v>23</v>
      </c>
      <c r="B27" s="18" t="s">
        <v>1465</v>
      </c>
      <c r="C27" s="10" t="s">
        <v>1463</v>
      </c>
      <c r="D27" s="10" t="s">
        <v>139</v>
      </c>
      <c r="E27" s="10">
        <v>5</v>
      </c>
      <c r="F27" s="10">
        <v>5</v>
      </c>
      <c r="G27" s="10">
        <v>5</v>
      </c>
      <c r="H27" s="10">
        <v>5</v>
      </c>
      <c r="I27" s="10">
        <v>1</v>
      </c>
      <c r="J27" s="10">
        <v>1</v>
      </c>
      <c r="K27" s="10">
        <v>4</v>
      </c>
      <c r="L27" s="10">
        <v>5</v>
      </c>
      <c r="M27" s="10">
        <f>IF(OR(E27="",'4_BENCHMARK'!$C$4=""),"",ABS((E27-1)/4-'4_BENCHMARK'!$C$4))</f>
        <v>0</v>
      </c>
      <c r="N27" s="10">
        <f>IF(OR(F27="",'4_BENCHMARK'!$C$5=""),"",ABS((F27-1)/4-'4_BENCHMARK'!$C$5))</f>
        <v>0</v>
      </c>
      <c r="O27" s="10">
        <f>IF(OR(G27="",'4_BENCHMARK'!$C$6=""),"",ABS((G27-1)/4-'4_BENCHMARK'!$C$6))</f>
        <v>0</v>
      </c>
      <c r="P27" s="10">
        <f>IF(OR(H27="",'4_BENCHMARK'!$C$7=""),"",ABS((H27-1)/4-'4_BENCHMARK'!$C$7))</f>
        <v>0</v>
      </c>
      <c r="Q27" s="10">
        <f>IF(OR(I27="",'4_BENCHMARK'!$C$8=""),"",ABS((I27-1)/4-'4_BENCHMARK'!$C$8))</f>
        <v>0</v>
      </c>
      <c r="R27" s="10">
        <f>IF(OR(J27="",'4_BENCHMARK'!$C$9=""),"",ABS((J27-1)/4-'4_BENCHMARK'!$C$9))</f>
        <v>0</v>
      </c>
      <c r="S27" s="10">
        <f>IF(OR(K27="",'4_BENCHMARK'!$C$10=""),"",ABS((K27-1)/4-'4_BENCHMARK'!$C$10))</f>
        <v>0.25</v>
      </c>
      <c r="T27" s="10">
        <f>IF(OR(L27="",'4_BENCHMARK'!$C$11=""),"",ABS((L27-1)/4-'4_BENCHMARK'!$C$11))</f>
        <v>0</v>
      </c>
      <c r="U27" s="13">
        <f t="shared" si="0"/>
        <v>0.96875</v>
      </c>
      <c r="V27" s="10">
        <v>100</v>
      </c>
      <c r="W27" s="10">
        <v>48</v>
      </c>
      <c r="X27" s="21">
        <f t="shared" si="1"/>
        <v>0.48</v>
      </c>
      <c r="Y27" s="10">
        <v>3.3</v>
      </c>
      <c r="Z27" s="10" t="str">
        <f t="shared" si="2"/>
        <v/>
      </c>
      <c r="AA27" s="10" t="str">
        <f t="shared" si="3"/>
        <v/>
      </c>
      <c r="AB27" s="13">
        <f t="shared" si="4"/>
        <v>0.96875</v>
      </c>
      <c r="AC27" s="21">
        <f t="shared" si="5"/>
        <v>0.48</v>
      </c>
      <c r="AD27" s="13">
        <f t="shared" si="6"/>
        <v>0.958333333333333</v>
      </c>
      <c r="AE27" s="13" t="str">
        <f t="shared" si="7"/>
        <v/>
      </c>
      <c r="AF27" s="13">
        <f t="shared" si="8"/>
        <v>0.958333333333333</v>
      </c>
    </row>
    <row r="28" ht="14.25" customHeight="1" spans="1:32">
      <c r="A28" s="10">
        <v>24</v>
      </c>
      <c r="B28" s="18" t="s">
        <v>1466</v>
      </c>
      <c r="C28" s="10" t="s">
        <v>1463</v>
      </c>
      <c r="D28" s="10" t="s">
        <v>139</v>
      </c>
      <c r="E28" s="10">
        <v>4</v>
      </c>
      <c r="F28" s="10">
        <v>5</v>
      </c>
      <c r="G28" s="10">
        <v>5</v>
      </c>
      <c r="H28" s="10">
        <v>5</v>
      </c>
      <c r="I28" s="10">
        <v>1</v>
      </c>
      <c r="J28" s="10">
        <v>1</v>
      </c>
      <c r="K28" s="10">
        <v>2</v>
      </c>
      <c r="L28" s="10">
        <v>5</v>
      </c>
      <c r="M28" s="10">
        <f>IF(OR(E28="",'4_BENCHMARK'!$C$4=""),"",ABS((E28-1)/4-'4_BENCHMARK'!$C$4))</f>
        <v>0.25</v>
      </c>
      <c r="N28" s="10">
        <f>IF(OR(F28="",'4_BENCHMARK'!$C$5=""),"",ABS((F28-1)/4-'4_BENCHMARK'!$C$5))</f>
        <v>0</v>
      </c>
      <c r="O28" s="10">
        <f>IF(OR(G28="",'4_BENCHMARK'!$C$6=""),"",ABS((G28-1)/4-'4_BENCHMARK'!$C$6))</f>
        <v>0</v>
      </c>
      <c r="P28" s="10">
        <f>IF(OR(H28="",'4_BENCHMARK'!$C$7=""),"",ABS((H28-1)/4-'4_BENCHMARK'!$C$7))</f>
        <v>0</v>
      </c>
      <c r="Q28" s="10">
        <f>IF(OR(I28="",'4_BENCHMARK'!$C$8=""),"",ABS((I28-1)/4-'4_BENCHMARK'!$C$8))</f>
        <v>0</v>
      </c>
      <c r="R28" s="10">
        <f>IF(OR(J28="",'4_BENCHMARK'!$C$9=""),"",ABS((J28-1)/4-'4_BENCHMARK'!$C$9))</f>
        <v>0</v>
      </c>
      <c r="S28" s="10">
        <f>IF(OR(K28="",'4_BENCHMARK'!$C$10=""),"",ABS((K28-1)/4-'4_BENCHMARK'!$C$10))</f>
        <v>0.25</v>
      </c>
      <c r="T28" s="10">
        <f>IF(OR(L28="",'4_BENCHMARK'!$C$11=""),"",ABS((L28-1)/4-'4_BENCHMARK'!$C$11))</f>
        <v>0</v>
      </c>
      <c r="U28" s="13">
        <f t="shared" si="0"/>
        <v>0.9375</v>
      </c>
      <c r="V28" s="10">
        <v>100</v>
      </c>
      <c r="W28" s="10">
        <v>72</v>
      </c>
      <c r="X28" s="21">
        <f t="shared" si="1"/>
        <v>0.72</v>
      </c>
      <c r="Y28" s="10">
        <v>4.4</v>
      </c>
      <c r="Z28" s="10" t="str">
        <f t="shared" si="2"/>
        <v/>
      </c>
      <c r="AA28" s="10" t="str">
        <f t="shared" si="3"/>
        <v/>
      </c>
      <c r="AB28" s="13">
        <f t="shared" si="4"/>
        <v>0.9375</v>
      </c>
      <c r="AC28" s="21">
        <f t="shared" si="5"/>
        <v>0.72</v>
      </c>
      <c r="AD28" s="13">
        <f t="shared" si="6"/>
        <v>0.916666666666667</v>
      </c>
      <c r="AE28" s="13" t="str">
        <f t="shared" si="7"/>
        <v/>
      </c>
      <c r="AF28" s="13">
        <f t="shared" si="8"/>
        <v>0.916666666666667</v>
      </c>
    </row>
    <row r="29" ht="14.25" customHeight="1" spans="1:32">
      <c r="A29" s="10">
        <v>25</v>
      </c>
      <c r="B29" s="18" t="s">
        <v>1467</v>
      </c>
      <c r="C29" s="10" t="s">
        <v>1463</v>
      </c>
      <c r="D29" s="10" t="s">
        <v>139</v>
      </c>
      <c r="E29" s="10">
        <v>5</v>
      </c>
      <c r="F29" s="10">
        <v>4</v>
      </c>
      <c r="G29" s="10">
        <v>5</v>
      </c>
      <c r="H29" s="10">
        <v>5</v>
      </c>
      <c r="I29" s="10">
        <v>1</v>
      </c>
      <c r="J29" s="10">
        <v>1</v>
      </c>
      <c r="K29" s="10">
        <v>3</v>
      </c>
      <c r="L29" s="10">
        <v>5</v>
      </c>
      <c r="M29" s="10">
        <f>IF(OR(E29="",'4_BENCHMARK'!$C$4=""),"",ABS((E29-1)/4-'4_BENCHMARK'!$C$4))</f>
        <v>0</v>
      </c>
      <c r="N29" s="10">
        <f>IF(OR(F29="",'4_BENCHMARK'!$C$5=""),"",ABS((F29-1)/4-'4_BENCHMARK'!$C$5))</f>
        <v>0.25</v>
      </c>
      <c r="O29" s="10">
        <f>IF(OR(G29="",'4_BENCHMARK'!$C$6=""),"",ABS((G29-1)/4-'4_BENCHMARK'!$C$6))</f>
        <v>0</v>
      </c>
      <c r="P29" s="10">
        <f>IF(OR(H29="",'4_BENCHMARK'!$C$7=""),"",ABS((H29-1)/4-'4_BENCHMARK'!$C$7))</f>
        <v>0</v>
      </c>
      <c r="Q29" s="10">
        <f>IF(OR(I29="",'4_BENCHMARK'!$C$8=""),"",ABS((I29-1)/4-'4_BENCHMARK'!$C$8))</f>
        <v>0</v>
      </c>
      <c r="R29" s="10">
        <f>IF(OR(J29="",'4_BENCHMARK'!$C$9=""),"",ABS((J29-1)/4-'4_BENCHMARK'!$C$9))</f>
        <v>0</v>
      </c>
      <c r="S29" s="10">
        <f>IF(OR(K29="",'4_BENCHMARK'!$C$10=""),"",ABS((K29-1)/4-'4_BENCHMARK'!$C$10))</f>
        <v>0</v>
      </c>
      <c r="T29" s="10">
        <f>IF(OR(L29="",'4_BENCHMARK'!$C$11=""),"",ABS((L29-1)/4-'4_BENCHMARK'!$C$11))</f>
        <v>0</v>
      </c>
      <c r="U29" s="13">
        <f t="shared" si="0"/>
        <v>0.96875</v>
      </c>
      <c r="V29" s="10">
        <v>100</v>
      </c>
      <c r="W29" s="10">
        <v>32</v>
      </c>
      <c r="X29" s="21">
        <f t="shared" si="1"/>
        <v>0.32</v>
      </c>
      <c r="Y29" s="10">
        <v>4.2</v>
      </c>
      <c r="Z29" s="10" t="str">
        <f t="shared" si="2"/>
        <v/>
      </c>
      <c r="AA29" s="10" t="str">
        <f t="shared" si="3"/>
        <v/>
      </c>
      <c r="AB29" s="13">
        <f t="shared" si="4"/>
        <v>0.96875</v>
      </c>
      <c r="AC29" s="21">
        <f t="shared" si="5"/>
        <v>0.32</v>
      </c>
      <c r="AD29" s="13">
        <f t="shared" si="6"/>
        <v>0.958333333333333</v>
      </c>
      <c r="AE29" s="13" t="str">
        <f t="shared" si="7"/>
        <v/>
      </c>
      <c r="AF29" s="13">
        <f t="shared" si="8"/>
        <v>0.958333333333333</v>
      </c>
    </row>
    <row r="30" ht="14.25" customHeight="1" spans="1:32">
      <c r="A30" s="10">
        <v>26</v>
      </c>
      <c r="B30" s="18" t="s">
        <v>1468</v>
      </c>
      <c r="C30" s="10" t="s">
        <v>1463</v>
      </c>
      <c r="D30" s="10" t="s">
        <v>139</v>
      </c>
      <c r="E30" s="10">
        <v>2</v>
      </c>
      <c r="F30" s="10">
        <v>3</v>
      </c>
      <c r="G30" s="10">
        <v>3</v>
      </c>
      <c r="H30" s="10">
        <v>5</v>
      </c>
      <c r="I30" s="10">
        <v>5</v>
      </c>
      <c r="J30" s="10">
        <v>5</v>
      </c>
      <c r="K30" s="10">
        <v>1</v>
      </c>
      <c r="L30" s="10">
        <v>5</v>
      </c>
      <c r="M30" s="10">
        <f>IF(OR(E30="",'4_BENCHMARK'!$C$4=""),"",ABS((E30-1)/4-'4_BENCHMARK'!$C$4))</f>
        <v>0.75</v>
      </c>
      <c r="N30" s="10">
        <f>IF(OR(F30="",'4_BENCHMARK'!$C$5=""),"",ABS((F30-1)/4-'4_BENCHMARK'!$C$5))</f>
        <v>0.5</v>
      </c>
      <c r="O30" s="10">
        <f>IF(OR(G30="",'4_BENCHMARK'!$C$6=""),"",ABS((G30-1)/4-'4_BENCHMARK'!$C$6))</f>
        <v>0.5</v>
      </c>
      <c r="P30" s="10">
        <f>IF(OR(H30="",'4_BENCHMARK'!$C$7=""),"",ABS((H30-1)/4-'4_BENCHMARK'!$C$7))</f>
        <v>0</v>
      </c>
      <c r="Q30" s="10">
        <f>IF(OR(I30="",'4_BENCHMARK'!$C$8=""),"",ABS((I30-1)/4-'4_BENCHMARK'!$C$8))</f>
        <v>1</v>
      </c>
      <c r="R30" s="10">
        <f>IF(OR(J30="",'4_BENCHMARK'!$C$9=""),"",ABS((J30-1)/4-'4_BENCHMARK'!$C$9))</f>
        <v>1</v>
      </c>
      <c r="S30" s="10">
        <f>IF(OR(K30="",'4_BENCHMARK'!$C$10=""),"",ABS((K30-1)/4-'4_BENCHMARK'!$C$10))</f>
        <v>0.5</v>
      </c>
      <c r="T30" s="10">
        <f>IF(OR(L30="",'4_BENCHMARK'!$C$11=""),"",ABS((L30-1)/4-'4_BENCHMARK'!$C$11))</f>
        <v>0</v>
      </c>
      <c r="U30" s="13">
        <f t="shared" si="0"/>
        <v>0.46875</v>
      </c>
      <c r="V30" s="10">
        <v>100</v>
      </c>
      <c r="W30" s="10">
        <v>39</v>
      </c>
      <c r="X30" s="21">
        <f t="shared" si="1"/>
        <v>0.39</v>
      </c>
      <c r="Y30" s="10">
        <v>3.7</v>
      </c>
      <c r="Z30" s="10" t="str">
        <f t="shared" si="2"/>
        <v/>
      </c>
      <c r="AA30" s="10" t="str">
        <f t="shared" si="3"/>
        <v/>
      </c>
      <c r="AB30" s="13">
        <f t="shared" si="4"/>
        <v>0.46875</v>
      </c>
      <c r="AC30" s="21">
        <f t="shared" si="5"/>
        <v>0.39</v>
      </c>
      <c r="AD30" s="13">
        <f t="shared" si="6"/>
        <v>0.625</v>
      </c>
      <c r="AE30" s="13" t="str">
        <f t="shared" si="7"/>
        <v/>
      </c>
      <c r="AF30" s="13">
        <f t="shared" si="8"/>
        <v>0.625</v>
      </c>
    </row>
    <row r="31" ht="14.25" customHeight="1" spans="1:32">
      <c r="A31" s="10">
        <v>27</v>
      </c>
      <c r="B31" s="18" t="s">
        <v>1469</v>
      </c>
      <c r="C31" s="10" t="s">
        <v>1463</v>
      </c>
      <c r="D31" s="10" t="s">
        <v>139</v>
      </c>
      <c r="E31" s="10">
        <v>4</v>
      </c>
      <c r="F31" s="10">
        <v>3</v>
      </c>
      <c r="G31" s="10">
        <v>4</v>
      </c>
      <c r="H31" s="10">
        <v>5</v>
      </c>
      <c r="I31" s="10">
        <v>1</v>
      </c>
      <c r="J31" s="10">
        <v>1</v>
      </c>
      <c r="K31" s="10">
        <v>2</v>
      </c>
      <c r="L31" s="10">
        <v>5</v>
      </c>
      <c r="M31" s="10">
        <f>IF(OR(E31="",'4_BENCHMARK'!$C$4=""),"",ABS((E31-1)/4-'4_BENCHMARK'!$C$4))</f>
        <v>0.25</v>
      </c>
      <c r="N31" s="10">
        <f>IF(OR(F31="",'4_BENCHMARK'!$C$5=""),"",ABS((F31-1)/4-'4_BENCHMARK'!$C$5))</f>
        <v>0.5</v>
      </c>
      <c r="O31" s="10">
        <f>IF(OR(G31="",'4_BENCHMARK'!$C$6=""),"",ABS((G31-1)/4-'4_BENCHMARK'!$C$6))</f>
        <v>0.25</v>
      </c>
      <c r="P31" s="10">
        <f>IF(OR(H31="",'4_BENCHMARK'!$C$7=""),"",ABS((H31-1)/4-'4_BENCHMARK'!$C$7))</f>
        <v>0</v>
      </c>
      <c r="Q31" s="10">
        <f>IF(OR(I31="",'4_BENCHMARK'!$C$8=""),"",ABS((I31-1)/4-'4_BENCHMARK'!$C$8))</f>
        <v>0</v>
      </c>
      <c r="R31" s="10">
        <f>IF(OR(J31="",'4_BENCHMARK'!$C$9=""),"",ABS((J31-1)/4-'4_BENCHMARK'!$C$9))</f>
        <v>0</v>
      </c>
      <c r="S31" s="10">
        <f>IF(OR(K31="",'4_BENCHMARK'!$C$10=""),"",ABS((K31-1)/4-'4_BENCHMARK'!$C$10))</f>
        <v>0.25</v>
      </c>
      <c r="T31" s="10">
        <f>IF(OR(L31="",'4_BENCHMARK'!$C$11=""),"",ABS((L31-1)/4-'4_BENCHMARK'!$C$11))</f>
        <v>0</v>
      </c>
      <c r="U31" s="13">
        <f t="shared" si="0"/>
        <v>0.84375</v>
      </c>
      <c r="V31" s="10">
        <v>100</v>
      </c>
      <c r="W31" s="10">
        <v>10</v>
      </c>
      <c r="X31" s="21">
        <f t="shared" si="1"/>
        <v>0.1</v>
      </c>
      <c r="Y31" s="10">
        <v>4.7</v>
      </c>
      <c r="Z31" s="10" t="str">
        <f t="shared" si="2"/>
        <v/>
      </c>
      <c r="AA31" s="10" t="str">
        <f t="shared" si="3"/>
        <v/>
      </c>
      <c r="AB31" s="13">
        <f t="shared" si="4"/>
        <v>0.84375</v>
      </c>
      <c r="AC31" s="21">
        <f t="shared" si="5"/>
        <v>0.1</v>
      </c>
      <c r="AD31" s="13">
        <f t="shared" si="6"/>
        <v>0.791666666666667</v>
      </c>
      <c r="AE31" s="13" t="str">
        <f t="shared" si="7"/>
        <v/>
      </c>
      <c r="AF31" s="13">
        <f t="shared" si="8"/>
        <v>0.791666666666667</v>
      </c>
    </row>
    <row r="32" ht="14.25" customHeight="1" spans="1:32">
      <c r="A32" s="10">
        <v>28</v>
      </c>
      <c r="B32" s="18" t="s">
        <v>1470</v>
      </c>
      <c r="C32" s="10" t="s">
        <v>1463</v>
      </c>
      <c r="D32" s="10" t="s">
        <v>139</v>
      </c>
      <c r="E32" s="10">
        <v>4</v>
      </c>
      <c r="F32" s="10">
        <v>3</v>
      </c>
      <c r="G32" s="10">
        <v>5</v>
      </c>
      <c r="H32" s="10">
        <v>5</v>
      </c>
      <c r="I32" s="10">
        <v>1</v>
      </c>
      <c r="J32" s="10">
        <v>1</v>
      </c>
      <c r="K32" s="10">
        <v>2</v>
      </c>
      <c r="L32" s="10">
        <v>4</v>
      </c>
      <c r="M32" s="10">
        <f>IF(OR(E32="",'4_BENCHMARK'!$C$4=""),"",ABS((E32-1)/4-'4_BENCHMARK'!$C$4))</f>
        <v>0.25</v>
      </c>
      <c r="N32" s="10">
        <f>IF(OR(F32="",'4_BENCHMARK'!$C$5=""),"",ABS((F32-1)/4-'4_BENCHMARK'!$C$5))</f>
        <v>0.5</v>
      </c>
      <c r="O32" s="10">
        <f>IF(OR(G32="",'4_BENCHMARK'!$C$6=""),"",ABS((G32-1)/4-'4_BENCHMARK'!$C$6))</f>
        <v>0</v>
      </c>
      <c r="P32" s="10">
        <f>IF(OR(H32="",'4_BENCHMARK'!$C$7=""),"",ABS((H32-1)/4-'4_BENCHMARK'!$C$7))</f>
        <v>0</v>
      </c>
      <c r="Q32" s="10">
        <f>IF(OR(I32="",'4_BENCHMARK'!$C$8=""),"",ABS((I32-1)/4-'4_BENCHMARK'!$C$8))</f>
        <v>0</v>
      </c>
      <c r="R32" s="10">
        <f>IF(OR(J32="",'4_BENCHMARK'!$C$9=""),"",ABS((J32-1)/4-'4_BENCHMARK'!$C$9))</f>
        <v>0</v>
      </c>
      <c r="S32" s="10">
        <f>IF(OR(K32="",'4_BENCHMARK'!$C$10=""),"",ABS((K32-1)/4-'4_BENCHMARK'!$C$10))</f>
        <v>0.25</v>
      </c>
      <c r="T32" s="10">
        <f>IF(OR(L32="",'4_BENCHMARK'!$C$11=""),"",ABS((L32-1)/4-'4_BENCHMARK'!$C$11))</f>
        <v>0.25</v>
      </c>
      <c r="U32" s="13">
        <f t="shared" si="0"/>
        <v>0.84375</v>
      </c>
      <c r="V32" s="10">
        <v>100</v>
      </c>
      <c r="W32" s="10">
        <v>2</v>
      </c>
      <c r="X32" s="21">
        <f t="shared" si="1"/>
        <v>0.02</v>
      </c>
      <c r="Y32" s="10">
        <v>4.8</v>
      </c>
      <c r="Z32" s="10" t="str">
        <f t="shared" si="2"/>
        <v/>
      </c>
      <c r="AA32" s="10" t="str">
        <f t="shared" si="3"/>
        <v/>
      </c>
      <c r="AB32" s="13">
        <f t="shared" si="4"/>
        <v>0.84375</v>
      </c>
      <c r="AC32" s="21">
        <f t="shared" si="5"/>
        <v>0.02</v>
      </c>
      <c r="AD32" s="13">
        <f t="shared" si="6"/>
        <v>0.791666666666667</v>
      </c>
      <c r="AE32" s="13" t="str">
        <f t="shared" si="7"/>
        <v/>
      </c>
      <c r="AF32" s="13">
        <f t="shared" si="8"/>
        <v>0.791666666666667</v>
      </c>
    </row>
    <row r="33" ht="14.25" customHeight="1" spans="1:32">
      <c r="A33" s="10">
        <v>29</v>
      </c>
      <c r="B33" s="18" t="s">
        <v>1471</v>
      </c>
      <c r="C33" s="10" t="s">
        <v>1463</v>
      </c>
      <c r="D33" s="10" t="s">
        <v>139</v>
      </c>
      <c r="E33" s="10">
        <v>3</v>
      </c>
      <c r="F33" s="10">
        <v>4</v>
      </c>
      <c r="G33" s="10">
        <v>4</v>
      </c>
      <c r="H33" s="10">
        <v>5</v>
      </c>
      <c r="I33" s="10">
        <v>1</v>
      </c>
      <c r="J33" s="10">
        <v>1</v>
      </c>
      <c r="K33" s="10">
        <v>2</v>
      </c>
      <c r="L33" s="10">
        <v>5</v>
      </c>
      <c r="M33" s="10">
        <f>IF(OR(E33="",'4_BENCHMARK'!$C$4=""),"",ABS((E33-1)/4-'4_BENCHMARK'!$C$4))</f>
        <v>0.5</v>
      </c>
      <c r="N33" s="10">
        <f>IF(OR(F33="",'4_BENCHMARK'!$C$5=""),"",ABS((F33-1)/4-'4_BENCHMARK'!$C$5))</f>
        <v>0.25</v>
      </c>
      <c r="O33" s="10">
        <f>IF(OR(G33="",'4_BENCHMARK'!$C$6=""),"",ABS((G33-1)/4-'4_BENCHMARK'!$C$6))</f>
        <v>0.25</v>
      </c>
      <c r="P33" s="10">
        <f>IF(OR(H33="",'4_BENCHMARK'!$C$7=""),"",ABS((H33-1)/4-'4_BENCHMARK'!$C$7))</f>
        <v>0</v>
      </c>
      <c r="Q33" s="10">
        <f>IF(OR(I33="",'4_BENCHMARK'!$C$8=""),"",ABS((I33-1)/4-'4_BENCHMARK'!$C$8))</f>
        <v>0</v>
      </c>
      <c r="R33" s="10">
        <f>IF(OR(J33="",'4_BENCHMARK'!$C$9=""),"",ABS((J33-1)/4-'4_BENCHMARK'!$C$9))</f>
        <v>0</v>
      </c>
      <c r="S33" s="10">
        <f>IF(OR(K33="",'4_BENCHMARK'!$C$10=""),"",ABS((K33-1)/4-'4_BENCHMARK'!$C$10))</f>
        <v>0.25</v>
      </c>
      <c r="T33" s="10">
        <f>IF(OR(L33="",'4_BENCHMARK'!$C$11=""),"",ABS((L33-1)/4-'4_BENCHMARK'!$C$11))</f>
        <v>0</v>
      </c>
      <c r="U33" s="13">
        <f t="shared" si="0"/>
        <v>0.84375</v>
      </c>
      <c r="V33" s="10">
        <v>100</v>
      </c>
      <c r="W33" s="10">
        <v>11</v>
      </c>
      <c r="X33" s="21">
        <f t="shared" si="1"/>
        <v>0.11</v>
      </c>
      <c r="Y33" s="10">
        <v>4.8</v>
      </c>
      <c r="Z33" s="10" t="str">
        <f t="shared" si="2"/>
        <v/>
      </c>
      <c r="AA33" s="10" t="str">
        <f t="shared" si="3"/>
        <v/>
      </c>
      <c r="AB33" s="13">
        <f t="shared" si="4"/>
        <v>0.84375</v>
      </c>
      <c r="AC33" s="21">
        <f t="shared" si="5"/>
        <v>0.11</v>
      </c>
      <c r="AD33" s="13">
        <f t="shared" si="6"/>
        <v>0.791666666666667</v>
      </c>
      <c r="AE33" s="13" t="str">
        <f t="shared" si="7"/>
        <v/>
      </c>
      <c r="AF33" s="13">
        <f t="shared" si="8"/>
        <v>0.791666666666667</v>
      </c>
    </row>
    <row r="34" ht="14.25" customHeight="1" spans="1:32">
      <c r="A34" s="10">
        <v>30</v>
      </c>
      <c r="B34" s="19" t="s">
        <v>1472</v>
      </c>
      <c r="C34" s="10" t="s">
        <v>1463</v>
      </c>
      <c r="D34" s="10" t="s">
        <v>139</v>
      </c>
      <c r="E34" s="10">
        <v>2</v>
      </c>
      <c r="F34" s="10">
        <v>2</v>
      </c>
      <c r="G34" s="10">
        <v>3</v>
      </c>
      <c r="H34" s="10">
        <v>4</v>
      </c>
      <c r="I34" s="10">
        <v>1</v>
      </c>
      <c r="J34" s="10">
        <v>1</v>
      </c>
      <c r="K34" s="10">
        <v>2</v>
      </c>
      <c r="L34" s="10">
        <v>4</v>
      </c>
      <c r="M34" s="10">
        <f>IF(OR(E34="",'4_BENCHMARK'!$C$4=""),"",ABS((E34-1)/4-'4_BENCHMARK'!$C$4))</f>
        <v>0.75</v>
      </c>
      <c r="N34" s="10">
        <f>IF(OR(F34="",'4_BENCHMARK'!$C$5=""),"",ABS((F34-1)/4-'4_BENCHMARK'!$C$5))</f>
        <v>0.75</v>
      </c>
      <c r="O34" s="10">
        <f>IF(OR(G34="",'4_BENCHMARK'!$C$6=""),"",ABS((G34-1)/4-'4_BENCHMARK'!$C$6))</f>
        <v>0.5</v>
      </c>
      <c r="P34" s="10">
        <f>IF(OR(H34="",'4_BENCHMARK'!$C$7=""),"",ABS((H34-1)/4-'4_BENCHMARK'!$C$7))</f>
        <v>0.25</v>
      </c>
      <c r="Q34" s="10">
        <f>IF(OR(I34="",'4_BENCHMARK'!$C$8=""),"",ABS((I34-1)/4-'4_BENCHMARK'!$C$8))</f>
        <v>0</v>
      </c>
      <c r="R34" s="10">
        <f>IF(OR(J34="",'4_BENCHMARK'!$C$9=""),"",ABS((J34-1)/4-'4_BENCHMARK'!$C$9))</f>
        <v>0</v>
      </c>
      <c r="S34" s="10">
        <f>IF(OR(K34="",'4_BENCHMARK'!$C$10=""),"",ABS((K34-1)/4-'4_BENCHMARK'!$C$10))</f>
        <v>0.25</v>
      </c>
      <c r="T34" s="10">
        <f>IF(OR(L34="",'4_BENCHMARK'!$C$11=""),"",ABS((L34-1)/4-'4_BENCHMARK'!$C$11))</f>
        <v>0.25</v>
      </c>
      <c r="U34" s="13">
        <f t="shared" si="0"/>
        <v>0.65625</v>
      </c>
      <c r="V34" s="10">
        <v>100</v>
      </c>
      <c r="W34" s="10">
        <v>23</v>
      </c>
      <c r="X34" s="21">
        <f t="shared" si="1"/>
        <v>0.23</v>
      </c>
      <c r="Y34" s="10">
        <v>4.2</v>
      </c>
      <c r="Z34" s="10" t="str">
        <f t="shared" si="2"/>
        <v/>
      </c>
      <c r="AA34" s="10" t="str">
        <f t="shared" si="3"/>
        <v/>
      </c>
      <c r="AB34" s="13">
        <f t="shared" si="4"/>
        <v>0.65625</v>
      </c>
      <c r="AC34" s="21">
        <f t="shared" si="5"/>
        <v>0.23</v>
      </c>
      <c r="AD34" s="13">
        <f t="shared" si="6"/>
        <v>0.541666666666667</v>
      </c>
      <c r="AE34" s="13" t="str">
        <f t="shared" si="7"/>
        <v/>
      </c>
      <c r="AF34" s="13">
        <f t="shared" si="8"/>
        <v>0.541666666666667</v>
      </c>
    </row>
    <row r="35" ht="14.25" customHeight="1" spans="22:22">
      <c r="V35" s="10"/>
    </row>
  </sheetData>
  <dataValidations count="3">
    <dataValidation type="list" allowBlank="1" sqref="C5:C34">
      <formula1>"LV,control"</formula1>
    </dataValidation>
    <dataValidation type="list" allowBlank="1" sqref="D5:D34">
      <formula1>"yes,no"</formula1>
    </dataValidation>
    <dataValidation type="whole" operator="between" allowBlank="1" sqref="E5:L34">
      <formula1>1</formula1>
      <formula2>5</formula2>
    </dataValidation>
  </dataValidations>
  <pageMargins left="0.75" right="0.75" top="1" bottom="1" header="0.511811023622047" footer="0.511811023622047"/>
  <pageSetup paperSize="9" orientation="portrait" horizontalDpi="300" verticalDpi="300"/>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39"/>
  <sheetViews>
    <sheetView zoomScale="140" zoomScaleNormal="140" topLeftCell="A24" workbookViewId="0">
      <selection activeCell="A4" sqref="A4"/>
    </sheetView>
  </sheetViews>
  <sheetFormatPr defaultColWidth="8.66666666666667" defaultRowHeight="14.4" outlineLevelCol="2"/>
  <cols>
    <col min="1" max="1" width="52" style="1" customWidth="1"/>
    <col min="2" max="2" width="16" style="1" customWidth="1"/>
    <col min="3" max="3" width="60" style="1" customWidth="1"/>
  </cols>
  <sheetData>
    <row r="1" ht="17.25" customHeight="1" spans="1:1">
      <c r="A1" s="2" t="s">
        <v>1473</v>
      </c>
    </row>
    <row r="3" ht="14.25" customHeight="1" spans="1:1">
      <c r="A3" s="9" t="s">
        <v>1474</v>
      </c>
    </row>
    <row r="4" ht="17.25" customHeight="1" spans="1:3">
      <c r="A4" s="10" t="s">
        <v>1475</v>
      </c>
      <c r="B4" s="11">
        <f>IFERROR(CORREL('6_SURVEY'!U5:U34,'6_SURVEY'!X5:X34),"no data")</f>
        <v>-0.0763734614256307</v>
      </c>
      <c r="C4" s="8" t="s">
        <v>1476</v>
      </c>
    </row>
    <row r="5" ht="14.25" customHeight="1" spans="1:3">
      <c r="A5" s="10" t="s">
        <v>1477</v>
      </c>
      <c r="B5" s="12">
        <f>IFERROR(CORREL('6_SURVEY'!Z5:Z34,'6_SURVEY'!AA5:AA34),"no data")</f>
        <v>-0.00140622276535358</v>
      </c>
      <c r="C5" s="8" t="s">
        <v>1478</v>
      </c>
    </row>
    <row r="6" ht="14.25" customHeight="1" spans="1:3">
      <c r="A6" s="10" t="s">
        <v>1479</v>
      </c>
      <c r="B6" s="12">
        <f>IFERROR(CORREL('6_SURVEY'!AB5:AB34,'6_SURVEY'!AC5:AC34),"no data")</f>
        <v>0.116778521924879</v>
      </c>
      <c r="C6" s="8" t="s">
        <v>1480</v>
      </c>
    </row>
    <row r="7" ht="14.25" customHeight="1" spans="1:1">
      <c r="A7" s="9" t="s">
        <v>1481</v>
      </c>
    </row>
    <row r="8" ht="14.25" customHeight="1" spans="1:3">
      <c r="A8" s="10" t="s">
        <v>1482</v>
      </c>
      <c r="B8" s="13">
        <f>IFERROR(CORREL('6_SURVEY'!AD5:AD34,'6_SURVEY'!X5:X34),"no data")</f>
        <v>0.434080548165104</v>
      </c>
      <c r="C8" s="8" t="s">
        <v>1483</v>
      </c>
    </row>
    <row r="9" ht="14.25" customHeight="1" spans="1:3">
      <c r="A9" s="10" t="s">
        <v>1477</v>
      </c>
      <c r="B9" s="13">
        <f>IFERROR(CORREL('6_SURVEY'!AE5:AE34,'6_SURVEY'!AA5:AA34),"no data")</f>
        <v>0.505361368262584</v>
      </c>
      <c r="C9" s="8" t="s">
        <v>1484</v>
      </c>
    </row>
    <row r="10" ht="14.25" customHeight="1" spans="1:3">
      <c r="A10" s="10" t="s">
        <v>1479</v>
      </c>
      <c r="B10" s="13">
        <f>IFERROR(CORREL('6_SURVEY'!AF5:AF34,'6_SURVEY'!AC5:AC34),"no data")</f>
        <v>0.568515749033173</v>
      </c>
      <c r="C10" s="8" t="s">
        <v>1485</v>
      </c>
    </row>
    <row r="11" ht="30" customHeight="1" spans="1:1">
      <c r="A11" s="3" t="s">
        <v>1486</v>
      </c>
    </row>
    <row r="13" ht="14.25" customHeight="1" spans="1:1">
      <c r="A13" s="9" t="s">
        <v>1487</v>
      </c>
    </row>
    <row r="14" ht="14.25" customHeight="1" spans="1:3">
      <c r="A14" s="10" t="s">
        <v>1488</v>
      </c>
      <c r="B14" s="14">
        <f>IFERROR(AVERAGEIF('6_SURVEY'!C5:C34,"LV",'6_SURVEY'!X5:X34),"no data")</f>
        <v>0.5135</v>
      </c>
      <c r="C14" s="8" t="s">
        <v>1489</v>
      </c>
    </row>
    <row r="15" ht="14.25" customHeight="1" spans="1:3">
      <c r="A15" s="10" t="s">
        <v>1490</v>
      </c>
      <c r="B15" s="14">
        <f>IFERROR(AVERAGEIF('6_SURVEY'!C5:C34,"control",'6_SURVEY'!X5:X34),"no data")</f>
        <v>0.306</v>
      </c>
      <c r="C15" s="8" t="s">
        <v>1491</v>
      </c>
    </row>
    <row r="17" ht="14.25" customHeight="1" spans="1:1">
      <c r="A17" s="9" t="s">
        <v>1492</v>
      </c>
    </row>
    <row r="18" ht="14.25" customHeight="1" spans="1:3">
      <c r="A18" s="10" t="s">
        <v>1493</v>
      </c>
      <c r="B18" s="12">
        <f>COUNTIF('3_OBJECTS'!$I$5:$I$464,"yes")</f>
        <v>400</v>
      </c>
      <c r="C18" s="8" t="s">
        <v>1494</v>
      </c>
    </row>
    <row r="19" ht="14.25" customHeight="1" spans="1:3">
      <c r="A19" s="10" t="s">
        <v>1495</v>
      </c>
      <c r="B19" s="12">
        <f>COUNTIFS('3_OBJECTS'!$I$5:$I$464,"yes",'3_OBJECTS'!$C$5:$C$464,"&lt;=1949")</f>
        <v>124</v>
      </c>
      <c r="C19" s="8" t="s">
        <v>1496</v>
      </c>
    </row>
    <row r="20" ht="14.25" customHeight="1" spans="1:3">
      <c r="A20" s="10" t="s">
        <v>1497</v>
      </c>
      <c r="B20" s="12">
        <f>COUNTIF('3_OBJECTS'!$AR$5:$AR$464,"yes")</f>
        <v>20</v>
      </c>
      <c r="C20" s="8" t="s">
        <v>1498</v>
      </c>
    </row>
    <row r="22" ht="14.25" customHeight="1" spans="1:1">
      <c r="A22" s="9" t="s">
        <v>1499</v>
      </c>
    </row>
    <row r="23" ht="14.25" customHeight="1" spans="1:3">
      <c r="A23" s="15" t="s">
        <v>1500</v>
      </c>
      <c r="C23" s="10" t="s">
        <v>1501</v>
      </c>
    </row>
    <row r="24" ht="14.25" customHeight="1" spans="1:3">
      <c r="A24" s="15" t="s">
        <v>1502</v>
      </c>
      <c r="C24" s="10" t="s">
        <v>1503</v>
      </c>
    </row>
    <row r="25" ht="14.25" customHeight="1" spans="1:3">
      <c r="A25" s="15" t="s">
        <v>1504</v>
      </c>
      <c r="C25" s="10" t="s">
        <v>1505</v>
      </c>
    </row>
    <row r="26" ht="14.25" customHeight="1" spans="1:3">
      <c r="A26" s="15" t="s">
        <v>1506</v>
      </c>
      <c r="C26" s="10" t="s">
        <v>1507</v>
      </c>
    </row>
    <row r="28" ht="14.25" customHeight="1" spans="1:1">
      <c r="A28" s="8" t="s">
        <v>1508</v>
      </c>
    </row>
    <row r="30" ht="14.25" customHeight="1" spans="1:1">
      <c r="A30" s="9" t="s">
        <v>1509</v>
      </c>
    </row>
    <row r="31" ht="14.25" customHeight="1" spans="1:3">
      <c r="A31" s="10" t="s">
        <v>1510</v>
      </c>
      <c r="B31" s="10">
        <f>COUNTIF('3_OBJECTS'!$E$5:$E$464,"Christie's")</f>
        <v>248</v>
      </c>
      <c r="C31" s="8" t="s">
        <v>1511</v>
      </c>
    </row>
    <row r="32" ht="14.25" customHeight="1" spans="1:3">
      <c r="A32" s="10" t="s">
        <v>1512</v>
      </c>
      <c r="B32" s="10">
        <f>COUNTA('3_OBJECTS'!$E$5:$E$464)-COUNTIF('3_OBJECTS'!$E$5:$E$464,"Christie's")</f>
        <v>152</v>
      </c>
      <c r="C32" s="8" t="s">
        <v>1513</v>
      </c>
    </row>
    <row r="33" ht="14.25" customHeight="1" spans="1:3">
      <c r="A33" s="10" t="s">
        <v>1514</v>
      </c>
      <c r="B33" s="10">
        <f>COUNTIFS('3_OBJECTS'!$C$5:$C$464,"&lt;=1949",'3_OBJECTS'!$AS$5:$AS$464,'5_TIMELINE'!$B$3)</f>
        <v>107</v>
      </c>
      <c r="C33" s="8" t="s">
        <v>1515</v>
      </c>
    </row>
    <row r="34" ht="14.25" customHeight="1" spans="1:3">
      <c r="A34" s="10" t="s">
        <v>1516</v>
      </c>
      <c r="B34" s="10">
        <f>COUNTIF('3_OBJECTS'!$C$5:$C$464,"&lt;=1949")-COUNTIFS('3_OBJECTS'!$C$5:$C$464,"&lt;=1949",'3_OBJECTS'!$AS$5:$AS$464,'5_TIMELINE'!$B$3)</f>
        <v>17</v>
      </c>
      <c r="C34" s="8" t="s">
        <v>1517</v>
      </c>
    </row>
    <row r="36" ht="14.25" customHeight="1" spans="1:1">
      <c r="A36" s="9" t="s">
        <v>1518</v>
      </c>
    </row>
    <row r="37" ht="14.25" customHeight="1" spans="1:2">
      <c r="A37" s="10" t="s">
        <v>1519</v>
      </c>
      <c r="B37" s="16">
        <f>IFERROR(AVERAGEIFS('3_OBJECTS'!$AQ$5:$AQ$464,'3_OBJECTS'!$I$5:$I$464,"yes"),"")</f>
        <v>0.7403125</v>
      </c>
    </row>
    <row r="38" ht="14.25" customHeight="1" spans="1:2">
      <c r="A38" s="10" t="s">
        <v>1520</v>
      </c>
      <c r="B38" s="16">
        <f>IFERROR(AVERAGEIFS('3_OBJECTS'!$AT$5:$AT$464,'3_OBJECTS'!$I$5:$I$464,"yes"),"")</f>
        <v>0.872395833333332</v>
      </c>
    </row>
    <row r="39" ht="14.25" customHeight="1" spans="1:3">
      <c r="A39" s="10" t="s">
        <v>1521</v>
      </c>
      <c r="B39" s="16">
        <f>IFERROR(B38-B37,"")</f>
        <v>0.132083333333332</v>
      </c>
      <c r="C39" s="8" t="s">
        <v>1522</v>
      </c>
    </row>
  </sheetData>
  <pageMargins left="0.75" right="0.75" top="1" bottom="1" header="0.511811023622047" footer="0.511811023622047"/>
  <pageSetup paperSize="9" orientation="portrait" horizontalDpi="300" verticalDpi="300"/>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7"/>
  <sheetViews>
    <sheetView workbookViewId="0">
      <pane ySplit="4" topLeftCell="A5" activePane="bottomLeft" state="frozen"/>
      <selection/>
      <selection pane="bottomLeft" activeCell="M23" sqref="M23"/>
    </sheetView>
  </sheetViews>
  <sheetFormatPr defaultColWidth="8.66666666666667" defaultRowHeight="14.4" outlineLevelCol="6"/>
  <cols>
    <col min="1" max="6" width="13" style="1" customWidth="1"/>
    <col min="7" max="7" width="9" style="1" customWidth="1"/>
    <col min="8" max="8" width="10" style="1" customWidth="1"/>
  </cols>
  <sheetData>
    <row r="1" ht="15" customHeight="1" spans="1:1">
      <c r="A1" s="2" t="s">
        <v>1523</v>
      </c>
    </row>
    <row r="2" ht="25.5" customHeight="1" spans="1:1">
      <c r="A2" s="3" t="s">
        <v>1524</v>
      </c>
    </row>
    <row r="4" ht="27.75" customHeight="1" spans="1:7">
      <c r="A4" s="4" t="s">
        <v>84</v>
      </c>
      <c r="B4" s="5" t="s">
        <v>141</v>
      </c>
      <c r="C4" s="5" t="s">
        <v>149</v>
      </c>
      <c r="D4" s="5" t="s">
        <v>145</v>
      </c>
      <c r="E4" s="5" t="s">
        <v>230</v>
      </c>
      <c r="F4" s="5" t="s">
        <v>299</v>
      </c>
      <c r="G4" s="4" t="s">
        <v>1525</v>
      </c>
    </row>
    <row r="5" ht="14.25" customHeight="1" spans="1:7">
      <c r="A5" s="6">
        <v>1850</v>
      </c>
      <c r="B5" s="6">
        <f>COUNTIFS('3_OBJECTS'!$D$5:$D$464,$A5,'3_OBJECTS'!$I$5:$I$464,"yes",'3_OBJECTS'!$AS$5:$AS$464,"trunk")</f>
        <v>1</v>
      </c>
      <c r="C5" s="6">
        <f>COUNTIFS('3_OBJECTS'!$D$5:$D$464,$A5,'3_OBJECTS'!$I$5:$I$464,"yes",'3_OBJECTS'!$AS$5:$AS$464,"suitcase")</f>
        <v>0</v>
      </c>
      <c r="D5" s="6">
        <f>COUNTIFS('3_OBJECTS'!$D$5:$D$464,$A5,'3_OBJECTS'!$I$5:$I$464,"yes",'3_OBJECTS'!$AS$5:$AS$464,"bag")</f>
        <v>0</v>
      </c>
      <c r="E5" s="6">
        <f>COUNTIFS('3_OBJECTS'!$D$5:$D$464,$A5,'3_OBJECTS'!$I$5:$I$464,"yes",'3_OBJECTS'!$AS$5:$AS$464,"case")</f>
        <v>0</v>
      </c>
      <c r="F5" s="6">
        <f>COUNTIFS('3_OBJECTS'!$D$5:$D$464,$A5,'3_OBJECTS'!$I$5:$I$464,"yes",'3_OBJECTS'!$AS$5:$AS$464,"other")</f>
        <v>0</v>
      </c>
      <c r="G5" s="6">
        <f t="shared" ref="G5:G22" si="0">SUM(B5:F5)</f>
        <v>1</v>
      </c>
    </row>
    <row r="6" ht="14.25" customHeight="1" spans="1:7">
      <c r="A6" s="6">
        <v>1860</v>
      </c>
      <c r="B6" s="6">
        <f>COUNTIFS('3_OBJECTS'!$D$5:$D$464,$A6,'3_OBJECTS'!$I$5:$I$464,"yes",'3_OBJECTS'!$AS$5:$AS$464,"trunk")</f>
        <v>6</v>
      </c>
      <c r="C6" s="6">
        <f>COUNTIFS('3_OBJECTS'!$D$5:$D$464,$A6,'3_OBJECTS'!$I$5:$I$464,"yes",'3_OBJECTS'!$AS$5:$AS$464,"suitcase")</f>
        <v>0</v>
      </c>
      <c r="D6" s="6">
        <f>COUNTIFS('3_OBJECTS'!$D$5:$D$464,$A6,'3_OBJECTS'!$I$5:$I$464,"yes",'3_OBJECTS'!$AS$5:$AS$464,"bag")</f>
        <v>0</v>
      </c>
      <c r="E6" s="6">
        <f>COUNTIFS('3_OBJECTS'!$D$5:$D$464,$A6,'3_OBJECTS'!$I$5:$I$464,"yes",'3_OBJECTS'!$AS$5:$AS$464,"case")</f>
        <v>0</v>
      </c>
      <c r="F6" s="6">
        <f>COUNTIFS('3_OBJECTS'!$D$5:$D$464,$A6,'3_OBJECTS'!$I$5:$I$464,"yes",'3_OBJECTS'!$AS$5:$AS$464,"other")</f>
        <v>0</v>
      </c>
      <c r="G6" s="6">
        <f t="shared" si="0"/>
        <v>6</v>
      </c>
    </row>
    <row r="7" ht="14.25" customHeight="1" spans="1:7">
      <c r="A7" s="6">
        <v>1870</v>
      </c>
      <c r="B7" s="6">
        <f>COUNTIFS('3_OBJECTS'!$D$5:$D$464,$A7,'3_OBJECTS'!$I$5:$I$464,"yes",'3_OBJECTS'!$AS$5:$AS$464,"trunk")</f>
        <v>12</v>
      </c>
      <c r="C7" s="6">
        <f>COUNTIFS('3_OBJECTS'!$D$5:$D$464,$A7,'3_OBJECTS'!$I$5:$I$464,"yes",'3_OBJECTS'!$AS$5:$AS$464,"suitcase")</f>
        <v>0</v>
      </c>
      <c r="D7" s="6">
        <f>COUNTIFS('3_OBJECTS'!$D$5:$D$464,$A7,'3_OBJECTS'!$I$5:$I$464,"yes",'3_OBJECTS'!$AS$5:$AS$464,"bag")</f>
        <v>0</v>
      </c>
      <c r="E7" s="6">
        <f>COUNTIFS('3_OBJECTS'!$D$5:$D$464,$A7,'3_OBJECTS'!$I$5:$I$464,"yes",'3_OBJECTS'!$AS$5:$AS$464,"case")</f>
        <v>0</v>
      </c>
      <c r="F7" s="6">
        <f>COUNTIFS('3_OBJECTS'!$D$5:$D$464,$A7,'3_OBJECTS'!$I$5:$I$464,"yes",'3_OBJECTS'!$AS$5:$AS$464,"other")</f>
        <v>0</v>
      </c>
      <c r="G7" s="6">
        <f t="shared" si="0"/>
        <v>12</v>
      </c>
    </row>
    <row r="8" ht="14.25" customHeight="1" spans="1:7">
      <c r="A8" s="6">
        <v>1880</v>
      </c>
      <c r="B8" s="6">
        <f>COUNTIFS('3_OBJECTS'!$D$5:$D$464,$A8,'3_OBJECTS'!$I$5:$I$464,"yes",'3_OBJECTS'!$AS$5:$AS$464,"trunk")</f>
        <v>12</v>
      </c>
      <c r="C8" s="6">
        <f>COUNTIFS('3_OBJECTS'!$D$5:$D$464,$A8,'3_OBJECTS'!$I$5:$I$464,"yes",'3_OBJECTS'!$AS$5:$AS$464,"suitcase")</f>
        <v>0</v>
      </c>
      <c r="D8" s="6">
        <f>COUNTIFS('3_OBJECTS'!$D$5:$D$464,$A8,'3_OBJECTS'!$I$5:$I$464,"yes",'3_OBJECTS'!$AS$5:$AS$464,"bag")</f>
        <v>0</v>
      </c>
      <c r="E8" s="6">
        <f>COUNTIFS('3_OBJECTS'!$D$5:$D$464,$A8,'3_OBJECTS'!$I$5:$I$464,"yes",'3_OBJECTS'!$AS$5:$AS$464,"case")</f>
        <v>0</v>
      </c>
      <c r="F8" s="6">
        <f>COUNTIFS('3_OBJECTS'!$D$5:$D$464,$A8,'3_OBJECTS'!$I$5:$I$464,"yes",'3_OBJECTS'!$AS$5:$AS$464,"other")</f>
        <v>0</v>
      </c>
      <c r="G8" s="6">
        <f t="shared" si="0"/>
        <v>12</v>
      </c>
    </row>
    <row r="9" ht="14.25" customHeight="1" spans="1:7">
      <c r="A9" s="6">
        <v>1890</v>
      </c>
      <c r="B9" s="6">
        <f>COUNTIFS('3_OBJECTS'!$D$5:$D$464,$A9,'3_OBJECTS'!$I$5:$I$464,"yes",'3_OBJECTS'!$AS$5:$AS$464,"trunk")</f>
        <v>11</v>
      </c>
      <c r="C9" s="6">
        <f>COUNTIFS('3_OBJECTS'!$D$5:$D$464,$A9,'3_OBJECTS'!$I$5:$I$464,"yes",'3_OBJECTS'!$AS$5:$AS$464,"suitcase")</f>
        <v>1</v>
      </c>
      <c r="D9" s="6">
        <f>COUNTIFS('3_OBJECTS'!$D$5:$D$464,$A9,'3_OBJECTS'!$I$5:$I$464,"yes",'3_OBJECTS'!$AS$5:$AS$464,"bag")</f>
        <v>0</v>
      </c>
      <c r="E9" s="6">
        <f>COUNTIFS('3_OBJECTS'!$D$5:$D$464,$A9,'3_OBJECTS'!$I$5:$I$464,"yes",'3_OBJECTS'!$AS$5:$AS$464,"case")</f>
        <v>0</v>
      </c>
      <c r="F9" s="6">
        <f>COUNTIFS('3_OBJECTS'!$D$5:$D$464,$A9,'3_OBJECTS'!$I$5:$I$464,"yes",'3_OBJECTS'!$AS$5:$AS$464,"other")</f>
        <v>0</v>
      </c>
      <c r="G9" s="6">
        <f t="shared" si="0"/>
        <v>12</v>
      </c>
    </row>
    <row r="10" ht="14.25" customHeight="1" spans="1:7">
      <c r="A10" s="6">
        <v>1900</v>
      </c>
      <c r="B10" s="6">
        <f>COUNTIFS('3_OBJECTS'!$D$5:$D$464,$A10,'3_OBJECTS'!$I$5:$I$464,"yes",'3_OBJECTS'!$AS$5:$AS$464,"trunk")</f>
        <v>14</v>
      </c>
      <c r="C10" s="6">
        <f>COUNTIFS('3_OBJECTS'!$D$5:$D$464,$A10,'3_OBJECTS'!$I$5:$I$464,"yes",'3_OBJECTS'!$AS$5:$AS$464,"suitcase")</f>
        <v>0</v>
      </c>
      <c r="D10" s="6">
        <f>COUNTIFS('3_OBJECTS'!$D$5:$D$464,$A10,'3_OBJECTS'!$I$5:$I$464,"yes",'3_OBJECTS'!$AS$5:$AS$464,"bag")</f>
        <v>0</v>
      </c>
      <c r="E10" s="6">
        <f>COUNTIFS('3_OBJECTS'!$D$5:$D$464,$A10,'3_OBJECTS'!$I$5:$I$464,"yes",'3_OBJECTS'!$AS$5:$AS$464,"case")</f>
        <v>1</v>
      </c>
      <c r="F10" s="6">
        <f>COUNTIFS('3_OBJECTS'!$D$5:$D$464,$A10,'3_OBJECTS'!$I$5:$I$464,"yes",'3_OBJECTS'!$AS$5:$AS$464,"other")</f>
        <v>0</v>
      </c>
      <c r="G10" s="6">
        <f t="shared" si="0"/>
        <v>15</v>
      </c>
    </row>
    <row r="11" ht="14.25" customHeight="1" spans="1:7">
      <c r="A11" s="6">
        <v>1910</v>
      </c>
      <c r="B11" s="6">
        <f>COUNTIFS('3_OBJECTS'!$D$5:$D$464,$A11,'3_OBJECTS'!$I$5:$I$464,"yes",'3_OBJECTS'!$AS$5:$AS$464,"trunk")</f>
        <v>15</v>
      </c>
      <c r="C11" s="6">
        <f>COUNTIFS('3_OBJECTS'!$D$5:$D$464,$A11,'3_OBJECTS'!$I$5:$I$464,"yes",'3_OBJECTS'!$AS$5:$AS$464,"suitcase")</f>
        <v>1</v>
      </c>
      <c r="D11" s="6">
        <f>COUNTIFS('3_OBJECTS'!$D$5:$D$464,$A11,'3_OBJECTS'!$I$5:$I$464,"yes",'3_OBJECTS'!$AS$5:$AS$464,"bag")</f>
        <v>0</v>
      </c>
      <c r="E11" s="6">
        <f>COUNTIFS('3_OBJECTS'!$D$5:$D$464,$A11,'3_OBJECTS'!$I$5:$I$464,"yes",'3_OBJECTS'!$AS$5:$AS$464,"case")</f>
        <v>2</v>
      </c>
      <c r="F11" s="6">
        <f>COUNTIFS('3_OBJECTS'!$D$5:$D$464,$A11,'3_OBJECTS'!$I$5:$I$464,"yes",'3_OBJECTS'!$AS$5:$AS$464,"other")</f>
        <v>0</v>
      </c>
      <c r="G11" s="6">
        <f t="shared" si="0"/>
        <v>18</v>
      </c>
    </row>
    <row r="12" ht="14.25" customHeight="1" spans="1:7">
      <c r="A12" s="6">
        <v>1920</v>
      </c>
      <c r="B12" s="6">
        <f>COUNTIFS('3_OBJECTS'!$D$5:$D$464,$A12,'3_OBJECTS'!$I$5:$I$464,"yes",'3_OBJECTS'!$AS$5:$AS$464,"trunk")</f>
        <v>17</v>
      </c>
      <c r="C12" s="6">
        <f>COUNTIFS('3_OBJECTS'!$D$5:$D$464,$A12,'3_OBJECTS'!$I$5:$I$464,"yes",'3_OBJECTS'!$AS$5:$AS$464,"suitcase")</f>
        <v>1</v>
      </c>
      <c r="D12" s="6">
        <f>COUNTIFS('3_OBJECTS'!$D$5:$D$464,$A12,'3_OBJECTS'!$I$5:$I$464,"yes",'3_OBJECTS'!$AS$5:$AS$464,"bag")</f>
        <v>0</v>
      </c>
      <c r="E12" s="6">
        <f>COUNTIFS('3_OBJECTS'!$D$5:$D$464,$A12,'3_OBJECTS'!$I$5:$I$464,"yes",'3_OBJECTS'!$AS$5:$AS$464,"case")</f>
        <v>1</v>
      </c>
      <c r="F12" s="6">
        <f>COUNTIFS('3_OBJECTS'!$D$5:$D$464,$A12,'3_OBJECTS'!$I$5:$I$464,"yes",'3_OBJECTS'!$AS$5:$AS$464,"other")</f>
        <v>0</v>
      </c>
      <c r="G12" s="6">
        <f t="shared" si="0"/>
        <v>19</v>
      </c>
    </row>
    <row r="13" ht="14.25" customHeight="1" spans="1:7">
      <c r="A13" s="6">
        <v>1930</v>
      </c>
      <c r="B13" s="6">
        <f>COUNTIFS('3_OBJECTS'!$D$5:$D$464,$A13,'3_OBJECTS'!$I$5:$I$464,"yes",'3_OBJECTS'!$AS$5:$AS$464,"trunk")</f>
        <v>11</v>
      </c>
      <c r="C13" s="6">
        <f>COUNTIFS('3_OBJECTS'!$D$5:$D$464,$A13,'3_OBJECTS'!$I$5:$I$464,"yes",'3_OBJECTS'!$AS$5:$AS$464,"suitcase")</f>
        <v>2</v>
      </c>
      <c r="D13" s="6">
        <f>COUNTIFS('3_OBJECTS'!$D$5:$D$464,$A13,'3_OBJECTS'!$I$5:$I$464,"yes",'3_OBJECTS'!$AS$5:$AS$464,"bag")</f>
        <v>0</v>
      </c>
      <c r="E13" s="6">
        <f>COUNTIFS('3_OBJECTS'!$D$5:$D$464,$A13,'3_OBJECTS'!$I$5:$I$464,"yes",'3_OBJECTS'!$AS$5:$AS$464,"case")</f>
        <v>0</v>
      </c>
      <c r="F13" s="6">
        <f>COUNTIFS('3_OBJECTS'!$D$5:$D$464,$A13,'3_OBJECTS'!$I$5:$I$464,"yes",'3_OBJECTS'!$AS$5:$AS$464,"other")</f>
        <v>0</v>
      </c>
      <c r="G13" s="6">
        <f t="shared" si="0"/>
        <v>13</v>
      </c>
    </row>
    <row r="14" ht="14.25" customHeight="1" spans="1:7">
      <c r="A14" s="6">
        <v>1940</v>
      </c>
      <c r="B14" s="6">
        <f>COUNTIFS('3_OBJECTS'!$D$5:$D$464,$A14,'3_OBJECTS'!$I$5:$I$464,"yes",'3_OBJECTS'!$AS$5:$AS$464,"trunk")</f>
        <v>8</v>
      </c>
      <c r="C14" s="6">
        <f>COUNTIFS('3_OBJECTS'!$D$5:$D$464,$A14,'3_OBJECTS'!$I$5:$I$464,"yes",'3_OBJECTS'!$AS$5:$AS$464,"suitcase")</f>
        <v>7</v>
      </c>
      <c r="D14" s="6">
        <f>COUNTIFS('3_OBJECTS'!$D$5:$D$464,$A14,'3_OBJECTS'!$I$5:$I$464,"yes",'3_OBJECTS'!$AS$5:$AS$464,"bag")</f>
        <v>0</v>
      </c>
      <c r="E14" s="6">
        <f>COUNTIFS('3_OBJECTS'!$D$5:$D$464,$A14,'3_OBJECTS'!$I$5:$I$464,"yes",'3_OBJECTS'!$AS$5:$AS$464,"case")</f>
        <v>1</v>
      </c>
      <c r="F14" s="6">
        <f>COUNTIFS('3_OBJECTS'!$D$5:$D$464,$A14,'3_OBJECTS'!$I$5:$I$464,"yes",'3_OBJECTS'!$AS$5:$AS$464,"other")</f>
        <v>0</v>
      </c>
      <c r="G14" s="6">
        <f t="shared" si="0"/>
        <v>16</v>
      </c>
    </row>
    <row r="15" ht="14.25" customHeight="1" spans="1:7">
      <c r="A15" s="6">
        <v>1950</v>
      </c>
      <c r="B15" s="6">
        <f>COUNTIFS('3_OBJECTS'!$D$5:$D$464,$A15,'3_OBJECTS'!$I$5:$I$464,"yes",'3_OBJECTS'!$AS$5:$AS$464,"trunk")</f>
        <v>8</v>
      </c>
      <c r="C15" s="6">
        <f>COUNTIFS('3_OBJECTS'!$D$5:$D$464,$A15,'3_OBJECTS'!$I$5:$I$464,"yes",'3_OBJECTS'!$AS$5:$AS$464,"suitcase")</f>
        <v>3</v>
      </c>
      <c r="D15" s="6">
        <f>COUNTIFS('3_OBJECTS'!$D$5:$D$464,$A15,'3_OBJECTS'!$I$5:$I$464,"yes",'3_OBJECTS'!$AS$5:$AS$464,"bag")</f>
        <v>5</v>
      </c>
      <c r="E15" s="6">
        <f>COUNTIFS('3_OBJECTS'!$D$5:$D$464,$A15,'3_OBJECTS'!$I$5:$I$464,"yes",'3_OBJECTS'!$AS$5:$AS$464,"case")</f>
        <v>0</v>
      </c>
      <c r="F15" s="6">
        <f>COUNTIFS('3_OBJECTS'!$D$5:$D$464,$A15,'3_OBJECTS'!$I$5:$I$464,"yes",'3_OBJECTS'!$AS$5:$AS$464,"other")</f>
        <v>2</v>
      </c>
      <c r="G15" s="6">
        <f t="shared" si="0"/>
        <v>18</v>
      </c>
    </row>
    <row r="16" ht="14.25" customHeight="1" spans="1:7">
      <c r="A16" s="6">
        <v>1960</v>
      </c>
      <c r="B16" s="6">
        <f>COUNTIFS('3_OBJECTS'!$D$5:$D$464,$A16,'3_OBJECTS'!$I$5:$I$464,"yes",'3_OBJECTS'!$AS$5:$AS$464,"trunk")</f>
        <v>13</v>
      </c>
      <c r="C16" s="6">
        <f>COUNTIFS('3_OBJECTS'!$D$5:$D$464,$A16,'3_OBJECTS'!$I$5:$I$464,"yes",'3_OBJECTS'!$AS$5:$AS$464,"suitcase")</f>
        <v>5</v>
      </c>
      <c r="D16" s="6">
        <f>COUNTIFS('3_OBJECTS'!$D$5:$D$464,$A16,'3_OBJECTS'!$I$5:$I$464,"yes",'3_OBJECTS'!$AS$5:$AS$464,"bag")</f>
        <v>10</v>
      </c>
      <c r="E16" s="6">
        <f>COUNTIFS('3_OBJECTS'!$D$5:$D$464,$A16,'3_OBJECTS'!$I$5:$I$464,"yes",'3_OBJECTS'!$AS$5:$AS$464,"case")</f>
        <v>0</v>
      </c>
      <c r="F16" s="6">
        <f>COUNTIFS('3_OBJECTS'!$D$5:$D$464,$A16,'3_OBJECTS'!$I$5:$I$464,"yes",'3_OBJECTS'!$AS$5:$AS$464,"other")</f>
        <v>0</v>
      </c>
      <c r="G16" s="6">
        <f t="shared" si="0"/>
        <v>28</v>
      </c>
    </row>
    <row r="17" ht="14.25" customHeight="1" spans="1:7">
      <c r="A17" s="6">
        <v>1970</v>
      </c>
      <c r="B17" s="6">
        <f>COUNTIFS('3_OBJECTS'!$D$5:$D$464,$A17,'3_OBJECTS'!$I$5:$I$464,"yes",'3_OBJECTS'!$AS$5:$AS$464,"trunk")</f>
        <v>6</v>
      </c>
      <c r="C17" s="6">
        <f>COUNTIFS('3_OBJECTS'!$D$5:$D$464,$A17,'3_OBJECTS'!$I$5:$I$464,"yes",'3_OBJECTS'!$AS$5:$AS$464,"suitcase")</f>
        <v>10</v>
      </c>
      <c r="D17" s="6">
        <f>COUNTIFS('3_OBJECTS'!$D$5:$D$464,$A17,'3_OBJECTS'!$I$5:$I$464,"yes",'3_OBJECTS'!$AS$5:$AS$464,"bag")</f>
        <v>15</v>
      </c>
      <c r="E17" s="6">
        <f>COUNTIFS('3_OBJECTS'!$D$5:$D$464,$A17,'3_OBJECTS'!$I$5:$I$464,"yes",'3_OBJECTS'!$AS$5:$AS$464,"case")</f>
        <v>0</v>
      </c>
      <c r="F17" s="6">
        <f>COUNTIFS('3_OBJECTS'!$D$5:$D$464,$A17,'3_OBJECTS'!$I$5:$I$464,"yes",'3_OBJECTS'!$AS$5:$AS$464,"other")</f>
        <v>0</v>
      </c>
      <c r="G17" s="6">
        <f t="shared" si="0"/>
        <v>31</v>
      </c>
    </row>
    <row r="18" ht="14.25" customHeight="1" spans="1:7">
      <c r="A18" s="6">
        <v>1980</v>
      </c>
      <c r="B18" s="6">
        <f>COUNTIFS('3_OBJECTS'!$D$5:$D$464,$A18,'3_OBJECTS'!$I$5:$I$464,"yes",'3_OBJECTS'!$AS$5:$AS$464,"trunk")</f>
        <v>10</v>
      </c>
      <c r="C18" s="6">
        <f>COUNTIFS('3_OBJECTS'!$D$5:$D$464,$A18,'3_OBJECTS'!$I$5:$I$464,"yes",'3_OBJECTS'!$AS$5:$AS$464,"suitcase")</f>
        <v>6</v>
      </c>
      <c r="D18" s="6">
        <f>COUNTIFS('3_OBJECTS'!$D$5:$D$464,$A18,'3_OBJECTS'!$I$5:$I$464,"yes",'3_OBJECTS'!$AS$5:$AS$464,"bag")</f>
        <v>10</v>
      </c>
      <c r="E18" s="6">
        <f>COUNTIFS('3_OBJECTS'!$D$5:$D$464,$A18,'3_OBJECTS'!$I$5:$I$464,"yes",'3_OBJECTS'!$AS$5:$AS$464,"case")</f>
        <v>0</v>
      </c>
      <c r="F18" s="6">
        <f>COUNTIFS('3_OBJECTS'!$D$5:$D$464,$A18,'3_OBJECTS'!$I$5:$I$464,"yes",'3_OBJECTS'!$AS$5:$AS$464,"other")</f>
        <v>0</v>
      </c>
      <c r="G18" s="6">
        <f t="shared" si="0"/>
        <v>26</v>
      </c>
    </row>
    <row r="19" ht="14.25" customHeight="1" spans="1:7">
      <c r="A19" s="6">
        <v>1990</v>
      </c>
      <c r="B19" s="6">
        <f>COUNTIFS('3_OBJECTS'!$D$5:$D$464,$A19,'3_OBJECTS'!$I$5:$I$464,"yes",'3_OBJECTS'!$AS$5:$AS$464,"trunk")</f>
        <v>10</v>
      </c>
      <c r="C19" s="6">
        <f>COUNTIFS('3_OBJECTS'!$D$5:$D$464,$A19,'3_OBJECTS'!$I$5:$I$464,"yes",'3_OBJECTS'!$AS$5:$AS$464,"suitcase")</f>
        <v>6</v>
      </c>
      <c r="D19" s="6">
        <f>COUNTIFS('3_OBJECTS'!$D$5:$D$464,$A19,'3_OBJECTS'!$I$5:$I$464,"yes",'3_OBJECTS'!$AS$5:$AS$464,"bag")</f>
        <v>14</v>
      </c>
      <c r="E19" s="6">
        <f>COUNTIFS('3_OBJECTS'!$D$5:$D$464,$A19,'3_OBJECTS'!$I$5:$I$464,"yes",'3_OBJECTS'!$AS$5:$AS$464,"case")</f>
        <v>0</v>
      </c>
      <c r="F19" s="6">
        <f>COUNTIFS('3_OBJECTS'!$D$5:$D$464,$A19,'3_OBJECTS'!$I$5:$I$464,"yes",'3_OBJECTS'!$AS$5:$AS$464,"other")</f>
        <v>0</v>
      </c>
      <c r="G19" s="6">
        <f t="shared" si="0"/>
        <v>30</v>
      </c>
    </row>
    <row r="20" ht="14.25" customHeight="1" spans="1:7">
      <c r="A20" s="6">
        <v>2000</v>
      </c>
      <c r="B20" s="6">
        <f>COUNTIFS('3_OBJECTS'!$D$5:$D$464,$A20,'3_OBJECTS'!$I$5:$I$464,"yes",'3_OBJECTS'!$AS$5:$AS$464,"trunk")</f>
        <v>9</v>
      </c>
      <c r="C20" s="6">
        <f>COUNTIFS('3_OBJECTS'!$D$5:$D$464,$A20,'3_OBJECTS'!$I$5:$I$464,"yes",'3_OBJECTS'!$AS$5:$AS$464,"suitcase")</f>
        <v>5</v>
      </c>
      <c r="D20" s="6">
        <f>COUNTIFS('3_OBJECTS'!$D$5:$D$464,$A20,'3_OBJECTS'!$I$5:$I$464,"yes",'3_OBJECTS'!$AS$5:$AS$464,"bag")</f>
        <v>17</v>
      </c>
      <c r="E20" s="6">
        <f>COUNTIFS('3_OBJECTS'!$D$5:$D$464,$A20,'3_OBJECTS'!$I$5:$I$464,"yes",'3_OBJECTS'!$AS$5:$AS$464,"case")</f>
        <v>8</v>
      </c>
      <c r="F20" s="6">
        <f>COUNTIFS('3_OBJECTS'!$D$5:$D$464,$A20,'3_OBJECTS'!$I$5:$I$464,"yes",'3_OBJECTS'!$AS$5:$AS$464,"other")</f>
        <v>2</v>
      </c>
      <c r="G20" s="6">
        <f t="shared" si="0"/>
        <v>41</v>
      </c>
    </row>
    <row r="21" ht="14.25" customHeight="1" spans="1:7">
      <c r="A21" s="6">
        <v>2010</v>
      </c>
      <c r="B21" s="6">
        <f>COUNTIFS('3_OBJECTS'!$D$5:$D$464,$A21,'3_OBJECTS'!$I$5:$I$464,"yes",'3_OBJECTS'!$AS$5:$AS$464,"trunk")</f>
        <v>13</v>
      </c>
      <c r="C21" s="6">
        <f>COUNTIFS('3_OBJECTS'!$D$5:$D$464,$A21,'3_OBJECTS'!$I$5:$I$464,"yes",'3_OBJECTS'!$AS$5:$AS$464,"suitcase")</f>
        <v>1</v>
      </c>
      <c r="D21" s="6">
        <f>COUNTIFS('3_OBJECTS'!$D$5:$D$464,$A21,'3_OBJECTS'!$I$5:$I$464,"yes",'3_OBJECTS'!$AS$5:$AS$464,"bag")</f>
        <v>34</v>
      </c>
      <c r="E21" s="6">
        <f>COUNTIFS('3_OBJECTS'!$D$5:$D$464,$A21,'3_OBJECTS'!$I$5:$I$464,"yes",'3_OBJECTS'!$AS$5:$AS$464,"case")</f>
        <v>4</v>
      </c>
      <c r="F21" s="6">
        <f>COUNTIFS('3_OBJECTS'!$D$5:$D$464,$A21,'3_OBJECTS'!$I$5:$I$464,"yes",'3_OBJECTS'!$AS$5:$AS$464,"other")</f>
        <v>0</v>
      </c>
      <c r="G21" s="6">
        <f t="shared" si="0"/>
        <v>52</v>
      </c>
    </row>
    <row r="22" ht="14.25" customHeight="1" spans="1:7">
      <c r="A22" s="6">
        <v>2020</v>
      </c>
      <c r="B22" s="6">
        <f>COUNTIFS('3_OBJECTS'!$D$5:$D$464,$A22,'3_OBJECTS'!$I$5:$I$464,"yes",'3_OBJECTS'!$AS$5:$AS$464,"trunk")</f>
        <v>12</v>
      </c>
      <c r="C22" s="6">
        <f>COUNTIFS('3_OBJECTS'!$D$5:$D$464,$A22,'3_OBJECTS'!$I$5:$I$464,"yes",'3_OBJECTS'!$AS$5:$AS$464,"suitcase")</f>
        <v>5</v>
      </c>
      <c r="D22" s="6">
        <f>COUNTIFS('3_OBJECTS'!$D$5:$D$464,$A22,'3_OBJECTS'!$I$5:$I$464,"yes",'3_OBJECTS'!$AS$5:$AS$464,"bag")</f>
        <v>29</v>
      </c>
      <c r="E22" s="6">
        <f>COUNTIFS('3_OBJECTS'!$D$5:$D$464,$A22,'3_OBJECTS'!$I$5:$I$464,"yes",'3_OBJECTS'!$AS$5:$AS$464,"case")</f>
        <v>4</v>
      </c>
      <c r="F22" s="6">
        <f>COUNTIFS('3_OBJECTS'!$D$5:$D$464,$A22,'3_OBJECTS'!$I$5:$I$464,"yes",'3_OBJECTS'!$AS$5:$AS$464,"other")</f>
        <v>0</v>
      </c>
      <c r="G22" s="6">
        <f t="shared" si="0"/>
        <v>50</v>
      </c>
    </row>
    <row r="23" ht="14.25" customHeight="1" spans="1:7">
      <c r="A23" s="7" t="s">
        <v>1526</v>
      </c>
      <c r="B23" s="7">
        <f t="shared" ref="B23:G23" si="1">SUM(B5:B22)</f>
        <v>188</v>
      </c>
      <c r="C23" s="7">
        <f t="shared" si="1"/>
        <v>53</v>
      </c>
      <c r="D23" s="7">
        <f t="shared" si="1"/>
        <v>134</v>
      </c>
      <c r="E23" s="7">
        <f t="shared" si="1"/>
        <v>21</v>
      </c>
      <c r="F23" s="7">
        <f t="shared" si="1"/>
        <v>4</v>
      </c>
      <c r="G23" s="7">
        <f t="shared" si="1"/>
        <v>400</v>
      </c>
    </row>
    <row r="25" ht="14.25" customHeight="1" spans="1:1">
      <c r="A25" s="8" t="s">
        <v>1527</v>
      </c>
    </row>
    <row r="26" ht="14.25" customHeight="1" spans="1:1">
      <c r="A26" s="8" t="s">
        <v>1528</v>
      </c>
    </row>
    <row r="27" ht="14.25" customHeight="1" spans="1:1">
      <c r="A27" s="8" t="s">
        <v>1529</v>
      </c>
    </row>
  </sheetData>
  <pageMargins left="0.75" right="0.75" top="1" bottom="1" header="0.511811023622047" footer="0.511811023622047"/>
  <pageSetup paperSize="9" orientation="portrait" horizontalDpi="300" verticalDpi="300"/>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8</vt:i4>
      </vt:variant>
    </vt:vector>
  </HeadingPairs>
  <TitlesOfParts>
    <vt:vector size="8" baseType="lpstr">
      <vt:lpstr>1_METHOD</vt:lpstr>
      <vt:lpstr>2_SCALES</vt:lpstr>
      <vt:lpstr>3_OBJECTS</vt:lpstr>
      <vt:lpstr>4_BENCHMARK</vt:lpstr>
      <vt:lpstr>5_TIMELINE</vt:lpstr>
      <vt:lpstr>6_SURVEY</vt:lpstr>
      <vt:lpstr>7_RESULTS</vt:lpstr>
      <vt:lpstr>8_COVERAGE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cp:revision>2</cp:revision>
  <dcterms:created xsi:type="dcterms:W3CDTF">2026-08-10T16:55:00Z</dcterms:created>
  <dcterms:modified xsi:type="dcterms:W3CDTF">2026-09-20T14:30:33Z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2AB8360400A741CCADD4FAAA5BB6D68B_12</vt:lpwstr>
  </property>
  <property fmtid="{D5CDD505-2E9C-101B-9397-08002B2CF9AE}" pid="3" name="KSOProductBuildVer">
    <vt:lpwstr>2057-12.2.0.23206</vt:lpwstr>
  </property>
</Properties>
</file>